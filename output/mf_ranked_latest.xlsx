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Fund'!$A$4:$Q$8</definedName>
    <definedName name="_xlnm._FilterDatabase" localSheetId="3" hidden="1">'Elss'!$A$4:$Q$47</definedName>
    <definedName name="_xlnm._FilterDatabase" localSheetId="4" hidden="1">'Flexi Cap Fund'!$A$4:$Q$52</definedName>
    <definedName name="_xlnm._FilterDatabase" localSheetId="5" hidden="1">'Focused Fund'!$A$4:$Q$35</definedName>
    <definedName name="_xlnm._FilterDatabase" localSheetId="6" hidden="1">'Large &amp; Mid Cap Fund'!$A$4:$Q$39</definedName>
    <definedName name="_xlnm._FilterDatabase" localSheetId="7" hidden="1">'Large Cap Fund'!$A$4:$Q$47</definedName>
    <definedName name="_xlnm._FilterDatabase" localSheetId="8" hidden="1">'Mid Cap Fund'!$A$4:$Q$41</definedName>
    <definedName name="_xlnm._FilterDatabase" localSheetId="9" hidden="1">'Multi Cap Fund'!$A$4:$Q$38</definedName>
    <definedName name="_xlnm._FilterDatabase" localSheetId="10" hidden="1">'Sectoral Thematic'!$A$4:$Q$283</definedName>
    <definedName name="_xlnm._FilterDatabase" localSheetId="11" hidden="1">'Small Cap Fund'!$A$4:$Q$44</definedName>
    <definedName name="_xlnm._FilterDatabase" localSheetId="12" hidden="1">'Value Fund'!$A$4:$Q$30</definedName>
    <definedName name="_xlnm._FilterDatabase" localSheetId="13" hidden="1">'📊 CONSOLIDATED'!$A$4:$U$624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C0392B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E67E00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E8E8E8"/>
        <bgColor rgb="00E8E8E8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D4956A"/>
        <bgColor rgb="00D4956A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5" borderId="1" pivotButton="0" quotePrefix="0" xfId="0"/>
    <xf numFmtId="0" fontId="14" fillId="15" borderId="1" applyAlignment="1" pivotButton="0" quotePrefix="0" xfId="0">
      <alignment horizontal="center"/>
    </xf>
    <xf numFmtId="9" fontId="13" fillId="15" borderId="1" applyAlignment="1" pivotButton="0" quotePrefix="0" xfId="0">
      <alignment horizontal="center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165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8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8" fillId="13" borderId="1" applyAlignment="1" pivotButton="0" quotePrefix="0" xfId="0">
      <alignment horizontal="center" vertical="center"/>
    </xf>
    <xf numFmtId="2" fontId="7" fillId="13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8" fillId="22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6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2" fontId="5" fillId="17" borderId="1" applyAlignment="1" pivotButton="0" quotePrefix="0" xfId="0">
      <alignment horizontal="center" vertical="center"/>
    </xf>
    <xf numFmtId="2" fontId="6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2" fontId="5" fillId="18" borderId="1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6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2" fontId="5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-2.36</v>
      </c>
      <c r="G5" s="15" t="n">
        <v>-0.45</v>
      </c>
      <c r="H5" s="15" t="n">
        <v>-6.46</v>
      </c>
      <c r="I5" s="15" t="n">
        <v>-2.58</v>
      </c>
      <c r="J5" s="16" t="n">
        <v>1.311401135311518</v>
      </c>
      <c r="K5" s="16" t="n">
        <v>56.53</v>
      </c>
      <c r="L5" s="17" t="n">
        <v>80</v>
      </c>
      <c r="M5" s="18" t="n">
        <v>0</v>
      </c>
      <c r="N5" s="19" t="n">
        <v>44</v>
      </c>
      <c r="O5" s="20" t="inlineStr">
        <is>
          <t>⭐ Strong</t>
        </is>
      </c>
      <c r="P5" s="20" t="inlineStr">
        <is>
          <t>🔴 Not Qualified</t>
        </is>
      </c>
      <c r="Q5" s="20" t="inlineStr">
        <is>
          <t>⚠️ Watch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quant ELSS Tax Saver Fund - Growth Option - Regular Plan</t>
        </is>
      </c>
      <c r="D6" s="14" t="inlineStr">
        <is>
          <t>quant Mutual Fund</t>
        </is>
      </c>
      <c r="E6" s="14" t="inlineStr">
        <is>
          <t>Elss</t>
        </is>
      </c>
      <c r="F6" s="15" t="n">
        <v>-0.54</v>
      </c>
      <c r="G6" s="16" t="n">
        <v>9.1</v>
      </c>
      <c r="H6" s="16" t="n">
        <v>1.7</v>
      </c>
      <c r="I6" s="16" t="n">
        <v>4.7</v>
      </c>
      <c r="J6" s="15" t="n">
        <v>-0.6974320573732595</v>
      </c>
      <c r="K6" s="16" t="n">
        <v>57.77</v>
      </c>
      <c r="L6" s="17" t="n">
        <v>100</v>
      </c>
      <c r="M6" s="18" t="n">
        <v>0</v>
      </c>
      <c r="N6" s="21" t="n">
        <v>55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✅ Buy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quant Flexi Cap Fund - Growth Option - Regular Plan</t>
        </is>
      </c>
      <c r="D7" s="14" t="inlineStr">
        <is>
          <t>quant Mutual Fund</t>
        </is>
      </c>
      <c r="E7" s="14" t="inlineStr">
        <is>
          <t>Flexi Cap Fund</t>
        </is>
      </c>
      <c r="F7" s="16" t="n">
        <v>0.66</v>
      </c>
      <c r="G7" s="16" t="n">
        <v>11.47</v>
      </c>
      <c r="H7" s="16" t="n">
        <v>5.04</v>
      </c>
      <c r="I7" s="16" t="n">
        <v>5.43</v>
      </c>
      <c r="J7" s="16" t="n">
        <v>0.2895807150473662</v>
      </c>
      <c r="K7" s="16" t="n">
        <v>62.67</v>
      </c>
      <c r="L7" s="17" t="n">
        <v>100</v>
      </c>
      <c r="M7" s="18" t="n">
        <v>0</v>
      </c>
      <c r="N7" s="21" t="n">
        <v>55</v>
      </c>
      <c r="O7" s="20" t="inlineStr">
        <is>
          <t>🔥 Hot</t>
        </is>
      </c>
      <c r="P7" s="20" t="inlineStr">
        <is>
          <t>🔴 Not Qualified</t>
        </is>
      </c>
      <c r="Q7" s="20" t="inlineStr">
        <is>
          <t>✅ Buy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-1.04</v>
      </c>
      <c r="G8" s="16" t="n">
        <v>10.99</v>
      </c>
      <c r="H8" s="16" t="n">
        <v>5.21</v>
      </c>
      <c r="I8" s="16" t="n">
        <v>3.23</v>
      </c>
      <c r="J8" s="16" t="n">
        <v>2.078401241398753</v>
      </c>
      <c r="K8" s="16" t="n">
        <v>31.3</v>
      </c>
      <c r="L8" s="17" t="n">
        <v>100</v>
      </c>
      <c r="M8" s="18" t="n">
        <v>0</v>
      </c>
      <c r="N8" s="21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HSBC Large &amp; Mid Cap Fund - Regular Growth</t>
        </is>
      </c>
      <c r="D9" s="14" t="inlineStr">
        <is>
          <t>HSBC Mutual Fund</t>
        </is>
      </c>
      <c r="E9" s="14" t="inlineStr">
        <is>
          <t>Large &amp; Mid Cap Fund</t>
        </is>
      </c>
      <c r="F9" s="15" t="n">
        <v>-0.07000000000000001</v>
      </c>
      <c r="G9" s="16" t="n">
        <v>8.93</v>
      </c>
      <c r="H9" s="16" t="n">
        <v>3.16</v>
      </c>
      <c r="I9" s="16" t="n">
        <v>5.96</v>
      </c>
      <c r="J9" s="16" t="n">
        <v>6.597373325987732</v>
      </c>
      <c r="K9" s="16" t="n">
        <v>65.06999999999999</v>
      </c>
      <c r="L9" s="17" t="n">
        <v>100</v>
      </c>
      <c r="M9" s="18" t="n">
        <v>0</v>
      </c>
      <c r="N9" s="21" t="n">
        <v>55</v>
      </c>
      <c r="O9" s="20" t="inlineStr">
        <is>
          <t>🔥 Hot</t>
        </is>
      </c>
      <c r="P9" s="20" t="inlineStr">
        <is>
          <t>🔴 Not Qualified</t>
        </is>
      </c>
      <c r="Q9" s="20" t="inlineStr">
        <is>
          <t>✅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quant Large Cap Fund - Growth Option - Regular Plan</t>
        </is>
      </c>
      <c r="D10" s="14" t="inlineStr">
        <is>
          <t>quant Mutual Fund</t>
        </is>
      </c>
      <c r="E10" s="14" t="inlineStr">
        <is>
          <t>Large Cap Fund</t>
        </is>
      </c>
      <c r="F10" s="16" t="n">
        <v>1.82</v>
      </c>
      <c r="G10" s="16" t="n">
        <v>7.73</v>
      </c>
      <c r="H10" s="15" t="n">
        <v>-0.87</v>
      </c>
      <c r="I10" s="16" t="n">
        <v>1.7</v>
      </c>
      <c r="J10" s="15" t="n">
        <v>-0.1551203115552902</v>
      </c>
      <c r="K10" s="16" t="n">
        <v>51.06</v>
      </c>
      <c r="L10" s="17" t="n">
        <v>100</v>
      </c>
      <c r="M10" s="18" t="n">
        <v>0</v>
      </c>
      <c r="N10" s="21" t="n">
        <v>55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✅ Buy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HSBC Midcap Fund - Regular Growth</t>
        </is>
      </c>
      <c r="D11" s="14" t="inlineStr">
        <is>
          <t>HSBC Mutual Fund</t>
        </is>
      </c>
      <c r="E11" s="14" t="inlineStr">
        <is>
          <t>Mid Cap Fund</t>
        </is>
      </c>
      <c r="F11" s="15" t="n">
        <v>-0.49</v>
      </c>
      <c r="G11" s="16" t="n">
        <v>12.92</v>
      </c>
      <c r="H11" s="16" t="n">
        <v>7.94</v>
      </c>
      <c r="I11" s="16" t="n">
        <v>11.36</v>
      </c>
      <c r="J11" s="16" t="n">
        <v>10.66164647247936</v>
      </c>
      <c r="K11" s="16" t="n">
        <v>95.65000000000001</v>
      </c>
      <c r="L11" s="17" t="n">
        <v>100</v>
      </c>
      <c r="M11" s="22" t="n">
        <v>70</v>
      </c>
      <c r="N11" s="23" t="n">
        <v>86.5</v>
      </c>
      <c r="O11" s="20" t="inlineStr">
        <is>
          <t>🔥 Hot</t>
        </is>
      </c>
      <c r="P11" s="20" t="inlineStr">
        <is>
          <t>🏛️ Solid</t>
        </is>
      </c>
      <c r="Q11" s="20" t="inlineStr">
        <is>
          <t>⭐ Strong Buy</t>
        </is>
      </c>
    </row>
    <row r="12" ht="18" customHeight="1">
      <c r="A12" s="13" t="n">
        <v>8</v>
      </c>
      <c r="B12" s="14" t="inlineStr">
        <is>
          <t>Multi Cap Fund</t>
        </is>
      </c>
      <c r="C12" s="14" t="inlineStr">
        <is>
          <t>ITI Multi Cap Fund - Regular Plan - Growth Option</t>
        </is>
      </c>
      <c r="D12" s="14" t="inlineStr">
        <is>
          <t>ITI Mutual Fund</t>
        </is>
      </c>
      <c r="E12" s="14" t="inlineStr">
        <is>
          <t>Multi Cap Fund</t>
        </is>
      </c>
      <c r="F12" s="15" t="n">
        <v>-1.33</v>
      </c>
      <c r="G12" s="16" t="n">
        <v>6.43</v>
      </c>
      <c r="H12" s="16" t="n">
        <v>1.19</v>
      </c>
      <c r="I12" s="16" t="n">
        <v>1.46</v>
      </c>
      <c r="J12" s="16" t="n">
        <v>2.547549946354155</v>
      </c>
      <c r="K12" s="16" t="n">
        <v>60.34</v>
      </c>
      <c r="L12" s="17" t="n">
        <v>92.7</v>
      </c>
      <c r="M12" s="18" t="n">
        <v>0</v>
      </c>
      <c r="N12" s="21" t="n">
        <v>51</v>
      </c>
      <c r="O12" s="20" t="inlineStr">
        <is>
          <t>🔥 Hot</t>
        </is>
      </c>
      <c r="P12" s="20" t="inlineStr">
        <is>
          <t>🔴 Not Qualified</t>
        </is>
      </c>
      <c r="Q12" s="20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5" t="n">
        <v>-1.6</v>
      </c>
      <c r="G13" s="16" t="n">
        <v>47.46</v>
      </c>
      <c r="H13" s="16" t="n">
        <v>95.56</v>
      </c>
      <c r="I13" s="16" t="n">
        <v>191.16</v>
      </c>
      <c r="J13" s="16" t="n">
        <v>81.12702724883441</v>
      </c>
      <c r="K13" s="16" t="n">
        <v>310.19</v>
      </c>
      <c r="L13" s="17" t="n">
        <v>98.40000000000001</v>
      </c>
      <c r="M13" s="24" t="n">
        <v>100</v>
      </c>
      <c r="N13" s="23" t="n">
        <v>99.09999999999999</v>
      </c>
      <c r="O13" s="20" t="inlineStr">
        <is>
          <t>🔥 Hot</t>
        </is>
      </c>
      <c r="P13" s="20" t="inlineStr">
        <is>
          <t>🏆 Elite</t>
        </is>
      </c>
      <c r="Q13" s="20" t="inlineStr">
        <is>
          <t>🚀 Strong Conviction</t>
        </is>
      </c>
    </row>
    <row r="14" ht="18" customHeight="1">
      <c r="A14" s="25" t="n">
        <v>10</v>
      </c>
      <c r="B14" s="26" t="inlineStr">
        <is>
          <t>Small Cap Fund</t>
        </is>
      </c>
      <c r="C14" s="26" t="inlineStr">
        <is>
          <t>BANK OF INDIA Small Cap Fund Regular Plan Growth</t>
        </is>
      </c>
      <c r="D14" s="26" t="inlineStr">
        <is>
          <t>Bank of India Mutual Fund</t>
        </is>
      </c>
      <c r="E14" s="26" t="inlineStr">
        <is>
          <t>Small Cap Fund</t>
        </is>
      </c>
      <c r="F14" s="27" t="n">
        <v>0.54</v>
      </c>
      <c r="G14" s="27" t="n">
        <v>20.48</v>
      </c>
      <c r="H14" s="27" t="n">
        <v>13.71</v>
      </c>
      <c r="I14" s="27" t="n">
        <v>7.87</v>
      </c>
      <c r="J14" s="27" t="n">
        <v>7.731146842498626</v>
      </c>
      <c r="K14" s="27" t="n">
        <v>73.53</v>
      </c>
      <c r="L14" s="17" t="n">
        <v>99.7</v>
      </c>
      <c r="M14" s="18" t="n">
        <v>0</v>
      </c>
      <c r="N14" s="21" t="n">
        <v>54.8</v>
      </c>
      <c r="O14" s="28" t="inlineStr">
        <is>
          <t>🔥 Hot</t>
        </is>
      </c>
      <c r="P14" s="28" t="inlineStr">
        <is>
          <t>🔴 Not Qualified</t>
        </is>
      </c>
      <c r="Q14" s="28" t="inlineStr">
        <is>
          <t>⚠️ Watch</t>
        </is>
      </c>
    </row>
    <row r="15" ht="18" customHeight="1">
      <c r="A15" s="13" t="n">
        <v>11</v>
      </c>
      <c r="B15" s="14" t="inlineStr">
        <is>
          <t>Value Fund</t>
        </is>
      </c>
      <c r="C15" s="14" t="inlineStr">
        <is>
          <t>Quant Value Fund - Growth Option - Regular Plan</t>
        </is>
      </c>
      <c r="D15" s="14" t="inlineStr">
        <is>
          <t>quant Mutual Fund</t>
        </is>
      </c>
      <c r="E15" s="14" t="inlineStr">
        <is>
          <t>Value Fund</t>
        </is>
      </c>
      <c r="F15" s="15" t="n">
        <v>-1.99</v>
      </c>
      <c r="G15" s="16" t="n">
        <v>14.5</v>
      </c>
      <c r="H15" s="16" t="n">
        <v>9.56</v>
      </c>
      <c r="I15" s="16" t="n">
        <v>9.98</v>
      </c>
      <c r="J15" s="16" t="n">
        <v>2.966013810383084</v>
      </c>
      <c r="K15" s="16" t="n">
        <v>84.87</v>
      </c>
      <c r="L15" s="17" t="n">
        <v>95.5</v>
      </c>
      <c r="M15" s="18" t="n">
        <v>0</v>
      </c>
      <c r="N15" s="21" t="n">
        <v>52.5</v>
      </c>
      <c r="O15" s="20" t="inlineStr">
        <is>
          <t>🔥 Hot</t>
        </is>
      </c>
      <c r="P15" s="20" t="inlineStr">
        <is>
          <t>🔴 Not Qualified</t>
        </is>
      </c>
      <c r="Q15" s="20" t="inlineStr">
        <is>
          <t>⚠️ Watch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29" t="inlineStr">
        <is>
          <t>DUAL ENGINE MODEL — COMPLETE METHODOLOGY &amp; ASSUMPTIONS</t>
        </is>
      </c>
    </row>
    <row r="2" ht="16" customHeight="1">
      <c r="A2" s="2" t="inlineStr">
        <is>
          <t>Generated: 2026-06-12 22:03:28 | Comprehensive Documentation | All Values Numeric (0 = Missing)</t>
        </is>
      </c>
    </row>
    <row r="4" ht="22" customHeight="1">
      <c r="A4" s="30" t="inlineStr">
        <is>
          <t>🔍  DATA FILTERS (Pre-Processing)</t>
        </is>
      </c>
    </row>
    <row r="5" ht="20" customHeight="1">
      <c r="A5" s="31" t="inlineStr">
        <is>
          <t>Filter Parameter</t>
        </is>
      </c>
      <c r="B5" s="31" t="inlineStr">
        <is>
          <t>Value</t>
        </is>
      </c>
      <c r="C5" s="31" t="inlineStr">
        <is>
          <t>Description</t>
        </is>
      </c>
      <c r="D5" s="31" t="inlineStr">
        <is>
          <t>Python Logic</t>
        </is>
      </c>
    </row>
    <row r="6" ht="18" customHeight="1">
      <c r="A6" s="32" t="inlineStr">
        <is>
          <t>cat_level_1</t>
        </is>
      </c>
      <c r="B6" s="33" t="inlineStr">
        <is>
          <t>Open Ended Schemes</t>
        </is>
      </c>
      <c r="C6" s="32" t="inlineStr">
        <is>
          <t>Scheme category level 1</t>
        </is>
      </c>
      <c r="D6" s="32" t="inlineStr">
        <is>
          <t>df[col] == value</t>
        </is>
      </c>
    </row>
    <row r="7" ht="18" customHeight="1">
      <c r="A7" s="32" t="inlineStr">
        <is>
          <t>cat_level_2</t>
        </is>
      </c>
      <c r="B7" s="33" t="inlineStr">
        <is>
          <t>Other Scheme</t>
        </is>
      </c>
      <c r="C7" s="32" t="inlineStr">
        <is>
          <t>Scheme category level 2</t>
        </is>
      </c>
      <c r="D7" s="32" t="inlineStr">
        <is>
          <t>df[col] == value</t>
        </is>
      </c>
    </row>
    <row r="8" ht="18" customHeight="1">
      <c r="A8" s="32" t="inlineStr">
        <is>
          <t>plan_type</t>
        </is>
      </c>
      <c r="B8" s="33" t="inlineStr">
        <is>
          <t>Regular</t>
        </is>
      </c>
      <c r="C8" s="32" t="inlineStr">
        <is>
          <t>Regular plans only (not Direct)</t>
        </is>
      </c>
      <c r="D8" s="32" t="inlineStr">
        <is>
          <t>df[col] == value</t>
        </is>
      </c>
    </row>
    <row r="9" ht="18" customHeight="1">
      <c r="A9" s="32" t="inlineStr">
        <is>
          <t>option_type</t>
        </is>
      </c>
      <c r="B9" s="33" t="inlineStr">
        <is>
          <t>Growth</t>
        </is>
      </c>
      <c r="C9" s="32" t="inlineStr">
        <is>
          <t>Growth option only</t>
        </is>
      </c>
      <c r="D9" s="32" t="inlineStr">
        <is>
          <t>df[col] == value</t>
        </is>
      </c>
    </row>
    <row r="11" ht="22" customHeight="1">
      <c r="A11" s="30" t="inlineStr">
        <is>
          <t>📋  COLUMN MAPPING (Source → Internal)</t>
        </is>
      </c>
    </row>
    <row r="12" ht="20" customHeight="1">
      <c r="A12" s="31" t="inlineStr">
        <is>
          <t>Internal Name</t>
        </is>
      </c>
      <c r="B12" s="31" t="inlineStr">
        <is>
          <t>Source Column</t>
        </is>
      </c>
      <c r="C12" s="31" t="inlineStr">
        <is>
          <t>Data Type</t>
        </is>
      </c>
      <c r="D12" s="31" t="inlineStr">
        <is>
          <t>Notes</t>
        </is>
      </c>
    </row>
    <row r="13" ht="18" customHeight="1">
      <c r="A13" s="32" t="inlineStr">
        <is>
          <t>scheme_name</t>
        </is>
      </c>
      <c r="B13" s="33" t="inlineStr">
        <is>
          <t>scheme_name</t>
        </is>
      </c>
      <c r="C13" s="32" t="inlineStr">
        <is>
          <t>String</t>
        </is>
      </c>
      <c r="D13" s="32" t="inlineStr">
        <is>
          <t>Fund name for display</t>
        </is>
      </c>
    </row>
    <row r="14" ht="18" customHeight="1">
      <c r="A14" s="32" t="inlineStr">
        <is>
          <t>category</t>
        </is>
      </c>
      <c r="B14" s="33" t="inlineStr">
        <is>
          <t>cat_level_3</t>
        </is>
      </c>
      <c r="C14" s="32" t="inlineStr">
        <is>
          <t>String</t>
        </is>
      </c>
      <c r="D14" s="32" t="inlineStr">
        <is>
          <t>Category for grouping</t>
        </is>
      </c>
    </row>
    <row r="15" ht="18" customHeight="1">
      <c r="A15" s="32" t="inlineStr">
        <is>
          <t>amc</t>
        </is>
      </c>
      <c r="B15" s="33" t="inlineStr">
        <is>
          <t>amc_name</t>
        </is>
      </c>
      <c r="C15" s="32" t="inlineStr">
        <is>
          <t>String</t>
        </is>
      </c>
      <c r="D15" s="32" t="inlineStr">
        <is>
          <t>Asset Management Company</t>
        </is>
      </c>
    </row>
    <row r="16" ht="18" customHeight="1">
      <c r="A16" s="32" t="inlineStr">
        <is>
          <t>return_1m</t>
        </is>
      </c>
      <c r="B16" s="33" t="inlineStr">
        <is>
          <t>return_30d</t>
        </is>
      </c>
      <c r="C16" s="32" t="inlineStr">
        <is>
          <t>Numeric %</t>
        </is>
      </c>
      <c r="D16" s="32" t="inlineStr">
        <is>
          <t>30-day return</t>
        </is>
      </c>
    </row>
    <row r="17" ht="18" customHeight="1">
      <c r="A17" s="32" t="inlineStr">
        <is>
          <t>return_3m</t>
        </is>
      </c>
      <c r="B17" s="33" t="inlineStr">
        <is>
          <t>return_90d</t>
        </is>
      </c>
      <c r="C17" s="32" t="inlineStr">
        <is>
          <t>Numeric %</t>
        </is>
      </c>
      <c r="D17" s="32" t="inlineStr">
        <is>
          <t>90-day return</t>
        </is>
      </c>
    </row>
    <row r="18" ht="18" customHeight="1">
      <c r="A18" s="32" t="inlineStr">
        <is>
          <t>return_6m</t>
        </is>
      </c>
      <c r="B18" s="33" t="inlineStr">
        <is>
          <t>return_180d</t>
        </is>
      </c>
      <c r="C18" s="32" t="inlineStr">
        <is>
          <t>Numeric %</t>
        </is>
      </c>
      <c r="D18" s="32" t="inlineStr">
        <is>
          <t>180-day return</t>
        </is>
      </c>
    </row>
    <row r="19" ht="18" customHeight="1">
      <c r="A19" s="32" t="inlineStr">
        <is>
          <t>return_1y</t>
        </is>
      </c>
      <c r="B19" s="33" t="inlineStr">
        <is>
          <t>return_365d</t>
        </is>
      </c>
      <c r="C19" s="32" t="inlineStr">
        <is>
          <t>Numeric %</t>
        </is>
      </c>
      <c r="D19" s="32" t="inlineStr">
        <is>
          <t>365-day return</t>
        </is>
      </c>
    </row>
    <row r="20" ht="18" customHeight="1">
      <c r="A20" s="32" t="inlineStr">
        <is>
          <t>return_2y</t>
        </is>
      </c>
      <c r="B20" s="33" t="inlineStr">
        <is>
          <t>return_730d</t>
        </is>
      </c>
      <c r="C20" s="32" t="inlineStr">
        <is>
          <t>Numeric %</t>
        </is>
      </c>
      <c r="D20" s="32" t="inlineStr">
        <is>
          <t>730-day cumulative → CAGR</t>
        </is>
      </c>
    </row>
    <row r="21" ht="18" customHeight="1">
      <c r="A21" s="32" t="inlineStr">
        <is>
          <t>return_3y</t>
        </is>
      </c>
      <c r="B21" s="33" t="inlineStr">
        <is>
          <t>return_1095d</t>
        </is>
      </c>
      <c r="C21" s="32" t="inlineStr">
        <is>
          <t>Numeric %</t>
        </is>
      </c>
      <c r="D21" s="32" t="inlineStr">
        <is>
          <t>1095-day CAGR</t>
        </is>
      </c>
    </row>
    <row r="23" ht="22" customHeight="1">
      <c r="A23" s="34" t="inlineStr">
        <is>
          <t>📊  DATA STATUS CLASSIFICATION</t>
        </is>
      </c>
    </row>
    <row r="24" ht="20" customHeight="1">
      <c r="A24" s="35" t="inlineStr">
        <is>
          <t>Status</t>
        </is>
      </c>
      <c r="B24" s="35" t="inlineStr">
        <is>
          <t>Condition</t>
        </is>
      </c>
      <c r="C24" s="35" t="inlineStr">
        <is>
          <t>Visual Style</t>
        </is>
      </c>
      <c r="D24" s="35" t="inlineStr">
        <is>
          <t>Scoring Impact</t>
        </is>
      </c>
    </row>
    <row r="25" ht="18" customHeight="1">
      <c r="A25" s="36" t="inlineStr">
        <is>
          <t>✅ FULL</t>
        </is>
      </c>
      <c r="B25" s="37" t="inlineStr">
        <is>
          <t>All 1M/3M/6M + 2Y/3Y present</t>
        </is>
      </c>
      <c r="C25" s="36" t="inlineStr">
        <is>
          <t>White/Ranked Colors</t>
        </is>
      </c>
      <c r="D25" s="36" t="inlineStr">
        <is>
          <t>Both E1 and E2 calculated</t>
        </is>
      </c>
    </row>
    <row r="26" ht="18" customHeight="1">
      <c r="A26" s="38" t="inlineStr">
        <is>
          <t>⚠️ MOMENTUM_ONLY</t>
        </is>
      </c>
      <c r="B26" s="39" t="inlineStr">
        <is>
          <t>1M/3M/6M present, 2Y/3Y missing</t>
        </is>
      </c>
      <c r="C26" s="38" t="inlineStr">
        <is>
          <t>Light Amber + Italic</t>
        </is>
      </c>
      <c r="D26" s="38" t="inlineStr">
        <is>
          <t>Only E1 calculated, E2=0</t>
        </is>
      </c>
    </row>
    <row r="27" ht="18" customHeight="1">
      <c r="A27" s="40" t="inlineStr">
        <is>
          <t>❌ MISSING</t>
        </is>
      </c>
      <c r="B27" s="41" t="inlineStr">
        <is>
          <t>Missing any of 1M/3M/6M</t>
        </is>
      </c>
      <c r="C27" s="40" t="inlineStr">
        <is>
          <t>Light Gray + Italic</t>
        </is>
      </c>
      <c r="D27" s="40" t="inlineStr">
        <is>
          <t>E1=0, E2=0, Comp=0</t>
        </is>
      </c>
    </row>
    <row r="29" ht="22" customHeight="1">
      <c r="A29" s="42" t="inlineStr">
        <is>
          <t>🚦  QUALITY GATES (Engine 2 Eligibility)</t>
        </is>
      </c>
    </row>
    <row r="30" ht="20" customHeight="1">
      <c r="A30" s="43" t="inlineStr">
        <is>
          <t>Gate</t>
        </is>
      </c>
      <c r="B30" s="43" t="inlineStr">
        <is>
          <t>Threshold</t>
        </is>
      </c>
      <c r="C30" s="43" t="inlineStr">
        <is>
          <t>Formula</t>
        </is>
      </c>
      <c r="D30" s="43" t="inlineStr">
        <is>
          <t>Purpose</t>
        </is>
      </c>
    </row>
    <row r="31" ht="18" customHeight="1">
      <c r="A31" s="32" t="inlineStr">
        <is>
          <t>Min 2Y CAGR</t>
        </is>
      </c>
      <c r="B31" s="33" t="inlineStr">
        <is>
          <t>10%</t>
        </is>
      </c>
      <c r="C31" s="32" t="inlineStr">
        <is>
          <t>r2y_cagr &gt; 10%</t>
        </is>
      </c>
      <c r="D31" s="32" t="inlineStr">
        <is>
          <t>Filter low long-term performers</t>
        </is>
      </c>
    </row>
    <row r="32" ht="18" customHeight="1">
      <c r="A32" s="32" t="inlineStr">
        <is>
          <t>Min 3Y CAGR</t>
        </is>
      </c>
      <c r="B32" s="33" t="inlineStr">
        <is>
          <t>12%</t>
        </is>
      </c>
      <c r="C32" s="32" t="inlineStr">
        <is>
          <t>r3y &gt; 12%</t>
        </is>
      </c>
      <c r="D32" s="32" t="inlineStr">
        <is>
          <t>Filter inconsistent performers</t>
        </is>
      </c>
    </row>
    <row r="33" ht="18" customHeight="1">
      <c r="A33" s="32" t="inlineStr">
        <is>
          <t>Drawdown Tolerance</t>
        </is>
      </c>
      <c r="B33" s="33" t="inlineStr">
        <is>
          <t>-30%</t>
        </is>
      </c>
      <c r="C33" s="32" t="inlineStr">
        <is>
          <t>r1y &gt; -30%</t>
        </is>
      </c>
      <c r="D33" s="32" t="inlineStr">
        <is>
          <t>Exclude extreme losers</t>
        </is>
      </c>
    </row>
    <row r="34" ht="18" customHeight="1">
      <c r="A34" s="32" t="inlineStr">
        <is>
          <t>Data Status</t>
        </is>
      </c>
      <c r="B34" s="33" t="inlineStr">
        <is>
          <t>FULL only</t>
        </is>
      </c>
      <c r="C34" s="32" t="inlineStr">
        <is>
          <t>data_status == 'FULL'</t>
        </is>
      </c>
      <c r="D34" s="32" t="inlineStr">
        <is>
          <t>Only complete data qualifies</t>
        </is>
      </c>
    </row>
    <row r="36" ht="22" customHeight="1">
      <c r="A36" s="44" t="inlineStr">
        <is>
          <t>📈  ENGINE 1: MOMENTUM SCORE (Short-Term)</t>
        </is>
      </c>
    </row>
    <row r="37" ht="20" customHeight="1">
      <c r="A37" s="45" t="inlineStr">
        <is>
          <t>Component</t>
        </is>
      </c>
      <c r="B37" s="45" t="inlineStr">
        <is>
          <t>Weight</t>
        </is>
      </c>
      <c r="C37" s="45" t="inlineStr">
        <is>
          <t>Formula</t>
        </is>
      </c>
      <c r="D37" s="45" t="inlineStr">
        <is>
          <t>Description</t>
        </is>
      </c>
    </row>
    <row r="38" ht="18" customHeight="1">
      <c r="A38" s="32" t="inlineStr">
        <is>
          <t>6M Return Rank</t>
        </is>
      </c>
      <c r="B38" s="33" t="inlineStr">
        <is>
          <t>30%</t>
        </is>
      </c>
      <c r="C38" s="32" t="inlineStr">
        <is>
          <t>pct_rank(r6m) × 0.30</t>
        </is>
      </c>
      <c r="D38" s="32" t="inlineStr">
        <is>
          <t>6-month percentile within category</t>
        </is>
      </c>
    </row>
    <row r="39" ht="18" customHeight="1">
      <c r="A39" s="32" t="inlineStr">
        <is>
          <t>3M Return Rank</t>
        </is>
      </c>
      <c r="B39" s="33" t="inlineStr">
        <is>
          <t>20%</t>
        </is>
      </c>
      <c r="C39" s="32" t="inlineStr">
        <is>
          <t>pct_rank(r3m) × 0.20</t>
        </is>
      </c>
      <c r="D39" s="32" t="inlineStr">
        <is>
          <t>3-month percentile within category</t>
        </is>
      </c>
    </row>
    <row r="40" ht="18" customHeight="1">
      <c r="A40" s="32" t="inlineStr">
        <is>
          <t>1Y Return Rank</t>
        </is>
      </c>
      <c r="B40" s="33" t="inlineStr">
        <is>
          <t>25%</t>
        </is>
      </c>
      <c r="C40" s="32" t="inlineStr">
        <is>
          <t>pct_rank(r1y) × 0.25</t>
        </is>
      </c>
      <c r="D40" s="32" t="inlineStr">
        <is>
          <t>1-year percentile within category</t>
        </is>
      </c>
    </row>
    <row r="41" ht="18" customHeight="1">
      <c r="A41" s="32" t="inlineStr">
        <is>
          <t>1M Return Rank</t>
        </is>
      </c>
      <c r="B41" s="33" t="inlineStr">
        <is>
          <t>25%</t>
        </is>
      </c>
      <c r="C41" s="32" t="inlineStr">
        <is>
          <t>pct_rank(r1m) × 0.25</t>
        </is>
      </c>
      <c r="D41" s="32" t="inlineStr">
        <is>
          <t>1-month percentile within category</t>
        </is>
      </c>
    </row>
    <row r="42" ht="18" customHeight="1">
      <c r="A42" s="32" t="inlineStr">
        <is>
          <t>Trend Bonus</t>
        </is>
      </c>
      <c r="B42" s="33" t="inlineStr">
        <is>
          <t>+5.0</t>
        </is>
      </c>
      <c r="C42" s="32" t="inlineStr">
        <is>
          <t>If r6m &gt; r3m &gt; r1m</t>
        </is>
      </c>
      <c r="D42" s="32" t="inlineStr">
        <is>
          <t>📈 Uptrend bonus (0 to 5 pts)</t>
        </is>
      </c>
    </row>
    <row r="43" ht="18" customHeight="1">
      <c r="A43" s="32" t="inlineStr">
        <is>
          <t>Final E1</t>
        </is>
      </c>
      <c r="B43" s="33" t="inlineStr">
        <is>
          <t>0-100</t>
        </is>
      </c>
      <c r="C43" s="32" t="inlineStr">
        <is>
          <t>clip(sum + trend, 0, 100)</t>
        </is>
      </c>
      <c r="D43" s="32" t="inlineStr">
        <is>
          <t>Capped percentile score</t>
        </is>
      </c>
    </row>
    <row r="45" ht="22" customHeight="1">
      <c r="A45" s="46" t="inlineStr">
        <is>
          <t>🏛️  ENGINE 2: QUALITY SCORE (Long-Term)</t>
        </is>
      </c>
    </row>
    <row r="46" ht="20" customHeight="1">
      <c r="A46" s="47" t="inlineStr">
        <is>
          <t>Component</t>
        </is>
      </c>
      <c r="B46" s="47" t="inlineStr">
        <is>
          <t>Weight</t>
        </is>
      </c>
      <c r="C46" s="47" t="inlineStr">
        <is>
          <t>Formula</t>
        </is>
      </c>
      <c r="D46" s="47" t="inlineStr">
        <is>
          <t>Description</t>
        </is>
      </c>
    </row>
    <row r="47" ht="18" customHeight="1">
      <c r="A47" s="32" t="inlineStr">
        <is>
          <t>1Y Return Rank</t>
        </is>
      </c>
      <c r="B47" s="33" t="inlineStr">
        <is>
          <t>25%</t>
        </is>
      </c>
      <c r="C47" s="32" t="inlineStr">
        <is>
          <t>pct_rank(r1y) × 0.25</t>
        </is>
      </c>
      <c r="D47" s="32" t="inlineStr">
        <is>
          <t>1-year percentile (qualified only)</t>
        </is>
      </c>
    </row>
    <row r="48" ht="18" customHeight="1">
      <c r="A48" s="32" t="inlineStr">
        <is>
          <t>2Y CAGR Rank</t>
        </is>
      </c>
      <c r="B48" s="33" t="inlineStr">
        <is>
          <t>30%</t>
        </is>
      </c>
      <c r="C48" s="32" t="inlineStr">
        <is>
          <t>pct_rank(r2y_cagr) × 0.30</t>
        </is>
      </c>
      <c r="D48" s="32" t="inlineStr">
        <is>
          <t>2-year CAGR percentile</t>
        </is>
      </c>
    </row>
    <row r="49" ht="18" customHeight="1">
      <c r="A49" s="32" t="inlineStr">
        <is>
          <t>3Y CAGR Rank</t>
        </is>
      </c>
      <c r="B49" s="33" t="inlineStr">
        <is>
          <t>45%</t>
        </is>
      </c>
      <c r="C49" s="32" t="inlineStr">
        <is>
          <t>pct_rank(r3y) × 0.45</t>
        </is>
      </c>
      <c r="D49" s="32" t="inlineStr">
        <is>
          <t>3-year CAGR percentile (highest weight)</t>
        </is>
      </c>
    </row>
    <row r="50" ht="18" customHeight="1">
      <c r="A50" s="32" t="inlineStr">
        <is>
          <t>Final E2</t>
        </is>
      </c>
      <c r="B50" s="33" t="inlineStr">
        <is>
          <t>0-100</t>
        </is>
      </c>
      <c r="C50" s="32" t="inlineStr">
        <is>
          <t>sum of weighted ranks</t>
        </is>
      </c>
      <c r="D50" s="32" t="inlineStr">
        <is>
          <t>Only for qualified funds</t>
        </is>
      </c>
    </row>
    <row r="52" ht="22" customHeight="1">
      <c r="A52" s="34" t="inlineStr">
        <is>
          <t>🎯  COMPOSITE SCORE CALCULATION</t>
        </is>
      </c>
    </row>
    <row r="53" ht="20" customHeight="1">
      <c r="A53" s="35" t="inlineStr">
        <is>
          <t>Component</t>
        </is>
      </c>
      <c r="B53" s="35" t="inlineStr">
        <is>
          <t>Weight</t>
        </is>
      </c>
      <c r="C53" s="35" t="inlineStr">
        <is>
          <t>Formula</t>
        </is>
      </c>
      <c r="D53" s="35" t="inlineStr">
        <is>
          <t>Description</t>
        </is>
      </c>
    </row>
    <row r="54" ht="18" customHeight="1">
      <c r="A54" s="32" t="inlineStr">
        <is>
          <t>Engine 1 Contribution</t>
        </is>
      </c>
      <c r="B54" s="33" t="inlineStr">
        <is>
          <t>55%</t>
        </is>
      </c>
      <c r="C54" s="32" t="inlineStr">
        <is>
          <t>E1 × 0.55</t>
        </is>
      </c>
      <c r="D54" s="32" t="inlineStr">
        <is>
          <t>Momentum component</t>
        </is>
      </c>
    </row>
    <row r="55" ht="18" customHeight="1">
      <c r="A55" s="32" t="inlineStr">
        <is>
          <t>Engine 2 Contribution</t>
        </is>
      </c>
      <c r="B55" s="33" t="inlineStr">
        <is>
          <t>45%</t>
        </is>
      </c>
      <c r="C55" s="32" t="inlineStr">
        <is>
          <t>E2 × 0.45</t>
        </is>
      </c>
      <c r="D55" s="32" t="inlineStr">
        <is>
          <t>Quality component</t>
        </is>
      </c>
    </row>
    <row r="56" ht="18" customHeight="1">
      <c r="A56" s="32" t="inlineStr">
        <is>
          <t>Final Composite</t>
        </is>
      </c>
      <c r="B56" s="33" t="inlineStr">
        <is>
          <t>0-100</t>
        </is>
      </c>
      <c r="C56" s="32" t="inlineStr">
        <is>
          <t>E1×0.55 + E2×0.45</t>
        </is>
      </c>
      <c r="D56" s="32" t="inlineStr">
        <is>
          <t>Blended score for ranking</t>
        </is>
      </c>
    </row>
    <row r="58" ht="22" customHeight="1">
      <c r="A58" s="48" t="inlineStr">
        <is>
          <t>🏆  RANKING METHODOLOGY</t>
        </is>
      </c>
    </row>
    <row r="59" ht="20" customHeight="1">
      <c r="A59" s="49" t="inlineStr">
        <is>
          <t>Step</t>
        </is>
      </c>
      <c r="B59" s="49" t="inlineStr">
        <is>
          <t>Logic</t>
        </is>
      </c>
      <c r="C59" s="49" t="inlineStr">
        <is>
          <t>Scope</t>
        </is>
      </c>
      <c r="D59" s="49" t="inlineStr">
        <is>
          <t>Result</t>
        </is>
      </c>
    </row>
    <row r="60" ht="18" customHeight="1">
      <c r="A60" s="32" t="inlineStr">
        <is>
          <t>1. Group by Category</t>
        </is>
      </c>
      <c r="B60" s="33" t="inlineStr">
        <is>
          <t>df.groupby('_cat')</t>
        </is>
      </c>
      <c r="C60" s="32" t="inlineStr">
        <is>
          <t>Within each category</t>
        </is>
      </c>
      <c r="D60" s="32" t="inlineStr">
        <is>
          <t>Separate ranking pools</t>
        </is>
      </c>
    </row>
    <row r="61" ht="18" customHeight="1">
      <c r="A61" s="32" t="inlineStr">
        <is>
          <t>2. Sort by Composite</t>
        </is>
      </c>
      <c r="B61" s="33" t="inlineStr">
        <is>
          <t>descending order</t>
        </is>
      </c>
      <c r="C61" s="32" t="inlineStr">
        <is>
          <t>Highest score = Rank 1</t>
        </is>
      </c>
      <c r="D61" s="32" t="inlineStr">
        <is>
          <t>FULL data prioritized</t>
        </is>
      </c>
    </row>
    <row r="62" ht="18" customHeight="1">
      <c r="A62" s="32" t="inlineStr">
        <is>
          <t>3. Handle Ties</t>
        </is>
      </c>
      <c r="B62" s="33" t="inlineStr">
        <is>
          <t>method='min'</t>
        </is>
      </c>
      <c r="C62" s="32" t="inlineStr">
        <is>
          <t>Same score = same rank</t>
        </is>
      </c>
      <c r="D62" s="32" t="inlineStr">
        <is>
          <t>Preserves order stability</t>
        </is>
      </c>
    </row>
    <row r="63" ht="18" customHeight="1">
      <c r="A63" s="32" t="inlineStr">
        <is>
          <t>4. Data Status Sort</t>
        </is>
      </c>
      <c r="B63" s="33" t="inlineStr">
        <is>
          <t>FULL → MOMENTUM → MISSING</t>
        </is>
      </c>
      <c r="C63" s="32" t="inlineStr">
        <is>
          <t>Global consolidated view</t>
        </is>
      </c>
      <c r="D63" s="32" t="inlineStr">
        <is>
          <t>Best data quality first</t>
        </is>
      </c>
    </row>
    <row r="65" ht="22" customHeight="1">
      <c r="A65" s="50" t="inlineStr">
        <is>
          <t>🏅  RANK IN ASSET CLASS (Consolidated Sheet — Dynamic)</t>
        </is>
      </c>
    </row>
    <row r="66" ht="20" customHeight="1">
      <c r="A66" s="51" t="inlineStr">
        <is>
          <t>Column</t>
        </is>
      </c>
      <c r="B66" s="51" t="inlineStr">
        <is>
          <t>Excel Formula (whole-column)</t>
        </is>
      </c>
      <c r="C66" s="51" t="inlineStr">
        <is>
          <t>Meaning</t>
        </is>
      </c>
      <c r="D66" s="51" t="inlineStr">
        <is>
          <t>How to Use</t>
        </is>
      </c>
    </row>
    <row r="67" ht="18" customHeight="1">
      <c r="A67" s="32" t="inlineStr">
        <is>
          <t>E1 Rank (in Asset)</t>
        </is>
      </c>
      <c r="B67" s="33">
        <f>COUNTIFS($E:$E,$E5,$L:$L,"&gt;"&amp;$L5)+1</f>
        <v/>
      </c>
      <c r="C67" s="32" t="inlineStr">
        <is>
          <t>Rank by Engine 1 within same Asset Class</t>
        </is>
      </c>
      <c r="D67" s="32" t="inlineStr">
        <is>
          <t>Filter by Asset Class, sort ascending</t>
        </is>
      </c>
    </row>
    <row r="68" ht="18" customHeight="1">
      <c r="A68" s="32" t="inlineStr">
        <is>
          <t>E2 Rank (in Asset)</t>
        </is>
      </c>
      <c r="B68" s="33">
        <f>COUNTIFS($E:$E,$E5,$M:$M,"&gt;"&amp;$M5)+1</f>
        <v/>
      </c>
      <c r="C68" s="32" t="inlineStr">
        <is>
          <t>Rank by Engine 2 within same Asset Class</t>
        </is>
      </c>
      <c r="D68" s="32" t="inlineStr">
        <is>
          <t>Filter by Asset Class, sort ascending</t>
        </is>
      </c>
    </row>
    <row r="69" ht="18" customHeight="1">
      <c r="A69" s="32" t="inlineStr">
        <is>
          <t>Comp Rank (in Asset)</t>
        </is>
      </c>
      <c r="B69" s="33">
        <f>COUNTIFS($E:$E,$E5,$N:$N,"&gt;"&amp;$N5)+1</f>
        <v/>
      </c>
      <c r="C69" s="32" t="inlineStr">
        <is>
          <t>Rank by Composite within same Asset Class</t>
        </is>
      </c>
      <c r="D69" s="32" t="inlineStr">
        <is>
          <t>Rank 1 = best fund in that Asset Class</t>
        </is>
      </c>
    </row>
    <row r="70" ht="18" customHeight="1">
      <c r="A70" s="36" t="inlineStr">
        <is>
          <t>Note</t>
        </is>
      </c>
      <c r="B70" s="37" t="inlineStr">
        <is>
          <t>Whole-column refs ($E:$E)</t>
        </is>
      </c>
      <c r="C70" s="36" t="inlineStr">
        <is>
          <t>Fully dynamic — auto-expands with new rows</t>
        </is>
      </c>
      <c r="D70" s="36" t="inlineStr">
        <is>
          <t>Replaces the old Asset Class Analysis sheet</t>
        </is>
      </c>
    </row>
    <row r="72" ht="22" customHeight="1">
      <c r="A72" s="30" t="inlineStr">
        <is>
          <t>🏷️  ASSET CLASS TAGGING (Priority Order)</t>
        </is>
      </c>
    </row>
    <row r="73" ht="20" customHeight="1">
      <c r="A73" s="31" t="inlineStr">
        <is>
          <t>Priority</t>
        </is>
      </c>
      <c r="B73" s="31" t="inlineStr">
        <is>
          <t>Asset Class</t>
        </is>
      </c>
      <c r="C73" s="31" t="inlineStr">
        <is>
          <t>Keywords</t>
        </is>
      </c>
      <c r="D73" s="31" t="inlineStr">
        <is>
          <t>Example Match</t>
        </is>
      </c>
    </row>
    <row r="74" ht="18" customHeight="1">
      <c r="A74" s="32" t="inlineStr">
        <is>
          <t>1</t>
        </is>
      </c>
      <c r="B74" s="33" t="inlineStr">
        <is>
          <t>Silver</t>
        </is>
      </c>
      <c r="C74" s="32" t="inlineStr">
        <is>
          <t>silver</t>
        </is>
      </c>
      <c r="D74" s="32" t="inlineStr">
        <is>
          <t>scheme_name.lower().contains()</t>
        </is>
      </c>
    </row>
    <row r="75" ht="18" customHeight="1">
      <c r="A75" s="32" t="inlineStr">
        <is>
          <t>2</t>
        </is>
      </c>
      <c r="B75" s="33" t="inlineStr">
        <is>
          <t>Gold</t>
        </is>
      </c>
      <c r="C75" s="32" t="inlineStr">
        <is>
          <t>gold</t>
        </is>
      </c>
      <c r="D75" s="32" t="inlineStr">
        <is>
          <t>scheme_name.lower().contains()</t>
        </is>
      </c>
    </row>
    <row r="76" ht="18" customHeight="1">
      <c r="A76" s="32" t="inlineStr">
        <is>
          <t>3</t>
        </is>
      </c>
      <c r="B76" s="33" t="inlineStr">
        <is>
          <t>G-SEC</t>
        </is>
      </c>
      <c r="C76" s="32" t="inlineStr">
        <is>
          <t>g-sec, gsec</t>
        </is>
      </c>
      <c r="D76" s="32" t="inlineStr">
        <is>
          <t>scheme_name.lower().contains()</t>
        </is>
      </c>
    </row>
    <row r="77" ht="18" customHeight="1">
      <c r="A77" s="32" t="inlineStr">
        <is>
          <t>4</t>
        </is>
      </c>
      <c r="B77" s="33" t="inlineStr">
        <is>
          <t>GILT</t>
        </is>
      </c>
      <c r="C77" s="32" t="inlineStr">
        <is>
          <t>gilt</t>
        </is>
      </c>
      <c r="D77" s="32" t="inlineStr">
        <is>
          <t>scheme_name.lower().contains()</t>
        </is>
      </c>
    </row>
    <row r="78" ht="18" customHeight="1">
      <c r="A78" s="32" t="inlineStr">
        <is>
          <t>5</t>
        </is>
      </c>
      <c r="B78" s="33" t="inlineStr">
        <is>
          <t>NASDAQ</t>
        </is>
      </c>
      <c r="C78" s="32" t="inlineStr">
        <is>
          <t>nasdaq, nq100, nq 100</t>
        </is>
      </c>
      <c r="D78" s="32" t="inlineStr">
        <is>
          <t>scheme_name.lower().contains()</t>
        </is>
      </c>
    </row>
    <row r="79" ht="18" customHeight="1">
      <c r="A79" s="32" t="inlineStr">
        <is>
          <t>6</t>
        </is>
      </c>
      <c r="B79" s="33" t="inlineStr">
        <is>
          <t>S&amp;P 500</t>
        </is>
      </c>
      <c r="C79" s="32" t="inlineStr">
        <is>
          <t>s&amp;p 500, s&amp;p500, s&amp;p 50</t>
        </is>
      </c>
      <c r="D79" s="32" t="inlineStr">
        <is>
          <t>scheme_name.lower().contains()</t>
        </is>
      </c>
    </row>
    <row r="80" ht="18" customHeight="1">
      <c r="A80" s="32" t="inlineStr">
        <is>
          <t>7</t>
        </is>
      </c>
      <c r="B80" s="33" t="inlineStr">
        <is>
          <t>International</t>
        </is>
      </c>
      <c r="C80" s="32" t="inlineStr">
        <is>
          <t>overseas, global, hang seng...</t>
        </is>
      </c>
      <c r="D80" s="32" t="inlineStr">
        <is>
          <t>scheme_name.lower().contains()</t>
        </is>
      </c>
    </row>
    <row r="81" ht="18" customHeight="1">
      <c r="A81" s="32" t="inlineStr">
        <is>
          <t>8</t>
        </is>
      </c>
      <c r="B81" s="33" t="inlineStr">
        <is>
          <t>Pharma/Healthcare</t>
        </is>
      </c>
      <c r="C81" s="32" t="inlineStr">
        <is>
          <t>pharma, healthcare, health</t>
        </is>
      </c>
      <c r="D81" s="32" t="inlineStr">
        <is>
          <t>scheme_name.lower().contains()</t>
        </is>
      </c>
    </row>
    <row r="82" ht="18" customHeight="1">
      <c r="A82" s="32" t="inlineStr">
        <is>
          <t>9</t>
        </is>
      </c>
      <c r="B82" s="33" t="inlineStr">
        <is>
          <t>Technology</t>
        </is>
      </c>
      <c r="C82" s="32" t="inlineStr">
        <is>
          <t>tech, artificial intelligence, ai ...</t>
        </is>
      </c>
      <c r="D82" s="32" t="inlineStr">
        <is>
          <t>scheme_name.lower().contains()</t>
        </is>
      </c>
    </row>
    <row r="83" ht="18" customHeight="1">
      <c r="A83" s="32" t="inlineStr">
        <is>
          <t>10</t>
        </is>
      </c>
      <c r="B83" s="33" t="inlineStr">
        <is>
          <t>Commodities</t>
        </is>
      </c>
      <c r="C83" s="32" t="inlineStr">
        <is>
          <t>commodit, metal, energy...</t>
        </is>
      </c>
      <c r="D83" s="32" t="inlineStr">
        <is>
          <t>scheme_name.lower().contains()</t>
        </is>
      </c>
    </row>
    <row r="84" ht="18" customHeight="1">
      <c r="A84" s="32" t="inlineStr">
        <is>
          <t>11</t>
        </is>
      </c>
      <c r="B84" s="33" t="inlineStr">
        <is>
          <t>Infrastructure</t>
        </is>
      </c>
      <c r="C84" s="32" t="inlineStr">
        <is>
          <t>infra, infrastructure</t>
        </is>
      </c>
      <c r="D84" s="32" t="inlineStr">
        <is>
          <t>scheme_name.lower().contains()</t>
        </is>
      </c>
    </row>
    <row r="85" ht="18" customHeight="1">
      <c r="A85" s="32" t="inlineStr">
        <is>
          <t>12</t>
        </is>
      </c>
      <c r="B85" s="33" t="inlineStr">
        <is>
          <t>Banking/Financial</t>
        </is>
      </c>
      <c r="C85" s="32" t="inlineStr">
        <is>
          <t>bank, financial, psu bank...</t>
        </is>
      </c>
      <c r="D85" s="32" t="inlineStr">
        <is>
          <t>scheme_name.lower().contains()</t>
        </is>
      </c>
    </row>
    <row r="86" ht="18" customHeight="1">
      <c r="A86" s="32" t="inlineStr">
        <is>
          <t>13</t>
        </is>
      </c>
      <c r="B86" s="33" t="inlineStr">
        <is>
          <t>Index Fund</t>
        </is>
      </c>
      <c r="C86" s="32" t="inlineStr">
        <is>
          <t>index, nifty, sensex...</t>
        </is>
      </c>
      <c r="D86" s="32" t="inlineStr">
        <is>
          <t>scheme_name.lower().contains()</t>
        </is>
      </c>
    </row>
    <row r="87" ht="18" customHeight="1">
      <c r="A87" s="32" t="inlineStr">
        <is>
          <t>99</t>
        </is>
      </c>
      <c r="B87" s="33" t="inlineStr">
        <is>
          <t>Standard Equity/Debt</t>
        </is>
      </c>
      <c r="C87" s="32" t="inlineStr">
        <is>
          <t>(default)</t>
        </is>
      </c>
      <c r="D87" s="32" t="inlineStr">
        <is>
          <t>No keyword match</t>
        </is>
      </c>
    </row>
    <row r="89" ht="22" customHeight="1">
      <c r="A89" s="44" t="inlineStr">
        <is>
          <t>📈  MOMENTUM SIGNAL (Engine 1)</t>
        </is>
      </c>
    </row>
    <row r="90" ht="20" customHeight="1">
      <c r="A90" s="45" t="inlineStr">
        <is>
          <t>Signal</t>
        </is>
      </c>
      <c r="B90" s="45" t="inlineStr">
        <is>
          <t>E1 Range</t>
        </is>
      </c>
      <c r="C90" s="45" t="inlineStr">
        <is>
          <t>Meaning</t>
        </is>
      </c>
      <c r="D90" s="45" t="inlineStr">
        <is>
          <t>Action</t>
        </is>
      </c>
    </row>
    <row r="91" ht="18" customHeight="1">
      <c r="A91" s="32" t="inlineStr">
        <is>
          <t>🔥 Hot</t>
        </is>
      </c>
      <c r="B91" s="33" t="inlineStr">
        <is>
          <t>90-100</t>
        </is>
      </c>
      <c r="C91" s="32" t="inlineStr">
        <is>
          <t>Exceptional momentum</t>
        </is>
      </c>
      <c r="D91" s="32" t="inlineStr">
        <is>
          <t>Strong short-term performer</t>
        </is>
      </c>
    </row>
    <row r="92" ht="18" customHeight="1">
      <c r="A92" s="32" t="inlineStr">
        <is>
          <t>⭐ Strong</t>
        </is>
      </c>
      <c r="B92" s="33" t="inlineStr">
        <is>
          <t>75-89</t>
        </is>
      </c>
      <c r="C92" s="32" t="inlineStr">
        <is>
          <t>Above average momentum</t>
        </is>
      </c>
      <c r="D92" s="32" t="inlineStr">
        <is>
          <t>Good entry point</t>
        </is>
      </c>
    </row>
    <row r="93" ht="18" customHeight="1">
      <c r="A93" s="32" t="inlineStr">
        <is>
          <t>📈 Good</t>
        </is>
      </c>
      <c r="B93" s="33" t="inlineStr">
        <is>
          <t>60-74</t>
        </is>
      </c>
      <c r="C93" s="32" t="inlineStr">
        <is>
          <t>Decent momentum</t>
        </is>
      </c>
      <c r="D93" s="32" t="inlineStr">
        <is>
          <t>Monitor for improvement</t>
        </is>
      </c>
    </row>
    <row r="94" ht="18" customHeight="1">
      <c r="A94" s="32" t="inlineStr">
        <is>
          <t>➡️ Neutral</t>
        </is>
      </c>
      <c r="B94" s="33" t="inlineStr">
        <is>
          <t>40-59</t>
        </is>
      </c>
      <c r="C94" s="32" t="inlineStr">
        <is>
          <t>Average performance</t>
        </is>
      </c>
      <c r="D94" s="32" t="inlineStr">
        <is>
          <t>No clear direction</t>
        </is>
      </c>
    </row>
    <row r="95" ht="18" customHeight="1">
      <c r="A95" s="32" t="inlineStr">
        <is>
          <t>📉 Weak</t>
        </is>
      </c>
      <c r="B95" s="33" t="inlineStr">
        <is>
          <t>&lt;40</t>
        </is>
      </c>
      <c r="C95" s="32" t="inlineStr">
        <is>
          <t>Below average</t>
        </is>
      </c>
      <c r="D95" s="32" t="inlineStr">
        <is>
          <t>Caution advised</t>
        </is>
      </c>
    </row>
    <row r="97" ht="22" customHeight="1">
      <c r="A97" s="46" t="inlineStr">
        <is>
          <t>🏛️  QUALITY SIGNAL (Engine 2)</t>
        </is>
      </c>
    </row>
    <row r="98" ht="20" customHeight="1">
      <c r="A98" s="47" t="inlineStr">
        <is>
          <t>Signal</t>
        </is>
      </c>
      <c r="B98" s="47" t="inlineStr">
        <is>
          <t>E2 Range</t>
        </is>
      </c>
      <c r="C98" s="47" t="inlineStr">
        <is>
          <t>Meaning</t>
        </is>
      </c>
      <c r="D98" s="47" t="inlineStr">
        <is>
          <t>Action</t>
        </is>
      </c>
    </row>
    <row r="99" ht="18" customHeight="1">
      <c r="A99" s="32" t="inlineStr">
        <is>
          <t>🏆 Elite</t>
        </is>
      </c>
      <c r="B99" s="33" t="inlineStr">
        <is>
          <t>90-100</t>
        </is>
      </c>
      <c r="C99" s="32" t="inlineStr">
        <is>
          <t>Top-tier quality</t>
        </is>
      </c>
      <c r="D99" s="32" t="inlineStr">
        <is>
          <t>Core holding candidate</t>
        </is>
      </c>
    </row>
    <row r="100" ht="18" customHeight="1">
      <c r="A100" s="32" t="inlineStr">
        <is>
          <t>⭐ Strong</t>
        </is>
      </c>
      <c r="B100" s="33" t="inlineStr">
        <is>
          <t>75-89</t>
        </is>
      </c>
      <c r="C100" s="32" t="inlineStr">
        <is>
          <t>Strong fundamentals</t>
        </is>
      </c>
      <c r="D100" s="32" t="inlineStr">
        <is>
          <t>Solid long-term choice</t>
        </is>
      </c>
    </row>
    <row r="101" ht="18" customHeight="1">
      <c r="A101" s="32" t="inlineStr">
        <is>
          <t>🏛️ Solid</t>
        </is>
      </c>
      <c r="B101" s="33" t="inlineStr">
        <is>
          <t>60-74</t>
        </is>
      </c>
      <c r="C101" s="32" t="inlineStr">
        <is>
          <t>Good quality metrics</t>
        </is>
      </c>
      <c r="D101" s="32" t="inlineStr">
        <is>
          <t>Reliable performer</t>
        </is>
      </c>
    </row>
    <row r="102" ht="18" customHeight="1">
      <c r="A102" s="32" t="inlineStr">
        <is>
          <t>➡️ Average</t>
        </is>
      </c>
      <c r="B102" s="33" t="inlineStr">
        <is>
          <t>40-59</t>
        </is>
      </c>
      <c r="C102" s="32" t="inlineStr">
        <is>
          <t>Market average</t>
        </is>
      </c>
      <c r="D102" s="32" t="inlineStr">
        <is>
          <t>No standout quality</t>
        </is>
      </c>
    </row>
    <row r="103" ht="18" customHeight="1">
      <c r="A103" s="32" t="inlineStr">
        <is>
          <t>⚠️ Below Avg</t>
        </is>
      </c>
      <c r="B103" s="33" t="inlineStr">
        <is>
          <t>1-39</t>
        </is>
      </c>
      <c r="C103" s="32" t="inlineStr">
        <is>
          <t>Below market average</t>
        </is>
      </c>
      <c r="D103" s="32" t="inlineStr">
        <is>
          <t>Review before investing</t>
        </is>
      </c>
    </row>
    <row r="104" ht="18" customHeight="1">
      <c r="A104" s="32" t="inlineStr">
        <is>
          <t>🔴 Not Qualified</t>
        </is>
      </c>
      <c r="B104" s="33" t="inlineStr">
        <is>
          <t>0</t>
        </is>
      </c>
      <c r="C104" s="32" t="inlineStr">
        <is>
          <t>Failed quality gates</t>
        </is>
      </c>
      <c r="D104" s="32" t="inlineStr">
        <is>
          <t>Does not meet criteria</t>
        </is>
      </c>
    </row>
    <row r="105" ht="18" customHeight="1">
      <c r="A105" s="38" t="inlineStr">
        <is>
          <t>⏳ New Fund</t>
        </is>
      </c>
      <c r="B105" s="39" t="inlineStr">
        <is>
          <t>N/A</t>
        </is>
      </c>
      <c r="C105" s="38" t="inlineStr">
        <is>
          <t>Insufficient history</t>
        </is>
      </c>
      <c r="D105" s="38" t="inlineStr">
        <is>
          <t>Wait for track record</t>
        </is>
      </c>
    </row>
    <row r="107" ht="22" customHeight="1">
      <c r="A107" s="34" t="inlineStr">
        <is>
          <t>🎯  COMPOSITE SIGNAL (Combined)</t>
        </is>
      </c>
    </row>
    <row r="108" ht="20" customHeight="1">
      <c r="A108" s="35" t="inlineStr">
        <is>
          <t>Signal</t>
        </is>
      </c>
      <c r="B108" s="35" t="inlineStr">
        <is>
          <t>Condition</t>
        </is>
      </c>
      <c r="C108" s="35" t="inlineStr">
        <is>
          <t>Meaning</t>
        </is>
      </c>
      <c r="D108" s="35" t="inlineStr">
        <is>
          <t>Action</t>
        </is>
      </c>
    </row>
    <row r="109" ht="18" customHeight="1">
      <c r="A109" s="32" t="inlineStr">
        <is>
          <t>🚀 Strong Conviction</t>
        </is>
      </c>
      <c r="B109" s="33" t="inlineStr">
        <is>
          <t>≥85 + Uptrend</t>
        </is>
      </c>
      <c r="C109" s="32" t="inlineStr">
        <is>
          <t>Best of both engines</t>
        </is>
      </c>
      <c r="D109" s="32" t="inlineStr">
        <is>
          <t>Top pick</t>
        </is>
      </c>
    </row>
    <row r="110" ht="18" customHeight="1">
      <c r="A110" s="32" t="inlineStr">
        <is>
          <t>⭐ Strong Buy</t>
        </is>
      </c>
      <c r="B110" s="33" t="inlineStr">
        <is>
          <t>75-84</t>
        </is>
      </c>
      <c r="C110" s="32" t="inlineStr">
        <is>
          <t>High composite score</t>
        </is>
      </c>
      <c r="D110" s="32" t="inlineStr">
        <is>
          <t>Recommended buy</t>
        </is>
      </c>
    </row>
    <row r="111" ht="18" customHeight="1">
      <c r="A111" s="32" t="inlineStr">
        <is>
          <t>📈 Momentum Play</t>
        </is>
      </c>
      <c r="B111" s="33" t="inlineStr">
        <is>
          <t>60-74 (E1&gt;E2)</t>
        </is>
      </c>
      <c r="C111" s="32" t="inlineStr">
        <is>
          <t>Momentum-driven</t>
        </is>
      </c>
      <c r="D111" s="32" t="inlineStr">
        <is>
          <t>Short-term opportunity</t>
        </is>
      </c>
    </row>
    <row r="112" ht="18" customHeight="1">
      <c r="A112" s="32" t="inlineStr">
        <is>
          <t>🏛️ Quality Hold</t>
        </is>
      </c>
      <c r="B112" s="33" t="inlineStr">
        <is>
          <t>60-74 (E2&gt;E1)</t>
        </is>
      </c>
      <c r="C112" s="32" t="inlineStr">
        <is>
          <t>Quality-driven</t>
        </is>
      </c>
      <c r="D112" s="32" t="inlineStr">
        <is>
          <t>Long-term hold</t>
        </is>
      </c>
    </row>
    <row r="113" ht="18" customHeight="1">
      <c r="A113" s="32" t="inlineStr">
        <is>
          <t>✅ Buy</t>
        </is>
      </c>
      <c r="B113" s="33" t="inlineStr">
        <is>
          <t>55-59</t>
        </is>
      </c>
      <c r="C113" s="32" t="inlineStr">
        <is>
          <t>Moderate confidence</t>
        </is>
      </c>
      <c r="D113" s="32" t="inlineStr">
        <is>
          <t>Consider buying</t>
        </is>
      </c>
    </row>
    <row r="114" ht="18" customHeight="1">
      <c r="A114" s="32" t="inlineStr">
        <is>
          <t>⚠️ Watch</t>
        </is>
      </c>
      <c r="B114" s="33" t="inlineStr">
        <is>
          <t>40-54</t>
        </is>
      </c>
      <c r="C114" s="32" t="inlineStr">
        <is>
          <t>Below average</t>
        </is>
      </c>
      <c r="D114" s="32" t="inlineStr">
        <is>
          <t>Monitor closely</t>
        </is>
      </c>
    </row>
    <row r="115" ht="18" customHeight="1">
      <c r="A115" s="32" t="inlineStr">
        <is>
          <t>🔴 Avoid</t>
        </is>
      </c>
      <c r="B115" s="33" t="inlineStr">
        <is>
          <t>&lt;40</t>
        </is>
      </c>
      <c r="C115" s="32" t="inlineStr">
        <is>
          <t>Poor performance</t>
        </is>
      </c>
      <c r="D115" s="32" t="inlineStr">
        <is>
          <t>Not recommended</t>
        </is>
      </c>
    </row>
    <row r="116" ht="18" customHeight="1">
      <c r="A116" s="38" t="inlineStr">
        <is>
          <t>🔥 Hot Momentum</t>
        </is>
      </c>
      <c r="B116" s="39" t="inlineStr">
        <is>
          <t>E1≥80 (Mom. Only)</t>
        </is>
      </c>
      <c r="C116" s="38" t="inlineStr">
        <is>
          <t>Strong momentum, no history</t>
        </is>
      </c>
      <c r="D116" s="38" t="inlineStr">
        <is>
          <t>Speculative</t>
        </is>
      </c>
    </row>
    <row r="118" ht="22" customHeight="1">
      <c r="A118" s="34" t="inlineStr">
        <is>
          <t>📈  DATA STATISTICS (Live)</t>
        </is>
      </c>
    </row>
    <row r="119" ht="20" customHeight="1">
      <c r="A119" s="35" t="inlineStr">
        <is>
          <t>Metric</t>
        </is>
      </c>
      <c r="B119" s="35" t="inlineStr">
        <is>
          <t>Count</t>
        </is>
      </c>
      <c r="C119" s="35" t="inlineStr">
        <is>
          <t>Share</t>
        </is>
      </c>
      <c r="D119" s="35" t="inlineStr">
        <is>
          <t>Notes</t>
        </is>
      </c>
    </row>
    <row r="120" ht="18" customHeight="1">
      <c r="A120" s="52" t="inlineStr">
        <is>
          <t>Total Funds</t>
        </is>
      </c>
      <c r="B120" s="53">
        <f>COUNTA('📊 CONSOLIDATED'!$B:$B)-4</f>
        <v/>
      </c>
      <c r="C120" s="54" t="n">
        <v>1</v>
      </c>
      <c r="D120" s="52" t="inlineStr">
        <is>
          <t>All funds in analysis</t>
        </is>
      </c>
    </row>
    <row r="121" ht="18" customHeight="1">
      <c r="A121" s="55" t="inlineStr">
        <is>
          <t>✅ Full Data</t>
        </is>
      </c>
      <c r="B121" s="56">
        <f>COUNTIF('📊 CONSOLIDATED'!$U:$U,"FULL")</f>
        <v/>
      </c>
      <c r="C121" s="57">
        <f>=COUNTIF('📊 CONSOLIDATED'!$U:$U,"FULL")/=COUNTA('📊 CONSOLIDATED'!$B:$B)-4</f>
        <v/>
      </c>
      <c r="D121" s="55" t="inlineStr">
        <is>
          <t>Complete data for scoring</t>
        </is>
      </c>
    </row>
    <row r="122" ht="18" customHeight="1">
      <c r="A122" s="58" t="inlineStr">
        <is>
          <t>⚠️ Momentum Only</t>
        </is>
      </c>
      <c r="B122" s="59">
        <f>COUNTIF('📊 CONSOLIDATED'!$U:$U,"MOMENTUM_ONLY")</f>
        <v/>
      </c>
      <c r="C122" s="60">
        <f>=COUNTIF('📊 CONSOLIDATED'!$U:$U,"MOMENTUM_ONLY")/=COUNTA('📊 CONSOLIDATED'!$B:$B)-4</f>
        <v/>
      </c>
      <c r="D122" s="58" t="inlineStr">
        <is>
          <t>New funds, E2=0</t>
        </is>
      </c>
    </row>
    <row r="123" ht="18" customHeight="1">
      <c r="A123" s="61" t="inlineStr">
        <is>
          <t>❌ Missing Data</t>
        </is>
      </c>
      <c r="B123" s="62">
        <f>COUNTIF('📊 CONSOLIDATED'!$U:$U,"MISSING")</f>
        <v/>
      </c>
      <c r="C123" s="63">
        <f>=COUNTIF('📊 CONSOLIDATED'!$U:$U,"MISSING")/=COUNTA('📊 CONSOLIDATED'!$B:$B)-4</f>
        <v/>
      </c>
      <c r="D123" s="61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CONTRA FUND  ✦</t>
        </is>
      </c>
    </row>
    <row r="2" ht="16" customHeight="1">
      <c r="A2" s="2">
        <f>"Dual Engine: 55% Momentum + 45% Quality | ✅ Full: "&amp;COUNTIF(Q5:Q8,"FULL")&amp;" | ⚠️ Momentum: "&amp;COUNTIF(Q5:Q8,"MOMENTUM_ONLY")&amp;" | ❌ Missing: "&amp;COUNTIF(Q5:Q8,"MISSING")&amp;" | Total: "&amp;COUNTA(B5:B8)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Kotak Contra Fund - Regular Plan - Growth</t>
        </is>
      </c>
      <c r="C5" s="65" t="inlineStr">
        <is>
          <t>Kotak Mahindra Mutual Fund</t>
        </is>
      </c>
      <c r="D5" s="65" t="inlineStr">
        <is>
          <t>Contra Fund</t>
        </is>
      </c>
      <c r="E5" s="66" t="n">
        <v>-2.36</v>
      </c>
      <c r="F5" s="66" t="n">
        <v>-0.45</v>
      </c>
      <c r="G5" s="66" t="n">
        <v>-6.46</v>
      </c>
      <c r="H5" s="66" t="n">
        <v>-2.58</v>
      </c>
      <c r="I5" s="67" t="n">
        <v>1.311401135311518</v>
      </c>
      <c r="J5" s="67" t="n">
        <v>56.53</v>
      </c>
      <c r="K5" s="17" t="n">
        <v>80</v>
      </c>
      <c r="L5" s="18" t="n">
        <v>0</v>
      </c>
      <c r="M5" s="19" t="n">
        <v>44</v>
      </c>
      <c r="N5" s="20" t="inlineStr">
        <is>
          <t>⭐ Strong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SBI CONTRA FUND - REGULAR PLAN -GROWTH</t>
        </is>
      </c>
      <c r="C6" s="70" t="inlineStr">
        <is>
          <t>SBI Mutual Fund</t>
        </is>
      </c>
      <c r="D6" s="70" t="inlineStr">
        <is>
          <t>Contra Fund</t>
        </is>
      </c>
      <c r="E6" s="71" t="n">
        <v>-2.24</v>
      </c>
      <c r="F6" s="71" t="n">
        <v>-1.78</v>
      </c>
      <c r="G6" s="71" t="n">
        <v>-7.84</v>
      </c>
      <c r="H6" s="71" t="n">
        <v>-5.3</v>
      </c>
      <c r="I6" s="72" t="n">
        <v>0.08496390567367396</v>
      </c>
      <c r="J6" s="72" t="n">
        <v>47.33</v>
      </c>
      <c r="K6" s="73" t="n">
        <v>55</v>
      </c>
      <c r="L6" s="18" t="n">
        <v>0</v>
      </c>
      <c r="M6" s="19" t="n">
        <v>30.3</v>
      </c>
      <c r="N6" s="28" t="inlineStr">
        <is>
          <t>➡️ Neutral</t>
        </is>
      </c>
      <c r="O6" s="28" t="inlineStr">
        <is>
          <t>🔴 Not Qualified</t>
        </is>
      </c>
      <c r="P6" s="28" t="inlineStr">
        <is>
          <t>🔴 Avoid</t>
        </is>
      </c>
      <c r="Q6" s="68" t="inlineStr">
        <is>
          <t>FULL</t>
        </is>
      </c>
    </row>
    <row r="7" ht="16" customHeight="1">
      <c r="A7" s="74" t="n">
        <v>3</v>
      </c>
      <c r="B7" s="75" t="inlineStr">
        <is>
          <t>Invesco India Contra Fund - Regular Plan - Growth</t>
        </is>
      </c>
      <c r="C7" s="75" t="inlineStr">
        <is>
          <t>Invesco Mutual Fund</t>
        </is>
      </c>
      <c r="D7" s="75" t="inlineStr">
        <is>
          <t>Contra Fund</t>
        </is>
      </c>
      <c r="E7" s="76" t="n">
        <v>-2.55</v>
      </c>
      <c r="F7" s="77" t="n">
        <v>1.81</v>
      </c>
      <c r="G7" s="76" t="n">
        <v>-8.48</v>
      </c>
      <c r="H7" s="76" t="n">
        <v>-6.88</v>
      </c>
      <c r="I7" s="77" t="n">
        <v>2.195890328329742</v>
      </c>
      <c r="J7" s="77" t="n">
        <v>52.19</v>
      </c>
      <c r="K7" s="78" t="n">
        <v>22.5</v>
      </c>
      <c r="L7" s="18" t="n">
        <v>0</v>
      </c>
      <c r="M7" s="19" t="n">
        <v>12.4</v>
      </c>
      <c r="N7" s="79" t="inlineStr">
        <is>
          <t>📉 Weak</t>
        </is>
      </c>
      <c r="O7" s="79" t="inlineStr">
        <is>
          <t>🔴 Not Qualified</t>
        </is>
      </c>
      <c r="P7" s="79" t="inlineStr">
        <is>
          <t>🔴 Avoid</t>
        </is>
      </c>
      <c r="Q7" s="68" t="inlineStr">
        <is>
          <t>FULL</t>
        </is>
      </c>
    </row>
    <row r="8" ht="16" customHeight="1">
      <c r="A8" s="80" t="n">
        <v>0</v>
      </c>
      <c r="B8" s="81" t="inlineStr">
        <is>
          <t>Motilal Oswal Contra Fund - Regular â Growth</t>
        </is>
      </c>
      <c r="C8" s="81" t="inlineStr">
        <is>
          <t>Motilal Oswal Mutual Fund</t>
        </is>
      </c>
      <c r="D8" s="81" t="inlineStr">
        <is>
          <t>Contra Fund</t>
        </is>
      </c>
      <c r="E8" s="82" t="n">
        <v>0</v>
      </c>
      <c r="F8" s="82" t="n">
        <v>0</v>
      </c>
      <c r="G8" s="82" t="n">
        <v>0</v>
      </c>
      <c r="H8" s="82" t="n">
        <v>0</v>
      </c>
      <c r="I8" s="82" t="n">
        <v>0</v>
      </c>
      <c r="J8" s="82" t="n">
        <v>0</v>
      </c>
      <c r="K8" s="78" t="n">
        <v>0</v>
      </c>
      <c r="L8" s="18" t="n">
        <v>0</v>
      </c>
      <c r="M8" s="19" t="n">
        <v>0</v>
      </c>
      <c r="N8" s="83" t="inlineStr">
        <is>
          <t>❌ N/A</t>
        </is>
      </c>
      <c r="O8" s="83" t="inlineStr">
        <is>
          <t>❌ N/A</t>
        </is>
      </c>
      <c r="P8" s="83" t="inlineStr">
        <is>
          <t>❌ Missing Data</t>
        </is>
      </c>
      <c r="Q8" s="84" t="inlineStr">
        <is>
          <t>MISSING</t>
        </is>
      </c>
    </row>
  </sheetData>
  <autoFilter ref="A4:Q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ELSS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quant ELSS Tax Saver Fund - Growth Option - Regular Plan</t>
        </is>
      </c>
      <c r="C5" s="65" t="inlineStr">
        <is>
          <t>quant Mutual Fund</t>
        </is>
      </c>
      <c r="D5" s="65" t="inlineStr">
        <is>
          <t>Elss</t>
        </is>
      </c>
      <c r="E5" s="66" t="n">
        <v>-0.54</v>
      </c>
      <c r="F5" s="67" t="n">
        <v>9.1</v>
      </c>
      <c r="G5" s="67" t="n">
        <v>1.7</v>
      </c>
      <c r="H5" s="67" t="n">
        <v>4.7</v>
      </c>
      <c r="I5" s="66" t="n">
        <v>-0.6974320573732595</v>
      </c>
      <c r="J5" s="67" t="n">
        <v>57.77</v>
      </c>
      <c r="K5" s="17" t="n">
        <v>100</v>
      </c>
      <c r="L5" s="18" t="n">
        <v>0</v>
      </c>
      <c r="M5" s="21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JM ELSS Tax Saver Fund (Regular) - Growth option</t>
        </is>
      </c>
      <c r="C6" s="70" t="inlineStr">
        <is>
          <t>JM Financial Mutual Fund</t>
        </is>
      </c>
      <c r="D6" s="70" t="inlineStr">
        <is>
          <t>Elss</t>
        </is>
      </c>
      <c r="E6" s="71" t="n">
        <v>-2.24</v>
      </c>
      <c r="F6" s="72" t="n">
        <v>5.96</v>
      </c>
      <c r="G6" s="71" t="n">
        <v>-5.86</v>
      </c>
      <c r="H6" s="71" t="n">
        <v>-1.75</v>
      </c>
      <c r="I6" s="72" t="n">
        <v>1.587400793602356</v>
      </c>
      <c r="J6" s="72" t="n">
        <v>51.3</v>
      </c>
      <c r="K6" s="17" t="n">
        <v>86.2</v>
      </c>
      <c r="L6" s="18" t="n">
        <v>0</v>
      </c>
      <c r="M6" s="19" t="n">
        <v>47.4</v>
      </c>
      <c r="N6" s="28" t="inlineStr">
        <is>
          <t>⭐ Strong</t>
        </is>
      </c>
      <c r="O6" s="28" t="inlineStr">
        <is>
          <t>🔴 Not Qualified</t>
        </is>
      </c>
      <c r="P6" s="28" t="inlineStr">
        <is>
          <t>⚠️ Watch</t>
        </is>
      </c>
      <c r="Q6" s="68" t="inlineStr">
        <is>
          <t>FULL</t>
        </is>
      </c>
    </row>
    <row r="7" ht="16" customHeight="1">
      <c r="A7" s="74" t="n">
        <v>3</v>
      </c>
      <c r="B7" s="75" t="inlineStr">
        <is>
          <t>HSBC ELSS Tax saver Fund - Regular Growth</t>
        </is>
      </c>
      <c r="C7" s="75" t="inlineStr">
        <is>
          <t>HSBC Mutual Fund</t>
        </is>
      </c>
      <c r="D7" s="75" t="inlineStr">
        <is>
          <t>Elss</t>
        </is>
      </c>
      <c r="E7" s="76" t="n">
        <v>-2.51</v>
      </c>
      <c r="F7" s="77" t="n">
        <v>3.78</v>
      </c>
      <c r="G7" s="76" t="n">
        <v>-2.97</v>
      </c>
      <c r="H7" s="76" t="n">
        <v>-2.54</v>
      </c>
      <c r="I7" s="77" t="n">
        <v>3.995192196562614</v>
      </c>
      <c r="J7" s="77" t="n">
        <v>53.92</v>
      </c>
      <c r="K7" s="17" t="n">
        <v>85.40000000000001</v>
      </c>
      <c r="L7" s="18" t="n">
        <v>0</v>
      </c>
      <c r="M7" s="19" t="n">
        <v>46.9</v>
      </c>
      <c r="N7" s="79" t="inlineStr">
        <is>
          <t>⭐ Strong</t>
        </is>
      </c>
      <c r="O7" s="79" t="inlineStr">
        <is>
          <t>🔴 Not Qualified</t>
        </is>
      </c>
      <c r="P7" s="79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BANK OF INDIA ELSS Tax Saver -ECO Plan-Growth</t>
        </is>
      </c>
      <c r="C8" s="86" t="inlineStr">
        <is>
          <t>Bank of India Mutual Fund</t>
        </is>
      </c>
      <c r="D8" s="86" t="inlineStr">
        <is>
          <t>Elss</t>
        </is>
      </c>
      <c r="E8" s="87" t="n">
        <v>-2.5</v>
      </c>
      <c r="F8" s="88" t="n">
        <v>2.55</v>
      </c>
      <c r="G8" s="87" t="n">
        <v>-0.08</v>
      </c>
      <c r="H8" s="87" t="n">
        <v>-2.91</v>
      </c>
      <c r="I8" s="87" t="n">
        <v>-1.369375952496377</v>
      </c>
      <c r="J8" s="88" t="n">
        <v>50.6</v>
      </c>
      <c r="K8" s="17" t="n">
        <v>83.7</v>
      </c>
      <c r="L8" s="18" t="n">
        <v>0</v>
      </c>
      <c r="M8" s="19" t="n">
        <v>46</v>
      </c>
      <c r="N8" s="89" t="inlineStr">
        <is>
          <t>⭐ Strong</t>
        </is>
      </c>
      <c r="O8" s="89" t="inlineStr">
        <is>
          <t>🔴 Not Qualified</t>
        </is>
      </c>
      <c r="P8" s="89" t="inlineStr">
        <is>
          <t>⚠️ Watch</t>
        </is>
      </c>
      <c r="Q8" s="68" t="inlineStr">
        <is>
          <t>FULL</t>
        </is>
      </c>
    </row>
    <row r="9" ht="16" customHeight="1">
      <c r="A9" s="90" t="n">
        <v>5</v>
      </c>
      <c r="B9" s="91" t="inlineStr">
        <is>
          <t>Mirae Asset ELSS Tax Saver Fund - Regular Plan - Growth</t>
        </is>
      </c>
      <c r="C9" s="91" t="inlineStr">
        <is>
          <t>Mirae Asset Mutual Fund</t>
        </is>
      </c>
      <c r="D9" s="91" t="inlineStr">
        <is>
          <t>Elss</t>
        </is>
      </c>
      <c r="E9" s="92" t="n">
        <v>-1.44</v>
      </c>
      <c r="F9" s="93" t="n">
        <v>2.37</v>
      </c>
      <c r="G9" s="92" t="n">
        <v>-6.33</v>
      </c>
      <c r="H9" s="92" t="n">
        <v>-2.39</v>
      </c>
      <c r="I9" s="93" t="n">
        <v>3.580886267689376</v>
      </c>
      <c r="J9" s="93" t="n">
        <v>45.77</v>
      </c>
      <c r="K9" s="17" t="n">
        <v>83.7</v>
      </c>
      <c r="L9" s="18" t="n">
        <v>0</v>
      </c>
      <c r="M9" s="19" t="n">
        <v>46</v>
      </c>
      <c r="N9" s="94" t="inlineStr">
        <is>
          <t>⭐ Strong</t>
        </is>
      </c>
      <c r="O9" s="94" t="inlineStr">
        <is>
          <t>🔴 Not Qualified</t>
        </is>
      </c>
      <c r="P9" s="94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BANK OF INDIA ELSS Tax Saver -Regular Plan- Growth</t>
        </is>
      </c>
      <c r="C10" s="86" t="inlineStr">
        <is>
          <t>Bank of India Mutual Fund</t>
        </is>
      </c>
      <c r="D10" s="86" t="inlineStr">
        <is>
          <t>Elss</t>
        </is>
      </c>
      <c r="E10" s="87" t="n">
        <v>-2.53</v>
      </c>
      <c r="F10" s="88" t="n">
        <v>2.46</v>
      </c>
      <c r="G10" s="87" t="n">
        <v>-0.23</v>
      </c>
      <c r="H10" s="87" t="n">
        <v>-3.18</v>
      </c>
      <c r="I10" s="87" t="n">
        <v>-1.628256089464386</v>
      </c>
      <c r="J10" s="88" t="n">
        <v>49.43</v>
      </c>
      <c r="K10" s="17" t="n">
        <v>79.5</v>
      </c>
      <c r="L10" s="18" t="n">
        <v>0</v>
      </c>
      <c r="M10" s="19" t="n">
        <v>43.7</v>
      </c>
      <c r="N10" s="89" t="inlineStr">
        <is>
          <t>⭐ Strong</t>
        </is>
      </c>
      <c r="O10" s="89" t="inlineStr">
        <is>
          <t>🔴 Not Qualified</t>
        </is>
      </c>
      <c r="P10" s="89" t="inlineStr">
        <is>
          <t>⚠️ Watch</t>
        </is>
      </c>
      <c r="Q10" s="68" t="inlineStr">
        <is>
          <t>FULL</t>
        </is>
      </c>
    </row>
    <row r="11" ht="16" customHeight="1">
      <c r="A11" s="90" t="n">
        <v>7</v>
      </c>
      <c r="B11" s="91" t="inlineStr">
        <is>
          <t>Tata ELSS Fund-Growth-Regular Plan</t>
        </is>
      </c>
      <c r="C11" s="91" t="inlineStr">
        <is>
          <t>Tata Mutual Fund</t>
        </is>
      </c>
      <c r="D11" s="91" t="inlineStr">
        <is>
          <t>Elss</t>
        </is>
      </c>
      <c r="E11" s="92" t="n">
        <v>-2.52</v>
      </c>
      <c r="F11" s="93" t="n">
        <v>1.74</v>
      </c>
      <c r="G11" s="92" t="n">
        <v>-4.6</v>
      </c>
      <c r="H11" s="92" t="n">
        <v>-1.45</v>
      </c>
      <c r="I11" s="93" t="n">
        <v>3.759336929261448</v>
      </c>
      <c r="J11" s="93" t="n">
        <v>44.76</v>
      </c>
      <c r="K11" s="17" t="n">
        <v>79.40000000000001</v>
      </c>
      <c r="L11" s="18" t="n">
        <v>0</v>
      </c>
      <c r="M11" s="19" t="n">
        <v>43.7</v>
      </c>
      <c r="N11" s="94" t="inlineStr">
        <is>
          <t>⭐ Strong</t>
        </is>
      </c>
      <c r="O11" s="94" t="inlineStr">
        <is>
          <t>🔴 Not Qualified</t>
        </is>
      </c>
      <c r="P11" s="94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Aditya Birla Sun Life ELSS Tax Saver Fund - Growth Option</t>
        </is>
      </c>
      <c r="C12" s="86" t="inlineStr">
        <is>
          <t>Aditya Birla Sun Life Mutual Fund</t>
        </is>
      </c>
      <c r="D12" s="86" t="inlineStr">
        <is>
          <t>Elss</t>
        </is>
      </c>
      <c r="E12" s="87" t="n">
        <v>-2.2</v>
      </c>
      <c r="F12" s="88" t="n">
        <v>2.27</v>
      </c>
      <c r="G12" s="87" t="n">
        <v>-6.31</v>
      </c>
      <c r="H12" s="87" t="n">
        <v>-2.85</v>
      </c>
      <c r="I12" s="88" t="n">
        <v>2.449987798925579</v>
      </c>
      <c r="J12" s="88" t="n">
        <v>41.61</v>
      </c>
      <c r="K12" s="17" t="n">
        <v>77.40000000000001</v>
      </c>
      <c r="L12" s="18" t="n">
        <v>0</v>
      </c>
      <c r="M12" s="19" t="n">
        <v>42.6</v>
      </c>
      <c r="N12" s="89" t="inlineStr">
        <is>
          <t>⭐ Strong</t>
        </is>
      </c>
      <c r="O12" s="89" t="inlineStr">
        <is>
          <t>🔴 Not Qualified</t>
        </is>
      </c>
      <c r="P12" s="89" t="inlineStr">
        <is>
          <t>⚠️ Watch</t>
        </is>
      </c>
      <c r="Q12" s="68" t="inlineStr">
        <is>
          <t>FULL</t>
        </is>
      </c>
    </row>
    <row r="13" ht="16" customHeight="1">
      <c r="A13" s="90" t="n">
        <v>9</v>
      </c>
      <c r="B13" s="91" t="inlineStr">
        <is>
          <t>WhiteOak Capital ELSS Tax Saver Fund Regular Plan Growth</t>
        </is>
      </c>
      <c r="C13" s="91" t="inlineStr">
        <is>
          <t>WhiteOak Capital Mutual Fund</t>
        </is>
      </c>
      <c r="D13" s="91" t="inlineStr">
        <is>
          <t>Elss</t>
        </is>
      </c>
      <c r="E13" s="92" t="n">
        <v>-1.92</v>
      </c>
      <c r="F13" s="93" t="n">
        <v>4.16</v>
      </c>
      <c r="G13" s="92" t="n">
        <v>-6.53</v>
      </c>
      <c r="H13" s="92" t="n">
        <v>-4.43</v>
      </c>
      <c r="I13" s="93" t="n">
        <v>4.766406829670355</v>
      </c>
      <c r="J13" s="93" t="n">
        <v>55.52</v>
      </c>
      <c r="K13" s="17" t="n">
        <v>77.3</v>
      </c>
      <c r="L13" s="18" t="n">
        <v>0</v>
      </c>
      <c r="M13" s="19" t="n">
        <v>42.5</v>
      </c>
      <c r="N13" s="94" t="inlineStr">
        <is>
          <t>⭐ Strong</t>
        </is>
      </c>
      <c r="O13" s="94" t="inlineStr">
        <is>
          <t>🔴 Not Qualified</t>
        </is>
      </c>
      <c r="P13" s="94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Motilal Oswal ELSS Tax Saver Fund - Regular Plan - Growth Option</t>
        </is>
      </c>
      <c r="C14" s="86" t="inlineStr">
        <is>
          <t>Motilal Oswal Mutual Fund</t>
        </is>
      </c>
      <c r="D14" s="86" t="inlineStr">
        <is>
          <t>Elss</t>
        </is>
      </c>
      <c r="E14" s="87" t="n">
        <v>-4.27</v>
      </c>
      <c r="F14" s="88" t="n">
        <v>11.04</v>
      </c>
      <c r="G14" s="88" t="n">
        <v>5.2</v>
      </c>
      <c r="H14" s="87" t="n">
        <v>-0.34</v>
      </c>
      <c r="I14" s="88" t="n">
        <v>7.242715370322483</v>
      </c>
      <c r="J14" s="88" t="n">
        <v>79.20999999999999</v>
      </c>
      <c r="K14" s="17" t="n">
        <v>76.90000000000001</v>
      </c>
      <c r="L14" s="18" t="n">
        <v>0</v>
      </c>
      <c r="M14" s="19" t="n">
        <v>42.3</v>
      </c>
      <c r="N14" s="89" t="inlineStr">
        <is>
          <t>⭐ Strong</t>
        </is>
      </c>
      <c r="O14" s="89" t="inlineStr">
        <is>
          <t>🔴 Not Qualified</t>
        </is>
      </c>
      <c r="P14" s="89" t="inlineStr">
        <is>
          <t>⚠️ Watch</t>
        </is>
      </c>
      <c r="Q14" s="68" t="inlineStr">
        <is>
          <t>FULL</t>
        </is>
      </c>
    </row>
    <row r="15" ht="16" customHeight="1">
      <c r="A15" s="90" t="n">
        <v>11</v>
      </c>
      <c r="B15" s="91" t="inlineStr">
        <is>
          <t>Nippon India ELSS Tax Saver Fund-Growth Plan-Growth Option</t>
        </is>
      </c>
      <c r="C15" s="91" t="inlineStr">
        <is>
          <t>Nippon India Mutual Fund</t>
        </is>
      </c>
      <c r="D15" s="91" t="inlineStr">
        <is>
          <t>Elss</t>
        </is>
      </c>
      <c r="E15" s="92" t="n">
        <v>-2.52</v>
      </c>
      <c r="F15" s="93" t="n">
        <v>0.97</v>
      </c>
      <c r="G15" s="92" t="n">
        <v>-4.26</v>
      </c>
      <c r="H15" s="92" t="n">
        <v>-2.81</v>
      </c>
      <c r="I15" s="93" t="n">
        <v>2.093094771389903</v>
      </c>
      <c r="J15" s="93" t="n">
        <v>50.66</v>
      </c>
      <c r="K15" s="73" t="n">
        <v>74.8</v>
      </c>
      <c r="L15" s="18" t="n">
        <v>0</v>
      </c>
      <c r="M15" s="19" t="n">
        <v>41.1</v>
      </c>
      <c r="N15" s="94" t="inlineStr">
        <is>
          <t>📈 Good</t>
        </is>
      </c>
      <c r="O15" s="94" t="inlineStr">
        <is>
          <t>🔴 Not Qualified</t>
        </is>
      </c>
      <c r="P15" s="94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CANARA ROBECO ELSS TAX SAVER - REGULAR PLAN - GROWTH OPTION</t>
        </is>
      </c>
      <c r="C16" s="86" t="inlineStr">
        <is>
          <t>Canara Robeco Mutual Fund</t>
        </is>
      </c>
      <c r="D16" s="86" t="inlineStr">
        <is>
          <t>Elss</t>
        </is>
      </c>
      <c r="E16" s="87" t="n">
        <v>-2.58</v>
      </c>
      <c r="F16" s="88" t="n">
        <v>1.16</v>
      </c>
      <c r="G16" s="87" t="n">
        <v>-5.88</v>
      </c>
      <c r="H16" s="87" t="n">
        <v>-4.21</v>
      </c>
      <c r="I16" s="88" t="n">
        <v>1.970583993620445</v>
      </c>
      <c r="J16" s="88" t="n">
        <v>38.31</v>
      </c>
      <c r="K16" s="73" t="n">
        <v>66.90000000000001</v>
      </c>
      <c r="L16" s="18" t="n">
        <v>0</v>
      </c>
      <c r="M16" s="19" t="n">
        <v>36.8</v>
      </c>
      <c r="N16" s="89" t="inlineStr">
        <is>
          <t>📈 Good</t>
        </is>
      </c>
      <c r="O16" s="89" t="inlineStr">
        <is>
          <t>🔴 Not Qualified</t>
        </is>
      </c>
      <c r="P16" s="89" t="inlineStr">
        <is>
          <t>🔴 Avoid</t>
        </is>
      </c>
      <c r="Q16" s="68" t="inlineStr">
        <is>
          <t>FULL</t>
        </is>
      </c>
    </row>
    <row r="17" ht="16" customHeight="1">
      <c r="A17" s="90" t="n">
        <v>13</v>
      </c>
      <c r="B17" s="91" t="inlineStr">
        <is>
          <t>BARODA BNP PARIBAS ELSS Tax Saver Fund - Regular - Growth Option</t>
        </is>
      </c>
      <c r="C17" s="91" t="inlineStr">
        <is>
          <t>Baroda BNP Paribas Mutual Fund</t>
        </is>
      </c>
      <c r="D17" s="91" t="inlineStr">
        <is>
          <t>Elss</t>
        </is>
      </c>
      <c r="E17" s="92" t="n">
        <v>-3.14</v>
      </c>
      <c r="F17" s="93" t="n">
        <v>1.58</v>
      </c>
      <c r="G17" s="92" t="n">
        <v>-6.58</v>
      </c>
      <c r="H17" s="92" t="n">
        <v>-1.31</v>
      </c>
      <c r="I17" s="93" t="n">
        <v>3.677384226262181</v>
      </c>
      <c r="J17" s="93" t="n">
        <v>52.13</v>
      </c>
      <c r="K17" s="73" t="n">
        <v>64.8</v>
      </c>
      <c r="L17" s="18" t="n">
        <v>0</v>
      </c>
      <c r="M17" s="19" t="n">
        <v>35.6</v>
      </c>
      <c r="N17" s="94" t="inlineStr">
        <is>
          <t>📈 Good</t>
        </is>
      </c>
      <c r="O17" s="94" t="inlineStr">
        <is>
          <t>🔴 Not Qualified</t>
        </is>
      </c>
      <c r="P17" s="94" t="inlineStr">
        <is>
          <t>🔴 Avoid</t>
        </is>
      </c>
      <c r="Q17" s="68" t="inlineStr">
        <is>
          <t>FULL</t>
        </is>
      </c>
    </row>
    <row r="18" ht="16" customHeight="1">
      <c r="A18" s="95" t="n">
        <v>14</v>
      </c>
      <c r="B18" s="96" t="inlineStr">
        <is>
          <t>BAJAJ FINSERV ELSS TAX SAVER FUND - REGULAR - GROWTH</t>
        </is>
      </c>
      <c r="C18" s="96" t="inlineStr">
        <is>
          <t>Bajaj Finserv Mutual Fund</t>
        </is>
      </c>
      <c r="D18" s="96" t="inlineStr">
        <is>
          <t>Elss</t>
        </is>
      </c>
      <c r="E18" s="97" t="n">
        <v>-4.12</v>
      </c>
      <c r="F18" s="98" t="n">
        <v>2.68</v>
      </c>
      <c r="G18" s="97" t="n">
        <v>-4.8</v>
      </c>
      <c r="H18" s="97" t="n">
        <v>-4.18</v>
      </c>
      <c r="I18" s="98" t="n">
        <v>0</v>
      </c>
      <c r="J18" s="98" t="n">
        <v>0</v>
      </c>
      <c r="K18" s="73" t="n">
        <v>60.7</v>
      </c>
      <c r="L18" s="18" t="n">
        <v>0</v>
      </c>
      <c r="M18" s="19" t="n">
        <v>33.4</v>
      </c>
      <c r="N18" s="99" t="inlineStr">
        <is>
          <t>📈 Good</t>
        </is>
      </c>
      <c r="O18" s="99" t="inlineStr">
        <is>
          <t>⏳ New Fund</t>
        </is>
      </c>
      <c r="P18" s="99" t="inlineStr">
        <is>
          <t>📈 Momentum Only</t>
        </is>
      </c>
      <c r="Q18" s="100" t="inlineStr">
        <is>
          <t>MOMENTUM_ONLY</t>
        </is>
      </c>
    </row>
    <row r="19" ht="16" customHeight="1">
      <c r="A19" s="90" t="n">
        <v>15</v>
      </c>
      <c r="B19" s="91" t="inlineStr">
        <is>
          <t>Shriram ELSS Tax Saver Fund - Regular Growth</t>
        </is>
      </c>
      <c r="C19" s="91" t="inlineStr">
        <is>
          <t>Shriram Mutual Fund</t>
        </is>
      </c>
      <c r="D19" s="91" t="inlineStr">
        <is>
          <t>Elss</t>
        </is>
      </c>
      <c r="E19" s="92" t="n">
        <v>-2.06</v>
      </c>
      <c r="F19" s="93" t="n">
        <v>0.74</v>
      </c>
      <c r="G19" s="92" t="n">
        <v>-7.39</v>
      </c>
      <c r="H19" s="92" t="n">
        <v>-5.86</v>
      </c>
      <c r="I19" s="92" t="n">
        <v>-5.718506587984084</v>
      </c>
      <c r="J19" s="93" t="n">
        <v>23.86</v>
      </c>
      <c r="K19" s="73" t="n">
        <v>59.3</v>
      </c>
      <c r="L19" s="18" t="n">
        <v>0</v>
      </c>
      <c r="M19" s="19" t="n">
        <v>32.6</v>
      </c>
      <c r="N19" s="94" t="inlineStr">
        <is>
          <t>➡️ Neutral</t>
        </is>
      </c>
      <c r="O19" s="94" t="inlineStr">
        <is>
          <t>🔴 Not Qualified</t>
        </is>
      </c>
      <c r="P19" s="94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ITI ELSS Tax Saver Fund - Regular Plan - Growth Option</t>
        </is>
      </c>
      <c r="C20" s="86" t="inlineStr">
        <is>
          <t>ITI Mutual Fund</t>
        </is>
      </c>
      <c r="D20" s="86" t="inlineStr">
        <is>
          <t>Elss</t>
        </is>
      </c>
      <c r="E20" s="87" t="n">
        <v>-3.71</v>
      </c>
      <c r="F20" s="88" t="n">
        <v>6.23</v>
      </c>
      <c r="G20" s="87" t="n">
        <v>-3.94</v>
      </c>
      <c r="H20" s="87" t="n">
        <v>-7.14</v>
      </c>
      <c r="I20" s="87" t="n">
        <v>-0.808266473460606</v>
      </c>
      <c r="J20" s="88" t="n">
        <v>54.28</v>
      </c>
      <c r="K20" s="73" t="n">
        <v>58.6</v>
      </c>
      <c r="L20" s="18" t="n">
        <v>0</v>
      </c>
      <c r="M20" s="19" t="n">
        <v>32.2</v>
      </c>
      <c r="N20" s="89" t="inlineStr">
        <is>
          <t>➡️ Neutral</t>
        </is>
      </c>
      <c r="O20" s="89" t="inlineStr">
        <is>
          <t>🔴 Not Qualified</t>
        </is>
      </c>
      <c r="P20" s="89" t="inlineStr">
        <is>
          <t>🔴 Avoid</t>
        </is>
      </c>
      <c r="Q20" s="68" t="inlineStr">
        <is>
          <t>FULL</t>
        </is>
      </c>
    </row>
    <row r="21" ht="16" customHeight="1">
      <c r="A21" s="90" t="n">
        <v>17</v>
      </c>
      <c r="B21" s="91" t="inlineStr">
        <is>
          <t>DSP ELSS Tax Saver Fund - Regular Plan - Growth</t>
        </is>
      </c>
      <c r="C21" s="91" t="inlineStr">
        <is>
          <t>DSP Mutual Fund</t>
        </is>
      </c>
      <c r="D21" s="91" t="inlineStr">
        <is>
          <t>Elss</t>
        </is>
      </c>
      <c r="E21" s="92" t="n">
        <v>-1.67</v>
      </c>
      <c r="F21" s="92" t="n">
        <v>-0.04</v>
      </c>
      <c r="G21" s="92" t="n">
        <v>-7.63</v>
      </c>
      <c r="H21" s="92" t="n">
        <v>-5.18</v>
      </c>
      <c r="I21" s="93" t="n">
        <v>2.703456611742139</v>
      </c>
      <c r="J21" s="93" t="n">
        <v>54.09</v>
      </c>
      <c r="K21" s="73" t="n">
        <v>58.5</v>
      </c>
      <c r="L21" s="18" t="n">
        <v>0</v>
      </c>
      <c r="M21" s="19" t="n">
        <v>32.1</v>
      </c>
      <c r="N21" s="94" t="inlineStr">
        <is>
          <t>➡️ Neutral</t>
        </is>
      </c>
      <c r="O21" s="94" t="inlineStr">
        <is>
          <t>🔴 Not Qualified</t>
        </is>
      </c>
      <c r="P21" s="94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Edelweiss ELSS Tax Saver Fund - Regular Plan - Growth Option</t>
        </is>
      </c>
      <c r="C22" s="86" t="inlineStr">
        <is>
          <t>Edelweiss Mutual Fund</t>
        </is>
      </c>
      <c r="D22" s="86" t="inlineStr">
        <is>
          <t>Elss</t>
        </is>
      </c>
      <c r="E22" s="87" t="n">
        <v>-4.25</v>
      </c>
      <c r="F22" s="88" t="n">
        <v>1.02</v>
      </c>
      <c r="G22" s="87" t="n">
        <v>-6.13</v>
      </c>
      <c r="H22" s="87" t="n">
        <v>-2.45</v>
      </c>
      <c r="I22" s="88" t="n">
        <v>2.508536229916003</v>
      </c>
      <c r="J22" s="88" t="n">
        <v>42.92</v>
      </c>
      <c r="K22" s="73" t="n">
        <v>57.4</v>
      </c>
      <c r="L22" s="18" t="n">
        <v>0</v>
      </c>
      <c r="M22" s="19" t="n">
        <v>31.6</v>
      </c>
      <c r="N22" s="89" t="inlineStr">
        <is>
          <t>➡️ Neutral</t>
        </is>
      </c>
      <c r="O22" s="89" t="inlineStr">
        <is>
          <t>🔴 Not Qualified</t>
        </is>
      </c>
      <c r="P22" s="89" t="inlineStr">
        <is>
          <t>🔴 Avoid</t>
        </is>
      </c>
      <c r="Q22" s="68" t="inlineStr">
        <is>
          <t>FULL</t>
        </is>
      </c>
    </row>
    <row r="23" ht="16" customHeight="1">
      <c r="A23" s="90" t="n">
        <v>19</v>
      </c>
      <c r="B23" s="91" t="inlineStr">
        <is>
          <t>Samco ELSS Tax Saver Fund - Regular Plan - Growth Option</t>
        </is>
      </c>
      <c r="C23" s="91" t="inlineStr">
        <is>
          <t>Samco Mutual Fund</t>
        </is>
      </c>
      <c r="D23" s="91" t="inlineStr">
        <is>
          <t>Elss</t>
        </is>
      </c>
      <c r="E23" s="92" t="n">
        <v>-2.8</v>
      </c>
      <c r="F23" s="93" t="n">
        <v>3.59</v>
      </c>
      <c r="G23" s="92" t="n">
        <v>-3.81</v>
      </c>
      <c r="H23" s="92" t="n">
        <v>-12.48</v>
      </c>
      <c r="I23" s="92" t="n">
        <v>-8.315759260383249</v>
      </c>
      <c r="J23" s="93" t="n">
        <v>14.33</v>
      </c>
      <c r="K23" s="73" t="n">
        <v>55.6</v>
      </c>
      <c r="L23" s="18" t="n">
        <v>0</v>
      </c>
      <c r="M23" s="19" t="n">
        <v>30.6</v>
      </c>
      <c r="N23" s="94" t="inlineStr">
        <is>
          <t>➡️ Neutral</t>
        </is>
      </c>
      <c r="O23" s="94" t="inlineStr">
        <is>
          <t>🔴 Not Qualified</t>
        </is>
      </c>
      <c r="P23" s="94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PGIM India ELSS Tax Saver Fund - Regular Plan - Growth Option</t>
        </is>
      </c>
      <c r="C24" s="86" t="inlineStr">
        <is>
          <t>PGIM India Mutual Fund</t>
        </is>
      </c>
      <c r="D24" s="86" t="inlineStr">
        <is>
          <t>Elss</t>
        </is>
      </c>
      <c r="E24" s="87" t="n">
        <v>-1.97</v>
      </c>
      <c r="F24" s="88" t="n">
        <v>2.12</v>
      </c>
      <c r="G24" s="87" t="n">
        <v>-8.140000000000001</v>
      </c>
      <c r="H24" s="87" t="n">
        <v>-7.58</v>
      </c>
      <c r="I24" s="88" t="n">
        <v>0.6727371238112401</v>
      </c>
      <c r="J24" s="88" t="n">
        <v>24.62</v>
      </c>
      <c r="K24" s="73" t="n">
        <v>55.5</v>
      </c>
      <c r="L24" s="18" t="n">
        <v>0</v>
      </c>
      <c r="M24" s="19" t="n">
        <v>30.5</v>
      </c>
      <c r="N24" s="89" t="inlineStr">
        <is>
          <t>➡️ Neutral</t>
        </is>
      </c>
      <c r="O24" s="89" t="inlineStr">
        <is>
          <t>🔴 Not Qualified</t>
        </is>
      </c>
      <c r="P24" s="89" t="inlineStr">
        <is>
          <t>🔴 Avoid</t>
        </is>
      </c>
      <c r="Q24" s="68" t="inlineStr">
        <is>
          <t>FULL</t>
        </is>
      </c>
    </row>
    <row r="25" ht="16" customHeight="1">
      <c r="A25" s="90" t="n">
        <v>21</v>
      </c>
      <c r="B25" s="91" t="inlineStr">
        <is>
          <t>Kotak ELSS Tax Saver Fund-Growth</t>
        </is>
      </c>
      <c r="C25" s="91" t="inlineStr">
        <is>
          <t>Kotak Mahindra Mutual Fund</t>
        </is>
      </c>
      <c r="D25" s="91" t="inlineStr">
        <is>
          <t>Elss</t>
        </is>
      </c>
      <c r="E25" s="92" t="n">
        <v>-2.32</v>
      </c>
      <c r="F25" s="92" t="n">
        <v>-0.27</v>
      </c>
      <c r="G25" s="92" t="n">
        <v>-6.96</v>
      </c>
      <c r="H25" s="92" t="n">
        <v>-5.7</v>
      </c>
      <c r="I25" s="92" t="n">
        <v>-1.633338981136501</v>
      </c>
      <c r="J25" s="93" t="n">
        <v>36.75</v>
      </c>
      <c r="K25" s="73" t="n">
        <v>54.9</v>
      </c>
      <c r="L25" s="18" t="n">
        <v>0</v>
      </c>
      <c r="M25" s="19" t="n">
        <v>30.2</v>
      </c>
      <c r="N25" s="94" t="inlineStr">
        <is>
          <t>➡️ Neutral</t>
        </is>
      </c>
      <c r="O25" s="94" t="inlineStr">
        <is>
          <t>🔴 Not Qualified</t>
        </is>
      </c>
      <c r="P25" s="94" t="inlineStr">
        <is>
          <t>🔴 Avoid</t>
        </is>
      </c>
      <c r="Q25" s="68" t="inlineStr">
        <is>
          <t>FULL</t>
        </is>
      </c>
    </row>
    <row r="26" ht="16" customHeight="1">
      <c r="A26" s="85" t="n">
        <v>21</v>
      </c>
      <c r="B26" s="86" t="inlineStr">
        <is>
          <t>Kotak ELSS Tax Saver Fund-Payout of Income Distribution cum capital withdrawal option</t>
        </is>
      </c>
      <c r="C26" s="86" t="inlineStr">
        <is>
          <t>Kotak Mahindra Mutual Fund</t>
        </is>
      </c>
      <c r="D26" s="86" t="inlineStr">
        <is>
          <t>Elss</t>
        </is>
      </c>
      <c r="E26" s="87" t="n">
        <v>-2.32</v>
      </c>
      <c r="F26" s="87" t="n">
        <v>-0.27</v>
      </c>
      <c r="G26" s="87" t="n">
        <v>-6.96</v>
      </c>
      <c r="H26" s="87" t="n">
        <v>-5.7</v>
      </c>
      <c r="I26" s="87" t="n">
        <v>-1.633338981136501</v>
      </c>
      <c r="J26" s="88" t="n">
        <v>36.75</v>
      </c>
      <c r="K26" s="73" t="n">
        <v>54.9</v>
      </c>
      <c r="L26" s="18" t="n">
        <v>0</v>
      </c>
      <c r="M26" s="19" t="n">
        <v>30.2</v>
      </c>
      <c r="N26" s="89" t="inlineStr">
        <is>
          <t>➡️ Neutral</t>
        </is>
      </c>
      <c r="O26" s="89" t="inlineStr">
        <is>
          <t>🔴 Not Qualified</t>
        </is>
      </c>
      <c r="P26" s="89" t="inlineStr">
        <is>
          <t>🔴 Avoid</t>
        </is>
      </c>
      <c r="Q26" s="68" t="inlineStr">
        <is>
          <t>FULL</t>
        </is>
      </c>
    </row>
    <row r="27" ht="16" customHeight="1">
      <c r="A27" s="90" t="n">
        <v>23</v>
      </c>
      <c r="B27" s="91" t="inlineStr">
        <is>
          <t>BANDHAN ELSS Tax Saver Fund - Regular Plan - Growth</t>
        </is>
      </c>
      <c r="C27" s="91" t="inlineStr">
        <is>
          <t>Bandhan Mutual Fund</t>
        </is>
      </c>
      <c r="D27" s="91" t="inlineStr">
        <is>
          <t>Elss</t>
        </is>
      </c>
      <c r="E27" s="92" t="n">
        <v>-2.71</v>
      </c>
      <c r="F27" s="92" t="n">
        <v>-0.16</v>
      </c>
      <c r="G27" s="92" t="n">
        <v>-6.91</v>
      </c>
      <c r="H27" s="92" t="n">
        <v>-3.3</v>
      </c>
      <c r="I27" s="93" t="n">
        <v>0.3194896318756246</v>
      </c>
      <c r="J27" s="93" t="n">
        <v>35.99</v>
      </c>
      <c r="K27" s="73" t="n">
        <v>54.3</v>
      </c>
      <c r="L27" s="18" t="n">
        <v>0</v>
      </c>
      <c r="M27" s="19" t="n">
        <v>29.9</v>
      </c>
      <c r="N27" s="94" t="inlineStr">
        <is>
          <t>➡️ Neutral</t>
        </is>
      </c>
      <c r="O27" s="94" t="inlineStr">
        <is>
          <t>🔴 Not Qualified</t>
        </is>
      </c>
      <c r="P27" s="94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SBI ELSS Tax Saver FUND - REGULAR PLAN- GROWTH</t>
        </is>
      </c>
      <c r="C28" s="86" t="inlineStr">
        <is>
          <t>SBI Mutual Fund</t>
        </is>
      </c>
      <c r="D28" s="86" t="inlineStr">
        <is>
          <t>Elss</t>
        </is>
      </c>
      <c r="E28" s="87" t="n">
        <v>-2.55</v>
      </c>
      <c r="F28" s="88" t="n">
        <v>0</v>
      </c>
      <c r="G28" s="87" t="n">
        <v>-7.23</v>
      </c>
      <c r="H28" s="87" t="n">
        <v>-5.23</v>
      </c>
      <c r="I28" s="88" t="n">
        <v>1.266973885862721</v>
      </c>
      <c r="J28" s="88" t="n">
        <v>61.27</v>
      </c>
      <c r="K28" s="73" t="n">
        <v>53.7</v>
      </c>
      <c r="L28" s="18" t="n">
        <v>0</v>
      </c>
      <c r="M28" s="19" t="n">
        <v>29.5</v>
      </c>
      <c r="N28" s="89" t="inlineStr">
        <is>
          <t>➡️ Neutral</t>
        </is>
      </c>
      <c r="O28" s="89" t="inlineStr">
        <is>
          <t>🔴 Not Qualified</t>
        </is>
      </c>
      <c r="P28" s="89" t="inlineStr">
        <is>
          <t>🔴 Avoid</t>
        </is>
      </c>
      <c r="Q28" s="68" t="inlineStr">
        <is>
          <t>FULL</t>
        </is>
      </c>
    </row>
    <row r="29" ht="16" customHeight="1">
      <c r="A29" s="90" t="n">
        <v>25</v>
      </c>
      <c r="B29" s="91" t="inlineStr">
        <is>
          <t>Axis ELSS Tax Saver Fund - Regular Plan - Growth</t>
        </is>
      </c>
      <c r="C29" s="91" t="inlineStr">
        <is>
          <t>Axis Mutual Fund</t>
        </is>
      </c>
      <c r="D29" s="91" t="inlineStr">
        <is>
          <t>Elss</t>
        </is>
      </c>
      <c r="E29" s="92" t="n">
        <v>-2.64</v>
      </c>
      <c r="F29" s="93" t="n">
        <v>0.71</v>
      </c>
      <c r="G29" s="92" t="n">
        <v>-7.25</v>
      </c>
      <c r="H29" s="92" t="n">
        <v>-6.15</v>
      </c>
      <c r="I29" s="93" t="n">
        <v>0.8216246645529779</v>
      </c>
      <c r="J29" s="93" t="n">
        <v>30.81</v>
      </c>
      <c r="K29" s="78" t="n">
        <v>49.4</v>
      </c>
      <c r="L29" s="18" t="n">
        <v>0</v>
      </c>
      <c r="M29" s="19" t="n">
        <v>27.2</v>
      </c>
      <c r="N29" s="94" t="inlineStr">
        <is>
          <t>➡️ Neutral</t>
        </is>
      </c>
      <c r="O29" s="94" t="inlineStr">
        <is>
          <t>🔴 Not Qualified</t>
        </is>
      </c>
      <c r="P29" s="94" t="inlineStr">
        <is>
          <t>🔴 Avoid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NJ ELSS Tax Saver Scheme Regular Growth</t>
        </is>
      </c>
      <c r="C30" s="96" t="inlineStr">
        <is>
          <t>NJ Mutual Fund</t>
        </is>
      </c>
      <c r="D30" s="96" t="inlineStr">
        <is>
          <t>Elss</t>
        </is>
      </c>
      <c r="E30" s="97" t="n">
        <v>-3.28</v>
      </c>
      <c r="F30" s="98" t="n">
        <v>1.3</v>
      </c>
      <c r="G30" s="97" t="n">
        <v>-6.35</v>
      </c>
      <c r="H30" s="97" t="n">
        <v>-8.48</v>
      </c>
      <c r="I30" s="97" t="n">
        <v>-2.917560805262009</v>
      </c>
      <c r="J30" s="98" t="n">
        <v>0</v>
      </c>
      <c r="K30" s="78" t="n">
        <v>46.1</v>
      </c>
      <c r="L30" s="18" t="n">
        <v>0</v>
      </c>
      <c r="M30" s="19" t="n">
        <v>25.3</v>
      </c>
      <c r="N30" s="99" t="inlineStr">
        <is>
          <t>➡️ Neutral</t>
        </is>
      </c>
      <c r="O30" s="99" t="inlineStr">
        <is>
          <t>⏳ New Fund</t>
        </is>
      </c>
      <c r="P30" s="99" t="inlineStr">
        <is>
          <t>⏳ New Fund</t>
        </is>
      </c>
      <c r="Q30" s="100" t="inlineStr">
        <is>
          <t>MOMENTUM_ONLY</t>
        </is>
      </c>
    </row>
    <row r="31" ht="16" customHeight="1">
      <c r="A31" s="90" t="n">
        <v>27</v>
      </c>
      <c r="B31" s="91" t="inlineStr">
        <is>
          <t>Franklin India ELSS Tax Saver Fund-Growth</t>
        </is>
      </c>
      <c r="C31" s="91" t="inlineStr">
        <is>
          <t>Franklin Templeton Mutual Fund</t>
        </is>
      </c>
      <c r="D31" s="91" t="inlineStr">
        <is>
          <t>Elss</t>
        </is>
      </c>
      <c r="E31" s="92" t="n">
        <v>-1.78</v>
      </c>
      <c r="F31" s="92" t="n">
        <v>-0.87</v>
      </c>
      <c r="G31" s="92" t="n">
        <v>-9.69</v>
      </c>
      <c r="H31" s="92" t="n">
        <v>-9.15</v>
      </c>
      <c r="I31" s="92" t="n">
        <v>-0.2453008625658781</v>
      </c>
      <c r="J31" s="93" t="n">
        <v>43.77</v>
      </c>
      <c r="K31" s="78" t="n">
        <v>42.5</v>
      </c>
      <c r="L31" s="18" t="n">
        <v>0</v>
      </c>
      <c r="M31" s="19" t="n">
        <v>23.4</v>
      </c>
      <c r="N31" s="94" t="inlineStr">
        <is>
          <t>➡️ Neutral</t>
        </is>
      </c>
      <c r="O31" s="94" t="inlineStr">
        <is>
          <t>🔴 Not Qualified</t>
        </is>
      </c>
      <c r="P31" s="94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Union ELSS Tax Saver Fund - Growth Option</t>
        </is>
      </c>
      <c r="C32" s="86" t="inlineStr">
        <is>
          <t>Union Mutual Fund</t>
        </is>
      </c>
      <c r="D32" s="86" t="inlineStr">
        <is>
          <t>Elss</t>
        </is>
      </c>
      <c r="E32" s="87" t="n">
        <v>-3.55</v>
      </c>
      <c r="F32" s="88" t="n">
        <v>0.26</v>
      </c>
      <c r="G32" s="87" t="n">
        <v>-7.44</v>
      </c>
      <c r="H32" s="87" t="n">
        <v>-4.75</v>
      </c>
      <c r="I32" s="88" t="n">
        <v>1.178060863015173</v>
      </c>
      <c r="J32" s="88" t="n">
        <v>36.22</v>
      </c>
      <c r="K32" s="78" t="n">
        <v>41.9</v>
      </c>
      <c r="L32" s="18" t="n">
        <v>0</v>
      </c>
      <c r="M32" s="19" t="n">
        <v>23</v>
      </c>
      <c r="N32" s="89" t="inlineStr">
        <is>
          <t>➡️ Neutral</t>
        </is>
      </c>
      <c r="O32" s="89" t="inlineStr">
        <is>
          <t>🔴 Not Qualified</t>
        </is>
      </c>
      <c r="P32" s="89" t="inlineStr">
        <is>
          <t>🔴 Avoid</t>
        </is>
      </c>
      <c r="Q32" s="68" t="inlineStr">
        <is>
          <t>FULL</t>
        </is>
      </c>
    </row>
    <row r="33" ht="16" customHeight="1">
      <c r="A33" s="90" t="n">
        <v>29</v>
      </c>
      <c r="B33" s="91" t="inlineStr">
        <is>
          <t>UTI ELSS Tax Saver Fund - Regular Plan - Growth Option</t>
        </is>
      </c>
      <c r="C33" s="91" t="inlineStr">
        <is>
          <t>UTI Mutual Fund</t>
        </is>
      </c>
      <c r="D33" s="91" t="inlineStr">
        <is>
          <t>Elss</t>
        </is>
      </c>
      <c r="E33" s="92" t="n">
        <v>-2.56</v>
      </c>
      <c r="F33" s="93" t="n">
        <v>0.31</v>
      </c>
      <c r="G33" s="92" t="n">
        <v>-8.75</v>
      </c>
      <c r="H33" s="92" t="n">
        <v>-7.25</v>
      </c>
      <c r="I33" s="92" t="n">
        <v>-0.8687738399246858</v>
      </c>
      <c r="J33" s="93" t="n">
        <v>30.63</v>
      </c>
      <c r="K33" s="78" t="n">
        <v>41.5</v>
      </c>
      <c r="L33" s="18" t="n">
        <v>0</v>
      </c>
      <c r="M33" s="19" t="n">
        <v>22.9</v>
      </c>
      <c r="N33" s="94" t="inlineStr">
        <is>
          <t>➡️ Neutral</t>
        </is>
      </c>
      <c r="O33" s="94" t="inlineStr">
        <is>
          <t>🔴 Not Qualified</t>
        </is>
      </c>
      <c r="P33" s="94" t="inlineStr">
        <is>
          <t>🔴 Avoid</t>
        </is>
      </c>
      <c r="Q33" s="68" t="inlineStr">
        <is>
          <t>FULL</t>
        </is>
      </c>
    </row>
    <row r="34" ht="16" customHeight="1">
      <c r="A34" s="85" t="n">
        <v>29</v>
      </c>
      <c r="B34" s="86" t="inlineStr">
        <is>
          <t>HDFC ELSS Tax saver - Growth Plan</t>
        </is>
      </c>
      <c r="C34" s="86" t="inlineStr">
        <is>
          <t>HDFC Mutual Fund</t>
        </is>
      </c>
      <c r="D34" s="86" t="inlineStr">
        <is>
          <t>Elss</t>
        </is>
      </c>
      <c r="E34" s="87" t="n">
        <v>-1.85</v>
      </c>
      <c r="F34" s="87" t="n">
        <v>-1.38</v>
      </c>
      <c r="G34" s="87" t="n">
        <v>-10.38</v>
      </c>
      <c r="H34" s="87" t="n">
        <v>-6.81</v>
      </c>
      <c r="I34" s="88" t="n">
        <v>1.474134635383817</v>
      </c>
      <c r="J34" s="88" t="n">
        <v>51.37</v>
      </c>
      <c r="K34" s="78" t="n">
        <v>41.5</v>
      </c>
      <c r="L34" s="18" t="n">
        <v>0</v>
      </c>
      <c r="M34" s="19" t="n">
        <v>22.9</v>
      </c>
      <c r="N34" s="89" t="inlineStr">
        <is>
          <t>➡️ Neutral</t>
        </is>
      </c>
      <c r="O34" s="89" t="inlineStr">
        <is>
          <t>🔴 Not Qualified</t>
        </is>
      </c>
      <c r="P34" s="89" t="inlineStr">
        <is>
          <t>🔴 Avoid</t>
        </is>
      </c>
      <c r="Q34" s="68" t="inlineStr">
        <is>
          <t>FULL</t>
        </is>
      </c>
    </row>
    <row r="35" ht="16" customHeight="1">
      <c r="A35" s="90" t="n">
        <v>31</v>
      </c>
      <c r="B35" s="91" t="inlineStr">
        <is>
          <t>ICICI Prudential ELSS Tax Saver Fund - Growth</t>
        </is>
      </c>
      <c r="C35" s="91" t="inlineStr">
        <is>
          <t>ICICI Prudential Mutual Fund</t>
        </is>
      </c>
      <c r="D35" s="91" t="inlineStr">
        <is>
          <t>Elss</t>
        </is>
      </c>
      <c r="E35" s="92" t="n">
        <v>-3.08</v>
      </c>
      <c r="F35" s="92" t="n">
        <v>-0.76</v>
      </c>
      <c r="G35" s="92" t="n">
        <v>-8.42</v>
      </c>
      <c r="H35" s="92" t="n">
        <v>-4.88</v>
      </c>
      <c r="I35" s="93" t="n">
        <v>2.645019362850731</v>
      </c>
      <c r="J35" s="93" t="n">
        <v>39.33</v>
      </c>
      <c r="K35" s="78" t="n">
        <v>40.4</v>
      </c>
      <c r="L35" s="18" t="n">
        <v>0</v>
      </c>
      <c r="M35" s="19" t="n">
        <v>22.2</v>
      </c>
      <c r="N35" s="94" t="inlineStr">
        <is>
          <t>➡️ Neutral</t>
        </is>
      </c>
      <c r="O35" s="94" t="inlineStr">
        <is>
          <t>🔴 Not Qualified</t>
        </is>
      </c>
      <c r="P35" s="94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Invesco India ELSS Tax Saver Fund - Regular Plan - Growth</t>
        </is>
      </c>
      <c r="C36" s="86" t="inlineStr">
        <is>
          <t>Invesco Mutual Fund</t>
        </is>
      </c>
      <c r="D36" s="86" t="inlineStr">
        <is>
          <t>Elss</t>
        </is>
      </c>
      <c r="E36" s="87" t="n">
        <v>-2.68</v>
      </c>
      <c r="F36" s="88" t="n">
        <v>3.32</v>
      </c>
      <c r="G36" s="87" t="n">
        <v>-8.619999999999999</v>
      </c>
      <c r="H36" s="87" t="n">
        <v>-9.869999999999999</v>
      </c>
      <c r="I36" s="87" t="n">
        <v>-0.1801622922577573</v>
      </c>
      <c r="J36" s="88" t="n">
        <v>38.5</v>
      </c>
      <c r="K36" s="78" t="n">
        <v>40.2</v>
      </c>
      <c r="L36" s="18" t="n">
        <v>0</v>
      </c>
      <c r="M36" s="19" t="n">
        <v>22.1</v>
      </c>
      <c r="N36" s="89" t="inlineStr">
        <is>
          <t>➡️ Neutral</t>
        </is>
      </c>
      <c r="O36" s="89" t="inlineStr">
        <is>
          <t>🔴 Not Qualified</t>
        </is>
      </c>
      <c r="P36" s="89" t="inlineStr">
        <is>
          <t>🔴 Avoid</t>
        </is>
      </c>
      <c r="Q36" s="68" t="inlineStr">
        <is>
          <t>FULL</t>
        </is>
      </c>
    </row>
    <row r="37" ht="16" customHeight="1">
      <c r="A37" s="90" t="n">
        <v>33</v>
      </c>
      <c r="B37" s="91" t="inlineStr">
        <is>
          <t>Taurus ELSS Tax Saver Fund - Regular Plan - Payout of Income Distribution cum Capital Withdrawal option</t>
        </is>
      </c>
      <c r="C37" s="91" t="inlineStr">
        <is>
          <t>Taurus Mutual Fund</t>
        </is>
      </c>
      <c r="D37" s="91" t="inlineStr">
        <is>
          <t>Elss</t>
        </is>
      </c>
      <c r="E37" s="92" t="n">
        <v>-3.4</v>
      </c>
      <c r="F37" s="93" t="n">
        <v>0.62</v>
      </c>
      <c r="G37" s="92" t="n">
        <v>-7.49</v>
      </c>
      <c r="H37" s="92" t="n">
        <v>-9.199999999999999</v>
      </c>
      <c r="I37" s="93" t="n">
        <v>0.3543721020663915</v>
      </c>
      <c r="J37" s="93" t="n">
        <v>36.21</v>
      </c>
      <c r="K37" s="78" t="n">
        <v>31.2</v>
      </c>
      <c r="L37" s="18" t="n">
        <v>0</v>
      </c>
      <c r="M37" s="19" t="n">
        <v>17.2</v>
      </c>
      <c r="N37" s="94" t="inlineStr">
        <is>
          <t>📉 Weak</t>
        </is>
      </c>
      <c r="O37" s="94" t="inlineStr">
        <is>
          <t>🔴 Not Qualified</t>
        </is>
      </c>
      <c r="P37" s="94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Taurus ELSS Tax Saver Fund - Regular Plan - Growth</t>
        </is>
      </c>
      <c r="C38" s="86" t="inlineStr">
        <is>
          <t>Taurus Mutual Fund</t>
        </is>
      </c>
      <c r="D38" s="86" t="inlineStr">
        <is>
          <t>Elss</t>
        </is>
      </c>
      <c r="E38" s="87" t="n">
        <v>-3.4</v>
      </c>
      <c r="F38" s="88" t="n">
        <v>0.61</v>
      </c>
      <c r="G38" s="87" t="n">
        <v>-7.49</v>
      </c>
      <c r="H38" s="87" t="n">
        <v>-9.210000000000001</v>
      </c>
      <c r="I38" s="88" t="n">
        <v>0.3493896344167968</v>
      </c>
      <c r="J38" s="88" t="n">
        <v>36.2</v>
      </c>
      <c r="K38" s="78" t="n">
        <v>30.1</v>
      </c>
      <c r="L38" s="18" t="n">
        <v>0</v>
      </c>
      <c r="M38" s="19" t="n">
        <v>16.6</v>
      </c>
      <c r="N38" s="89" t="inlineStr">
        <is>
          <t>📉 Weak</t>
        </is>
      </c>
      <c r="O38" s="89" t="inlineStr">
        <is>
          <t>🔴 Not Qualified</t>
        </is>
      </c>
      <c r="P38" s="89" t="inlineStr">
        <is>
          <t>🔴 Avoid</t>
        </is>
      </c>
      <c r="Q38" s="68" t="inlineStr">
        <is>
          <t>FULL</t>
        </is>
      </c>
    </row>
    <row r="39" ht="16" customHeight="1">
      <c r="A39" s="90" t="n">
        <v>35</v>
      </c>
      <c r="B39" s="91" t="inlineStr">
        <is>
          <t>360 ONE ELSS Tax Saver Nifty 50 Index Fund - Regular Plan - Growth</t>
        </is>
      </c>
      <c r="C39" s="91" t="inlineStr">
        <is>
          <t>360 ONE Mutual Fund</t>
        </is>
      </c>
      <c r="D39" s="91" t="inlineStr">
        <is>
          <t>Elss</t>
        </is>
      </c>
      <c r="E39" s="92" t="n">
        <v>-2.59</v>
      </c>
      <c r="F39" s="92" t="n">
        <v>-1.86</v>
      </c>
      <c r="G39" s="92" t="n">
        <v>-10.88</v>
      </c>
      <c r="H39" s="92" t="n">
        <v>-7.11</v>
      </c>
      <c r="I39" s="93" t="n">
        <v>0.4141424302373853</v>
      </c>
      <c r="J39" s="93" t="n">
        <v>26.87</v>
      </c>
      <c r="K39" s="78" t="n">
        <v>28</v>
      </c>
      <c r="L39" s="18" t="n">
        <v>0</v>
      </c>
      <c r="M39" s="19" t="n">
        <v>15.4</v>
      </c>
      <c r="N39" s="94" t="inlineStr">
        <is>
          <t>📉 Weak</t>
        </is>
      </c>
      <c r="O39" s="94" t="inlineStr">
        <is>
          <t>🔴 Not Qualified</t>
        </is>
      </c>
      <c r="P39" s="94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Groww ELSS Tax Saver Fund (formerly known as Indiabulls Tax Savings Fund)-Regular Plan-Growth Option</t>
        </is>
      </c>
      <c r="C40" s="86" t="inlineStr">
        <is>
          <t>Groww Mutual Fund</t>
        </is>
      </c>
      <c r="D40" s="86" t="inlineStr">
        <is>
          <t>Elss</t>
        </is>
      </c>
      <c r="E40" s="87" t="n">
        <v>-3.17</v>
      </c>
      <c r="F40" s="87" t="n">
        <v>-0.88</v>
      </c>
      <c r="G40" s="87" t="n">
        <v>-9.98</v>
      </c>
      <c r="H40" s="87" t="n">
        <v>-9.16</v>
      </c>
      <c r="I40" s="87" t="n">
        <v>-3.392546871372293</v>
      </c>
      <c r="J40" s="88" t="n">
        <v>29.04</v>
      </c>
      <c r="K40" s="78" t="n">
        <v>22</v>
      </c>
      <c r="L40" s="18" t="n">
        <v>0</v>
      </c>
      <c r="M40" s="19" t="n">
        <v>12.1</v>
      </c>
      <c r="N40" s="89" t="inlineStr">
        <is>
          <t>📉 Weak</t>
        </is>
      </c>
      <c r="O40" s="89" t="inlineStr">
        <is>
          <t>🔴 Not Qualified</t>
        </is>
      </c>
      <c r="P40" s="89" t="inlineStr">
        <is>
          <t>🔴 Avoid</t>
        </is>
      </c>
      <c r="Q40" s="68" t="inlineStr">
        <is>
          <t>FULL</t>
        </is>
      </c>
    </row>
    <row r="41" ht="16" customHeight="1">
      <c r="A41" s="90" t="n">
        <v>37</v>
      </c>
      <c r="B41" s="91" t="inlineStr">
        <is>
          <t>NAVI ELSS TAX SAVER NIFTY 50 INDEX FUND - REGULAR PLAN GROWTH</t>
        </is>
      </c>
      <c r="C41" s="91" t="inlineStr">
        <is>
          <t>Navi Mutual Fund</t>
        </is>
      </c>
      <c r="D41" s="91" t="inlineStr">
        <is>
          <t>Elss</t>
        </is>
      </c>
      <c r="E41" s="92" t="n">
        <v>-2.64</v>
      </c>
      <c r="F41" s="92" t="n">
        <v>-2.06</v>
      </c>
      <c r="G41" s="92" t="n">
        <v>-11.23</v>
      </c>
      <c r="H41" s="92" t="n">
        <v>-7.73</v>
      </c>
      <c r="I41" s="92" t="n">
        <v>-0.2102209642690922</v>
      </c>
      <c r="J41" s="93" t="n">
        <v>24.32</v>
      </c>
      <c r="K41" s="78" t="n">
        <v>21.9</v>
      </c>
      <c r="L41" s="18" t="n">
        <v>0</v>
      </c>
      <c r="M41" s="19" t="n">
        <v>12</v>
      </c>
      <c r="N41" s="94" t="inlineStr">
        <is>
          <t>📉 Weak</t>
        </is>
      </c>
      <c r="O41" s="94" t="inlineStr">
        <is>
          <t>🔴 Not Qualified</t>
        </is>
      </c>
      <c r="P41" s="94" t="inlineStr">
        <is>
          <t>🔴 Avoid</t>
        </is>
      </c>
      <c r="Q41" s="68" t="inlineStr">
        <is>
          <t>FULL</t>
        </is>
      </c>
    </row>
    <row r="42" ht="16" customHeight="1">
      <c r="A42" s="85" t="n">
        <v>37</v>
      </c>
      <c r="B42" s="86" t="inlineStr">
        <is>
          <t>LIC MF ELSS Tax Saver-Regular Plan-Growth</t>
        </is>
      </c>
      <c r="C42" s="86" t="inlineStr">
        <is>
          <t>LIC Mutual Fund</t>
        </is>
      </c>
      <c r="D42" s="86" t="inlineStr">
        <is>
          <t>Elss</t>
        </is>
      </c>
      <c r="E42" s="87" t="n">
        <v>-3.17</v>
      </c>
      <c r="F42" s="87" t="n">
        <v>-0.55</v>
      </c>
      <c r="G42" s="87" t="n">
        <v>-9.76</v>
      </c>
      <c r="H42" s="87" t="n">
        <v>-9.99</v>
      </c>
      <c r="I42" s="87" t="n">
        <v>-0.2854072865962176</v>
      </c>
      <c r="J42" s="88" t="n">
        <v>29.47</v>
      </c>
      <c r="K42" s="78" t="n">
        <v>21.9</v>
      </c>
      <c r="L42" s="18" t="n">
        <v>0</v>
      </c>
      <c r="M42" s="19" t="n">
        <v>12</v>
      </c>
      <c r="N42" s="89" t="inlineStr">
        <is>
          <t>📉 Weak</t>
        </is>
      </c>
      <c r="O42" s="89" t="inlineStr">
        <is>
          <t>🔴 Not Qualified</t>
        </is>
      </c>
      <c r="P42" s="89" t="inlineStr">
        <is>
          <t>🔴 Avoid</t>
        </is>
      </c>
      <c r="Q42" s="68" t="inlineStr">
        <is>
          <t>FULL</t>
        </is>
      </c>
    </row>
    <row r="43" ht="16" customHeight="1">
      <c r="A43" s="90" t="n">
        <v>39</v>
      </c>
      <c r="B43" s="91" t="inlineStr">
        <is>
          <t>Groww ELSS Tax Saver Fund (formerly known as Indiabulls Tax Savings Fund)- Regular Plan- - Income Distribution cum capital withdrawal Option (Payout)</t>
        </is>
      </c>
      <c r="C43" s="91" t="inlineStr">
        <is>
          <t>Groww Mutual Fund</t>
        </is>
      </c>
      <c r="D43" s="91" t="inlineStr">
        <is>
          <t>Elss</t>
        </is>
      </c>
      <c r="E43" s="92" t="n">
        <v>-3.22</v>
      </c>
      <c r="F43" s="92" t="n">
        <v>-0.93</v>
      </c>
      <c r="G43" s="92" t="n">
        <v>-9.98</v>
      </c>
      <c r="H43" s="92" t="n">
        <v>-9.16</v>
      </c>
      <c r="I43" s="92" t="n">
        <v>-3.392546871372293</v>
      </c>
      <c r="J43" s="93" t="n">
        <v>28.95</v>
      </c>
      <c r="K43" s="78" t="n">
        <v>21</v>
      </c>
      <c r="L43" s="18" t="n">
        <v>0</v>
      </c>
      <c r="M43" s="19" t="n">
        <v>11.5</v>
      </c>
      <c r="N43" s="94" t="inlineStr">
        <is>
          <t>📉 Weak</t>
        </is>
      </c>
      <c r="O43" s="94" t="inlineStr">
        <is>
          <t>🔴 Not Qualified</t>
        </is>
      </c>
      <c r="P43" s="94" t="inlineStr">
        <is>
          <t>🔴 Avoid</t>
        </is>
      </c>
      <c r="Q43" s="68" t="inlineStr">
        <is>
          <t>FULL</t>
        </is>
      </c>
    </row>
    <row r="44" ht="16" customHeight="1">
      <c r="A44" s="85" t="n">
        <v>40</v>
      </c>
      <c r="B44" s="86" t="inlineStr">
        <is>
          <t>Sundaram ELSS Tax Saver Fund Regular Growth</t>
        </is>
      </c>
      <c r="C44" s="86" t="inlineStr">
        <is>
          <t>Sundaram Mutual Fund</t>
        </is>
      </c>
      <c r="D44" s="86" t="inlineStr">
        <is>
          <t>Elss</t>
        </is>
      </c>
      <c r="E44" s="87" t="n">
        <v>-3.99</v>
      </c>
      <c r="F44" s="87" t="n">
        <v>-1.64</v>
      </c>
      <c r="G44" s="87" t="n">
        <v>-10.36</v>
      </c>
      <c r="H44" s="87" t="n">
        <v>-7.1</v>
      </c>
      <c r="I44" s="87" t="n">
        <v>-0.1400981374405696</v>
      </c>
      <c r="J44" s="88" t="n">
        <v>33.3</v>
      </c>
      <c r="K44" s="78" t="n">
        <v>19.9</v>
      </c>
      <c r="L44" s="18" t="n">
        <v>0</v>
      </c>
      <c r="M44" s="19" t="n">
        <v>10.9</v>
      </c>
      <c r="N44" s="89" t="inlineStr">
        <is>
          <t>📉 Weak</t>
        </is>
      </c>
      <c r="O44" s="89" t="inlineStr">
        <is>
          <t>🔴 Not Qualified</t>
        </is>
      </c>
      <c r="P44" s="89" t="inlineStr">
        <is>
          <t>🔴 Avoid</t>
        </is>
      </c>
      <c r="Q44" s="68" t="inlineStr">
        <is>
          <t>FULL</t>
        </is>
      </c>
    </row>
    <row r="45" ht="16" customHeight="1">
      <c r="A45" s="90" t="n">
        <v>41</v>
      </c>
      <c r="B45" s="91" t="inlineStr">
        <is>
          <t>Quantum ELSS Tax Saver Fund - Regular Plan Growth Option</t>
        </is>
      </c>
      <c r="C45" s="91" t="inlineStr">
        <is>
          <t>Quantum Mutual Fund</t>
        </is>
      </c>
      <c r="D45" s="91" t="inlineStr">
        <is>
          <t>Elss</t>
        </is>
      </c>
      <c r="E45" s="92" t="n">
        <v>-3.14</v>
      </c>
      <c r="F45" s="92" t="n">
        <v>-1.5</v>
      </c>
      <c r="G45" s="92" t="n">
        <v>-10</v>
      </c>
      <c r="H45" s="92" t="n">
        <v>-9.359999999999999</v>
      </c>
      <c r="I45" s="92" t="n">
        <v>-1.08084108727976</v>
      </c>
      <c r="J45" s="93" t="n">
        <v>38.89</v>
      </c>
      <c r="K45" s="78" t="n">
        <v>19.3</v>
      </c>
      <c r="L45" s="18" t="n">
        <v>0</v>
      </c>
      <c r="M45" s="19" t="n">
        <v>10.6</v>
      </c>
      <c r="N45" s="94" t="inlineStr">
        <is>
          <t>📉 Weak</t>
        </is>
      </c>
      <c r="O45" s="94" t="inlineStr">
        <is>
          <t>🔴 Not Qualified</t>
        </is>
      </c>
      <c r="P45" s="94" t="inlineStr">
        <is>
          <t>🔴 Avoid</t>
        </is>
      </c>
      <c r="Q45" s="68" t="inlineStr">
        <is>
          <t>FULL</t>
        </is>
      </c>
    </row>
    <row r="46" ht="16" customHeight="1">
      <c r="A46" s="85" t="n">
        <v>42</v>
      </c>
      <c r="B46" s="86" t="inlineStr">
        <is>
          <t>Mahindra Manulife ELSS Tax Saver Fund- Regular Plan - Growth</t>
        </is>
      </c>
      <c r="C46" s="86" t="inlineStr">
        <is>
          <t>Mahindra Manulife Mutual Fund</t>
        </is>
      </c>
      <c r="D46" s="86" t="inlineStr">
        <is>
          <t>Elss</t>
        </is>
      </c>
      <c r="E46" s="87" t="n">
        <v>-3.54</v>
      </c>
      <c r="F46" s="87" t="n">
        <v>-2.44</v>
      </c>
      <c r="G46" s="87" t="n">
        <v>-11.17</v>
      </c>
      <c r="H46" s="87" t="n">
        <v>-9.06</v>
      </c>
      <c r="I46" s="87" t="n">
        <v>-1.735052027694028</v>
      </c>
      <c r="J46" s="88" t="n">
        <v>27.88</v>
      </c>
      <c r="K46" s="78" t="n">
        <v>13.2</v>
      </c>
      <c r="L46" s="18" t="n">
        <v>0</v>
      </c>
      <c r="M46" s="19" t="n">
        <v>7.3</v>
      </c>
      <c r="N46" s="89" t="inlineStr">
        <is>
          <t>📉 Weak</t>
        </is>
      </c>
      <c r="O46" s="89" t="inlineStr">
        <is>
          <t>🔴 Not Qualified</t>
        </is>
      </c>
      <c r="P46" s="89" t="inlineStr">
        <is>
          <t>🔴 Avoid</t>
        </is>
      </c>
      <c r="Q46" s="68" t="inlineStr">
        <is>
          <t>FULL</t>
        </is>
      </c>
    </row>
    <row r="47" ht="16" customHeight="1">
      <c r="A47" s="90" t="n">
        <v>43</v>
      </c>
      <c r="B47" s="91" t="inlineStr">
        <is>
          <t>Parag Parikh ELSS Tax Saver Fund- Regular Growth</t>
        </is>
      </c>
      <c r="C47" s="91" t="inlineStr">
        <is>
          <t>PPFAS Mutual Fund</t>
        </is>
      </c>
      <c r="D47" s="91" t="inlineStr">
        <is>
          <t>Elss</t>
        </is>
      </c>
      <c r="E47" s="92" t="n">
        <v>-2.64</v>
      </c>
      <c r="F47" s="92" t="n">
        <v>-2.88</v>
      </c>
      <c r="G47" s="92" t="n">
        <v>-10.83</v>
      </c>
      <c r="H47" s="92" t="n">
        <v>-11.3</v>
      </c>
      <c r="I47" s="93" t="n">
        <v>1.049492824061216</v>
      </c>
      <c r="J47" s="93" t="n">
        <v>35.47</v>
      </c>
      <c r="K47" s="78" t="n">
        <v>11.5</v>
      </c>
      <c r="L47" s="18" t="n">
        <v>0</v>
      </c>
      <c r="M47" s="19" t="n">
        <v>6.4</v>
      </c>
      <c r="N47" s="94" t="inlineStr">
        <is>
          <t>📉 Weak</t>
        </is>
      </c>
      <c r="O47" s="94" t="inlineStr">
        <is>
          <t>🔴 Not Qualified</t>
        </is>
      </c>
      <c r="P47" s="94" t="inlineStr">
        <is>
          <t>🔴 Avoid</t>
        </is>
      </c>
      <c r="Q47" s="68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FLEXI CAP FUND  ✦</t>
        </is>
      </c>
    </row>
    <row r="2" ht="16" customHeight="1">
      <c r="A2" s="2">
        <f>"Dual Engine: 55% Momentum + 45% Quality | ✅ Full: "&amp;COUNTIF(Q5:Q52,"FULL")&amp;" | ⚠️ Momentum: "&amp;COUNTIF(Q5:Q52,"MOMENTUM_ONLY")&amp;" | ❌ Missing: "&amp;COUNTIF(Q5:Q52,"MISSING")&amp;" | Total: "&amp;COUNTA(B5:B52)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quant Flexi Cap Fund - Growth Option - Regular Plan</t>
        </is>
      </c>
      <c r="C5" s="65" t="inlineStr">
        <is>
          <t>quant Mutual Fund</t>
        </is>
      </c>
      <c r="D5" s="65" t="inlineStr">
        <is>
          <t>Flexi Cap Fund</t>
        </is>
      </c>
      <c r="E5" s="67" t="n">
        <v>0.66</v>
      </c>
      <c r="F5" s="67" t="n">
        <v>11.47</v>
      </c>
      <c r="G5" s="67" t="n">
        <v>5.04</v>
      </c>
      <c r="H5" s="67" t="n">
        <v>5.43</v>
      </c>
      <c r="I5" s="67" t="n">
        <v>0.2895807150473662</v>
      </c>
      <c r="J5" s="67" t="n">
        <v>62.67</v>
      </c>
      <c r="K5" s="17" t="n">
        <v>100</v>
      </c>
      <c r="L5" s="18" t="n">
        <v>0</v>
      </c>
      <c r="M5" s="21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ITI Flexi Cap Fund- Regular Plan- Growth</t>
        </is>
      </c>
      <c r="C6" s="70" t="inlineStr">
        <is>
          <t>ITI Mutual Fund</t>
        </is>
      </c>
      <c r="D6" s="70" t="inlineStr">
        <is>
          <t>Flexi Cap Fund</t>
        </is>
      </c>
      <c r="E6" s="72" t="n">
        <v>0.06</v>
      </c>
      <c r="F6" s="72" t="n">
        <v>5.98</v>
      </c>
      <c r="G6" s="71" t="n">
        <v>-0.09</v>
      </c>
      <c r="H6" s="72" t="n">
        <v>0.92</v>
      </c>
      <c r="I6" s="72" t="n">
        <v>4.03364840281244</v>
      </c>
      <c r="J6" s="72" t="n">
        <v>61.52</v>
      </c>
      <c r="K6" s="17" t="n">
        <v>98.5</v>
      </c>
      <c r="L6" s="18" t="n">
        <v>0</v>
      </c>
      <c r="M6" s="21" t="n">
        <v>54.2</v>
      </c>
      <c r="N6" s="28" t="inlineStr">
        <is>
          <t>🔥 Hot</t>
        </is>
      </c>
      <c r="O6" s="28" t="inlineStr">
        <is>
          <t>🔴 Not Qualified</t>
        </is>
      </c>
      <c r="P6" s="28" t="inlineStr">
        <is>
          <t>⚠️ Watch</t>
        </is>
      </c>
      <c r="Q6" s="68" t="inlineStr">
        <is>
          <t>FULL</t>
        </is>
      </c>
    </row>
    <row r="7" ht="16" customHeight="1">
      <c r="A7" s="74" t="n">
        <v>3</v>
      </c>
      <c r="B7" s="75" t="inlineStr">
        <is>
          <t>Navi Flexi Cap Fund - Regular Plan - Growth</t>
        </is>
      </c>
      <c r="C7" s="75" t="inlineStr">
        <is>
          <t>Navi Mutual Fund</t>
        </is>
      </c>
      <c r="D7" s="75" t="inlineStr">
        <is>
          <t>Flexi Cap Fund</t>
        </is>
      </c>
      <c r="E7" s="76" t="n">
        <v>-1.95</v>
      </c>
      <c r="F7" s="77" t="n">
        <v>4.15</v>
      </c>
      <c r="G7" s="76" t="n">
        <v>-1.12</v>
      </c>
      <c r="H7" s="77" t="n">
        <v>2.26</v>
      </c>
      <c r="I7" s="77" t="n">
        <v>3.072789813801013</v>
      </c>
      <c r="J7" s="77" t="n">
        <v>34.95</v>
      </c>
      <c r="K7" s="17" t="n">
        <v>90.90000000000001</v>
      </c>
      <c r="L7" s="18" t="n">
        <v>0</v>
      </c>
      <c r="M7" s="21" t="n">
        <v>50</v>
      </c>
      <c r="N7" s="79" t="inlineStr">
        <is>
          <t>🔥 Hot</t>
        </is>
      </c>
      <c r="O7" s="79" t="inlineStr">
        <is>
          <t>🔴 Not Qualified</t>
        </is>
      </c>
      <c r="P7" s="79" t="inlineStr">
        <is>
          <t>⚠️ Watch</t>
        </is>
      </c>
      <c r="Q7" s="68" t="inlineStr">
        <is>
          <t>FULL</t>
        </is>
      </c>
    </row>
    <row r="8" ht="16" customHeight="1">
      <c r="A8" s="95" t="n">
        <v>4</v>
      </c>
      <c r="B8" s="96" t="inlineStr">
        <is>
          <t>TRUSTMF Flexi Cap Fund-Regular Plan- Growth</t>
        </is>
      </c>
      <c r="C8" s="96" t="inlineStr">
        <is>
          <t>Trust Mutual Fund</t>
        </is>
      </c>
      <c r="D8" s="96" t="inlineStr">
        <is>
          <t>Flexi Cap Fund</t>
        </is>
      </c>
      <c r="E8" s="97" t="n">
        <v>-0.71</v>
      </c>
      <c r="F8" s="98" t="n">
        <v>4.59</v>
      </c>
      <c r="G8" s="97" t="n">
        <v>-2.53</v>
      </c>
      <c r="H8" s="97" t="n">
        <v>-2.95</v>
      </c>
      <c r="I8" s="98" t="n">
        <v>3.537432844358279</v>
      </c>
      <c r="J8" s="98" t="n">
        <v>0</v>
      </c>
      <c r="K8" s="17" t="n">
        <v>87.2</v>
      </c>
      <c r="L8" s="18" t="n">
        <v>0</v>
      </c>
      <c r="M8" s="19" t="n">
        <v>47.9</v>
      </c>
      <c r="N8" s="99" t="inlineStr">
        <is>
          <t>⭐ Strong</t>
        </is>
      </c>
      <c r="O8" s="99" t="inlineStr">
        <is>
          <t>⏳ New Fund</t>
        </is>
      </c>
      <c r="P8" s="99" t="inlineStr">
        <is>
          <t>🔥 Hot Momentum</t>
        </is>
      </c>
      <c r="Q8" s="100" t="inlineStr">
        <is>
          <t>MOMENTUM_ONLY</t>
        </is>
      </c>
    </row>
    <row r="9" ht="16" customHeight="1">
      <c r="A9" s="95" t="n">
        <v>5</v>
      </c>
      <c r="B9" s="96" t="inlineStr">
        <is>
          <t>Bajaj Finserv Flexi Cap Fund -Regular Plan-Growth</t>
        </is>
      </c>
      <c r="C9" s="96" t="inlineStr">
        <is>
          <t>Bajaj Finserv Mutual Fund</t>
        </is>
      </c>
      <c r="D9" s="96" t="inlineStr">
        <is>
          <t>Flexi Cap Fund</t>
        </is>
      </c>
      <c r="E9" s="97" t="n">
        <v>-1.7</v>
      </c>
      <c r="F9" s="98" t="n">
        <v>4.4</v>
      </c>
      <c r="G9" s="97" t="n">
        <v>-2.57</v>
      </c>
      <c r="H9" s="97" t="n">
        <v>-0.76</v>
      </c>
      <c r="I9" s="98" t="n">
        <v>5.157025442906082</v>
      </c>
      <c r="J9" s="98" t="n">
        <v>0</v>
      </c>
      <c r="K9" s="17" t="n">
        <v>86.7</v>
      </c>
      <c r="L9" s="18" t="n">
        <v>0</v>
      </c>
      <c r="M9" s="19" t="n">
        <v>47.7</v>
      </c>
      <c r="N9" s="99" t="inlineStr">
        <is>
          <t>⭐ Strong</t>
        </is>
      </c>
      <c r="O9" s="99" t="inlineStr">
        <is>
          <t>⏳ New Fund</t>
        </is>
      </c>
      <c r="P9" s="99" t="inlineStr">
        <is>
          <t>🔥 Hot Momentum</t>
        </is>
      </c>
      <c r="Q9" s="100" t="inlineStr">
        <is>
          <t>MOMENTUM_ONLY</t>
        </is>
      </c>
    </row>
    <row r="10" ht="16" customHeight="1">
      <c r="A10" s="95" t="n">
        <v>6</v>
      </c>
      <c r="B10" s="96" t="inlineStr">
        <is>
          <t>360 ONE FLEXICAP FUND-REGULAR PLAN- GROWTH</t>
        </is>
      </c>
      <c r="C10" s="96" t="inlineStr">
        <is>
          <t>360 ONE Mutual Fund</t>
        </is>
      </c>
      <c r="D10" s="96" t="inlineStr">
        <is>
          <t>Flexi Cap Fund</t>
        </is>
      </c>
      <c r="E10" s="97" t="n">
        <v>-1.18</v>
      </c>
      <c r="F10" s="98" t="n">
        <v>5.77</v>
      </c>
      <c r="G10" s="97" t="n">
        <v>-3.1</v>
      </c>
      <c r="H10" s="97" t="n">
        <v>-3</v>
      </c>
      <c r="I10" s="98" t="n">
        <v>1.955872807798564</v>
      </c>
      <c r="J10" s="98" t="n">
        <v>0</v>
      </c>
      <c r="K10" s="17" t="n">
        <v>84.09999999999999</v>
      </c>
      <c r="L10" s="18" t="n">
        <v>0</v>
      </c>
      <c r="M10" s="19" t="n">
        <v>46.2</v>
      </c>
      <c r="N10" s="99" t="inlineStr">
        <is>
          <t>⭐ Strong</t>
        </is>
      </c>
      <c r="O10" s="99" t="inlineStr">
        <is>
          <t>⏳ New Fund</t>
        </is>
      </c>
      <c r="P10" s="99" t="inlineStr">
        <is>
          <t>🔥 Hot Momentum</t>
        </is>
      </c>
      <c r="Q10" s="100" t="inlineStr">
        <is>
          <t>MOMENTUM_ONLY</t>
        </is>
      </c>
    </row>
    <row r="11" ht="16" customHeight="1">
      <c r="A11" s="95" t="n">
        <v>7</v>
      </c>
      <c r="B11" s="96" t="inlineStr">
        <is>
          <t>Unifi Flexi Cap Fund - Regular Growth</t>
        </is>
      </c>
      <c r="C11" s="96" t="inlineStr">
        <is>
          <t>Unifi Mutual Fund</t>
        </is>
      </c>
      <c r="D11" s="96" t="inlineStr">
        <is>
          <t>Flexi Cap Fund</t>
        </is>
      </c>
      <c r="E11" s="97" t="n">
        <v>-0.85</v>
      </c>
      <c r="F11" s="98" t="n">
        <v>3.69</v>
      </c>
      <c r="G11" s="97" t="n">
        <v>-3.46</v>
      </c>
      <c r="H11" s="97" t="n">
        <v>-1.89</v>
      </c>
      <c r="I11" s="98" t="n">
        <v>0</v>
      </c>
      <c r="J11" s="98" t="n">
        <v>0</v>
      </c>
      <c r="K11" s="17" t="n">
        <v>83.40000000000001</v>
      </c>
      <c r="L11" s="18" t="n">
        <v>0</v>
      </c>
      <c r="M11" s="19" t="n">
        <v>45.9</v>
      </c>
      <c r="N11" s="99" t="inlineStr">
        <is>
          <t>⭐ Strong</t>
        </is>
      </c>
      <c r="O11" s="99" t="inlineStr">
        <is>
          <t>⏳ New Fund</t>
        </is>
      </c>
      <c r="P11" s="99" t="inlineStr">
        <is>
          <t>🔥 Hot Momentum</t>
        </is>
      </c>
      <c r="Q11" s="100" t="inlineStr">
        <is>
          <t>MOMENTUM_ONLY</t>
        </is>
      </c>
    </row>
    <row r="12" ht="16" customHeight="1">
      <c r="A12" s="85" t="n">
        <v>8</v>
      </c>
      <c r="B12" s="86" t="inlineStr">
        <is>
          <t>BANK OF INDIA Flexi Cap Fund Regular Plan -Growth</t>
        </is>
      </c>
      <c r="C12" s="86" t="inlineStr">
        <is>
          <t>Bank of India Mutual Fund</t>
        </is>
      </c>
      <c r="D12" s="86" t="inlineStr">
        <is>
          <t>Flexi Cap Fund</t>
        </is>
      </c>
      <c r="E12" s="87" t="n">
        <v>-3.26</v>
      </c>
      <c r="F12" s="88" t="n">
        <v>5.34</v>
      </c>
      <c r="G12" s="88" t="n">
        <v>1.18</v>
      </c>
      <c r="H12" s="88" t="n">
        <v>1.32</v>
      </c>
      <c r="I12" s="88" t="n">
        <v>2.28391857960859</v>
      </c>
      <c r="J12" s="88" t="n">
        <v>70.2</v>
      </c>
      <c r="K12" s="17" t="n">
        <v>79.5</v>
      </c>
      <c r="L12" s="18" t="n">
        <v>0</v>
      </c>
      <c r="M12" s="19" t="n">
        <v>43.7</v>
      </c>
      <c r="N12" s="89" t="inlineStr">
        <is>
          <t>⭐ Strong</t>
        </is>
      </c>
      <c r="O12" s="89" t="inlineStr">
        <is>
          <t>🔴 Not Qualified</t>
        </is>
      </c>
      <c r="P12" s="89" t="inlineStr">
        <is>
          <t>⚠️ Watch</t>
        </is>
      </c>
      <c r="Q12" s="68" t="inlineStr">
        <is>
          <t>FULL</t>
        </is>
      </c>
    </row>
    <row r="13" ht="16" customHeight="1">
      <c r="A13" s="90" t="n">
        <v>9</v>
      </c>
      <c r="B13" s="91" t="inlineStr">
        <is>
          <t>Aditya Birla Sun Life Flexi Cap Fund - Growth - Regular Plan</t>
        </is>
      </c>
      <c r="C13" s="91" t="inlineStr">
        <is>
          <t>Aditya Birla Sun Life Mutual Fund</t>
        </is>
      </c>
      <c r="D13" s="91" t="inlineStr">
        <is>
          <t>Flexi Cap Fund</t>
        </is>
      </c>
      <c r="E13" s="92" t="n">
        <v>-2.24</v>
      </c>
      <c r="F13" s="93" t="n">
        <v>3.39</v>
      </c>
      <c r="G13" s="92" t="n">
        <v>-3.47</v>
      </c>
      <c r="H13" s="93" t="n">
        <v>0.87</v>
      </c>
      <c r="I13" s="93" t="n">
        <v>6.122570643572334</v>
      </c>
      <c r="J13" s="93" t="n">
        <v>53.75</v>
      </c>
      <c r="K13" s="17" t="n">
        <v>78.59999999999999</v>
      </c>
      <c r="L13" s="18" t="n">
        <v>0</v>
      </c>
      <c r="M13" s="19" t="n">
        <v>43.2</v>
      </c>
      <c r="N13" s="94" t="inlineStr">
        <is>
          <t>⭐ Strong</t>
        </is>
      </c>
      <c r="O13" s="94" t="inlineStr">
        <is>
          <t>🔴 Not Qualified</t>
        </is>
      </c>
      <c r="P13" s="94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Axis Flexi Cap Fund - Regular Plan - Growth</t>
        </is>
      </c>
      <c r="C14" s="86" t="inlineStr">
        <is>
          <t>Axis Mutual Fund</t>
        </is>
      </c>
      <c r="D14" s="86" t="inlineStr">
        <is>
          <t>Flexi Cap Fund</t>
        </is>
      </c>
      <c r="E14" s="87" t="n">
        <v>-1.49</v>
      </c>
      <c r="F14" s="88" t="n">
        <v>3.88</v>
      </c>
      <c r="G14" s="87" t="n">
        <v>-3.92</v>
      </c>
      <c r="H14" s="87" t="n">
        <v>-3.31</v>
      </c>
      <c r="I14" s="88" t="n">
        <v>2.713192920870688</v>
      </c>
      <c r="J14" s="88" t="n">
        <v>40.03</v>
      </c>
      <c r="K14" s="17" t="n">
        <v>76.3</v>
      </c>
      <c r="L14" s="18" t="n">
        <v>0</v>
      </c>
      <c r="M14" s="19" t="n">
        <v>42</v>
      </c>
      <c r="N14" s="89" t="inlineStr">
        <is>
          <t>⭐ Strong</t>
        </is>
      </c>
      <c r="O14" s="89" t="inlineStr">
        <is>
          <t>🔴 Not Qualified</t>
        </is>
      </c>
      <c r="P14" s="89" t="inlineStr">
        <is>
          <t>⚠️ Watch</t>
        </is>
      </c>
      <c r="Q14" s="68" t="inlineStr">
        <is>
          <t>FULL</t>
        </is>
      </c>
    </row>
    <row r="15" ht="16" customHeight="1">
      <c r="A15" s="95" t="n">
        <v>11</v>
      </c>
      <c r="B15" s="96" t="inlineStr">
        <is>
          <t>Helios Flexi Cap Fund - Regular Plan - Growth Option</t>
        </is>
      </c>
      <c r="C15" s="96" t="inlineStr">
        <is>
          <t>Helios Mutual Fund</t>
        </is>
      </c>
      <c r="D15" s="96" t="inlineStr">
        <is>
          <t>Flexi Cap Fund</t>
        </is>
      </c>
      <c r="E15" s="97" t="n">
        <v>-2.58</v>
      </c>
      <c r="F15" s="98" t="n">
        <v>4.9</v>
      </c>
      <c r="G15" s="97" t="n">
        <v>-4.71</v>
      </c>
      <c r="H15" s="98" t="n">
        <v>0.77</v>
      </c>
      <c r="I15" s="98" t="n">
        <v>5.228323183447148</v>
      </c>
      <c r="J15" s="98" t="n">
        <v>0</v>
      </c>
      <c r="K15" s="17" t="n">
        <v>75.5</v>
      </c>
      <c r="L15" s="18" t="n">
        <v>0</v>
      </c>
      <c r="M15" s="19" t="n">
        <v>41.5</v>
      </c>
      <c r="N15" s="99" t="inlineStr">
        <is>
          <t>⭐ Strong</t>
        </is>
      </c>
      <c r="O15" s="99" t="inlineStr">
        <is>
          <t>⏳ New Fund</t>
        </is>
      </c>
      <c r="P15" s="99" t="inlineStr">
        <is>
          <t>📈 Momentum Only</t>
        </is>
      </c>
      <c r="Q15" s="100" t="inlineStr">
        <is>
          <t>MOMENTUM_ONLY</t>
        </is>
      </c>
    </row>
    <row r="16" ht="16" customHeight="1">
      <c r="A16" s="85" t="n">
        <v>12</v>
      </c>
      <c r="B16" s="86" t="inlineStr">
        <is>
          <t>WhiteOak Capital Flexi Cap Fund Regular Plan-Growth</t>
        </is>
      </c>
      <c r="C16" s="86" t="inlineStr">
        <is>
          <t>WhiteOak Capital Mutual Fund</t>
        </is>
      </c>
      <c r="D16" s="86" t="inlineStr">
        <is>
          <t>Flexi Cap Fund</t>
        </is>
      </c>
      <c r="E16" s="87" t="n">
        <v>-1.89</v>
      </c>
      <c r="F16" s="88" t="n">
        <v>3.68</v>
      </c>
      <c r="G16" s="87" t="n">
        <v>-5.96</v>
      </c>
      <c r="H16" s="87" t="n">
        <v>-2.74</v>
      </c>
      <c r="I16" s="88" t="n">
        <v>4.947605975553349</v>
      </c>
      <c r="J16" s="88" t="n">
        <v>51.81</v>
      </c>
      <c r="K16" s="73" t="n">
        <v>70.5</v>
      </c>
      <c r="L16" s="18" t="n">
        <v>0</v>
      </c>
      <c r="M16" s="19" t="n">
        <v>38.8</v>
      </c>
      <c r="N16" s="89" t="inlineStr">
        <is>
          <t>📈 Good</t>
        </is>
      </c>
      <c r="O16" s="89" t="inlineStr">
        <is>
          <t>🔴 Not Qualified</t>
        </is>
      </c>
      <c r="P16" s="89" t="inlineStr">
        <is>
          <t>🔴 Avoid</t>
        </is>
      </c>
      <c r="Q16" s="68" t="inlineStr">
        <is>
          <t>FULL</t>
        </is>
      </c>
    </row>
    <row r="17" ht="16" customHeight="1">
      <c r="A17" s="90" t="n">
        <v>13</v>
      </c>
      <c r="B17" s="91" t="inlineStr">
        <is>
          <t>HSBC Flexi Cap Fund - Regular Growth</t>
        </is>
      </c>
      <c r="C17" s="91" t="inlineStr">
        <is>
          <t>HSBC Mutual Fund</t>
        </is>
      </c>
      <c r="D17" s="91" t="inlineStr">
        <is>
          <t>Flexi Cap Fund</t>
        </is>
      </c>
      <c r="E17" s="92" t="n">
        <v>-3.37</v>
      </c>
      <c r="F17" s="93" t="n">
        <v>4.57</v>
      </c>
      <c r="G17" s="92" t="n">
        <v>-2.65</v>
      </c>
      <c r="H17" s="92" t="n">
        <v>-2.59</v>
      </c>
      <c r="I17" s="93" t="n">
        <v>3.319891598859126</v>
      </c>
      <c r="J17" s="93" t="n">
        <v>56</v>
      </c>
      <c r="K17" s="73" t="n">
        <v>67.59999999999999</v>
      </c>
      <c r="L17" s="18" t="n">
        <v>0</v>
      </c>
      <c r="M17" s="19" t="n">
        <v>37.2</v>
      </c>
      <c r="N17" s="94" t="inlineStr">
        <is>
          <t>📈 Good</t>
        </is>
      </c>
      <c r="O17" s="94" t="inlineStr">
        <is>
          <t>🔴 Not Qualified</t>
        </is>
      </c>
      <c r="P17" s="94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ICICI Prudential Flexicap Fund - Growth</t>
        </is>
      </c>
      <c r="C18" s="86" t="inlineStr">
        <is>
          <t>ICICI Prudential Mutual Fund</t>
        </is>
      </c>
      <c r="D18" s="86" t="inlineStr">
        <is>
          <t>Flexi Cap Fund</t>
        </is>
      </c>
      <c r="E18" s="87" t="n">
        <v>-2.57</v>
      </c>
      <c r="F18" s="88" t="n">
        <v>3.46</v>
      </c>
      <c r="G18" s="87" t="n">
        <v>-6.88</v>
      </c>
      <c r="H18" s="88" t="n">
        <v>0.87</v>
      </c>
      <c r="I18" s="88" t="n">
        <v>3.850854594461572</v>
      </c>
      <c r="J18" s="88" t="n">
        <v>50.69</v>
      </c>
      <c r="K18" s="73" t="n">
        <v>63.8</v>
      </c>
      <c r="L18" s="18" t="n">
        <v>0</v>
      </c>
      <c r="M18" s="19" t="n">
        <v>35.1</v>
      </c>
      <c r="N18" s="89" t="inlineStr">
        <is>
          <t>📈 Good</t>
        </is>
      </c>
      <c r="O18" s="89" t="inlineStr">
        <is>
          <t>🔴 Not Qualified</t>
        </is>
      </c>
      <c r="P18" s="89" t="inlineStr">
        <is>
          <t>🔴 Avoid</t>
        </is>
      </c>
      <c r="Q18" s="68" t="inlineStr">
        <is>
          <t>FULL</t>
        </is>
      </c>
    </row>
    <row r="19" ht="16" customHeight="1">
      <c r="A19" s="90" t="n">
        <v>15</v>
      </c>
      <c r="B19" s="91" t="inlineStr">
        <is>
          <t>LIC MF Flexi Cap Fund-Regular Plan-Growth</t>
        </is>
      </c>
      <c r="C19" s="91" t="inlineStr">
        <is>
          <t>LIC Mutual Fund</t>
        </is>
      </c>
      <c r="D19" s="91" t="inlineStr">
        <is>
          <t>Flexi Cap Fund</t>
        </is>
      </c>
      <c r="E19" s="92" t="n">
        <v>-2.45</v>
      </c>
      <c r="F19" s="93" t="n">
        <v>2.66</v>
      </c>
      <c r="G19" s="92" t="n">
        <v>-6.39</v>
      </c>
      <c r="H19" s="92" t="n">
        <v>-0.98</v>
      </c>
      <c r="I19" s="92" t="n">
        <v>-0.2603388816665331</v>
      </c>
      <c r="J19" s="93" t="n">
        <v>33.86</v>
      </c>
      <c r="K19" s="73" t="n">
        <v>62.6</v>
      </c>
      <c r="L19" s="18" t="n">
        <v>0</v>
      </c>
      <c r="M19" s="19" t="n">
        <v>34.4</v>
      </c>
      <c r="N19" s="94" t="inlineStr">
        <is>
          <t>📈 Good</t>
        </is>
      </c>
      <c r="O19" s="94" t="inlineStr">
        <is>
          <t>🔴 Not Qualified</t>
        </is>
      </c>
      <c r="P19" s="94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Baroda BNP Paribas Flexi Cap Fund - Regular Plan - Growth Option</t>
        </is>
      </c>
      <c r="C20" s="86" t="inlineStr">
        <is>
          <t>Baroda BNP Paribas Mutual Fund</t>
        </is>
      </c>
      <c r="D20" s="86" t="inlineStr">
        <is>
          <t>Flexi Cap Fund</t>
        </is>
      </c>
      <c r="E20" s="87" t="n">
        <v>-2.63</v>
      </c>
      <c r="F20" s="88" t="n">
        <v>2.06</v>
      </c>
      <c r="G20" s="87" t="n">
        <v>-4.08</v>
      </c>
      <c r="H20" s="87" t="n">
        <v>-3.11</v>
      </c>
      <c r="I20" s="88" t="n">
        <v>1.759520439121576</v>
      </c>
      <c r="J20" s="88" t="n">
        <v>43.82</v>
      </c>
      <c r="K20" s="73" t="n">
        <v>59.8</v>
      </c>
      <c r="L20" s="18" t="n">
        <v>0</v>
      </c>
      <c r="M20" s="19" t="n">
        <v>32.9</v>
      </c>
      <c r="N20" s="89" t="inlineStr">
        <is>
          <t>➡️ Neutral</t>
        </is>
      </c>
      <c r="O20" s="89" t="inlineStr">
        <is>
          <t>🔴 Not Qualified</t>
        </is>
      </c>
      <c r="P20" s="89" t="inlineStr">
        <is>
          <t>🔴 Avoid</t>
        </is>
      </c>
      <c r="Q20" s="68" t="inlineStr">
        <is>
          <t>FULL</t>
        </is>
      </c>
    </row>
    <row r="21" ht="16" customHeight="1">
      <c r="A21" s="90" t="n">
        <v>17</v>
      </c>
      <c r="B21" s="91" t="inlineStr">
        <is>
          <t>HDFC Flexi Cap Fund - Growth Plan</t>
        </is>
      </c>
      <c r="C21" s="91" t="inlineStr">
        <is>
          <t>HDFC Mutual Fund</t>
        </is>
      </c>
      <c r="D21" s="91" t="inlineStr">
        <is>
          <t>Flexi Cap Fund</t>
        </is>
      </c>
      <c r="E21" s="92" t="n">
        <v>-1.19</v>
      </c>
      <c r="F21" s="93" t="n">
        <v>0.04</v>
      </c>
      <c r="G21" s="92" t="n">
        <v>-7.2</v>
      </c>
      <c r="H21" s="92" t="n">
        <v>-2.41</v>
      </c>
      <c r="I21" s="93" t="n">
        <v>4.866581902911271</v>
      </c>
      <c r="J21" s="93" t="n">
        <v>58.12</v>
      </c>
      <c r="K21" s="73" t="n">
        <v>57.1</v>
      </c>
      <c r="L21" s="18" t="n">
        <v>0</v>
      </c>
      <c r="M21" s="19" t="n">
        <v>31.4</v>
      </c>
      <c r="N21" s="94" t="inlineStr">
        <is>
          <t>➡️ Neutral</t>
        </is>
      </c>
      <c r="O21" s="94" t="inlineStr">
        <is>
          <t>🔴 Not Qualified</t>
        </is>
      </c>
      <c r="P21" s="94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JM Flexicap Fund (Regular) - Growth option</t>
        </is>
      </c>
      <c r="C22" s="86" t="inlineStr">
        <is>
          <t>JM Financial Mutual Fund</t>
        </is>
      </c>
      <c r="D22" s="86" t="inlineStr">
        <is>
          <t>Flexi Cap Fund</t>
        </is>
      </c>
      <c r="E22" s="87" t="n">
        <v>-2.38</v>
      </c>
      <c r="F22" s="88" t="n">
        <v>3.36</v>
      </c>
      <c r="G22" s="87" t="n">
        <v>-4.98</v>
      </c>
      <c r="H22" s="87" t="n">
        <v>-6.18</v>
      </c>
      <c r="I22" s="87" t="n">
        <v>-2.639843878514658</v>
      </c>
      <c r="J22" s="88" t="n">
        <v>53.39</v>
      </c>
      <c r="K22" s="73" t="n">
        <v>56.3</v>
      </c>
      <c r="L22" s="18" t="n">
        <v>0</v>
      </c>
      <c r="M22" s="19" t="n">
        <v>31</v>
      </c>
      <c r="N22" s="89" t="inlineStr">
        <is>
          <t>➡️ Neutral</t>
        </is>
      </c>
      <c r="O22" s="89" t="inlineStr">
        <is>
          <t>🔴 Not Qualified</t>
        </is>
      </c>
      <c r="P22" s="89" t="inlineStr">
        <is>
          <t>🔴 Avoid</t>
        </is>
      </c>
      <c r="Q22" s="68" t="inlineStr">
        <is>
          <t>FULL</t>
        </is>
      </c>
    </row>
    <row r="23" ht="16" customHeight="1">
      <c r="A23" s="95" t="n">
        <v>19</v>
      </c>
      <c r="B23" s="96" t="inlineStr">
        <is>
          <t>THE WEALTH COMPANY FLEXI CAP FUND - REGULAR GROWTH</t>
        </is>
      </c>
      <c r="C23" s="96" t="inlineStr">
        <is>
          <t>The Wealth Company Mutual Fund</t>
        </is>
      </c>
      <c r="D23" s="96" t="inlineStr">
        <is>
          <t>Flexi Cap Fund</t>
        </is>
      </c>
      <c r="E23" s="97" t="n">
        <v>-3.73</v>
      </c>
      <c r="F23" s="98" t="n">
        <v>2.76</v>
      </c>
      <c r="G23" s="97" t="n">
        <v>-5.43</v>
      </c>
      <c r="H23" s="98" t="n">
        <v>0</v>
      </c>
      <c r="I23" s="98" t="n">
        <v>0</v>
      </c>
      <c r="J23" s="98" t="n">
        <v>0</v>
      </c>
      <c r="K23" s="73" t="n">
        <v>55.3</v>
      </c>
      <c r="L23" s="18" t="n">
        <v>0</v>
      </c>
      <c r="M23" s="19" t="n">
        <v>30.4</v>
      </c>
      <c r="N23" s="99" t="inlineStr">
        <is>
          <t>➡️ Neutral</t>
        </is>
      </c>
      <c r="O23" s="99" t="inlineStr">
        <is>
          <t>⏳ New Fund</t>
        </is>
      </c>
      <c r="P23" s="99" t="inlineStr">
        <is>
          <t>⏳ New Fund</t>
        </is>
      </c>
      <c r="Q23" s="100" t="inlineStr">
        <is>
          <t>MOMENTUM_ONLY</t>
        </is>
      </c>
    </row>
    <row r="24" ht="16" customHeight="1">
      <c r="A24" s="85" t="n">
        <v>20</v>
      </c>
      <c r="B24" s="86" t="inlineStr">
        <is>
          <t>Taurus Flexi Cap Fund - Regular Plan - Payout of Income Distribution cum Capital Withdrawal option</t>
        </is>
      </c>
      <c r="C24" s="86" t="inlineStr">
        <is>
          <t>Taurus Mutual Fund</t>
        </is>
      </c>
      <c r="D24" s="86" t="inlineStr">
        <is>
          <t>Flexi Cap Fund</t>
        </is>
      </c>
      <c r="E24" s="87" t="n">
        <v>-2.78</v>
      </c>
      <c r="F24" s="88" t="n">
        <v>2.13</v>
      </c>
      <c r="G24" s="87" t="n">
        <v>-4.81</v>
      </c>
      <c r="H24" s="87" t="n">
        <v>-5.86</v>
      </c>
      <c r="I24" s="87" t="n">
        <v>-1.618091093941465</v>
      </c>
      <c r="J24" s="88" t="n">
        <v>38.59</v>
      </c>
      <c r="K24" s="73" t="n">
        <v>51.1</v>
      </c>
      <c r="L24" s="18" t="n">
        <v>0</v>
      </c>
      <c r="M24" s="19" t="n">
        <v>28.1</v>
      </c>
      <c r="N24" s="89" t="inlineStr">
        <is>
          <t>➡️ Neutral</t>
        </is>
      </c>
      <c r="O24" s="89" t="inlineStr">
        <is>
          <t>🔴 Not Qualified</t>
        </is>
      </c>
      <c r="P24" s="89" t="inlineStr">
        <is>
          <t>🔴 Avoid</t>
        </is>
      </c>
      <c r="Q24" s="68" t="inlineStr">
        <is>
          <t>FULL</t>
        </is>
      </c>
    </row>
    <row r="25" ht="16" customHeight="1">
      <c r="A25" s="90" t="n">
        <v>21</v>
      </c>
      <c r="B25" s="91" t="inlineStr">
        <is>
          <t>Taurus Flexi Cap Fund - Regular Plan - Growth</t>
        </is>
      </c>
      <c r="C25" s="91" t="inlineStr">
        <is>
          <t>Taurus Mutual Fund</t>
        </is>
      </c>
      <c r="D25" s="91" t="inlineStr">
        <is>
          <t>Flexi Cap Fund</t>
        </is>
      </c>
      <c r="E25" s="92" t="n">
        <v>-2.78</v>
      </c>
      <c r="F25" s="93" t="n">
        <v>2.12</v>
      </c>
      <c r="G25" s="92" t="n">
        <v>-4.82</v>
      </c>
      <c r="H25" s="92" t="n">
        <v>-5.86</v>
      </c>
      <c r="I25" s="92" t="n">
        <v>-1.618091093941465</v>
      </c>
      <c r="J25" s="93" t="n">
        <v>38.59</v>
      </c>
      <c r="K25" s="78" t="n">
        <v>49.9</v>
      </c>
      <c r="L25" s="18" t="n">
        <v>0</v>
      </c>
      <c r="M25" s="19" t="n">
        <v>27.5</v>
      </c>
      <c r="N25" s="94" t="inlineStr">
        <is>
          <t>➡️ Neutral</t>
        </is>
      </c>
      <c r="O25" s="94" t="inlineStr">
        <is>
          <t>🔴 Not Qualified</t>
        </is>
      </c>
      <c r="P25" s="94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PGIM India Flexi Cap Fund - Regular Plan - Growth Option</t>
        </is>
      </c>
      <c r="C26" s="86" t="inlineStr">
        <is>
          <t>PGIM India Mutual Fund</t>
        </is>
      </c>
      <c r="D26" s="86" t="inlineStr">
        <is>
          <t>Flexi Cap Fund</t>
        </is>
      </c>
      <c r="E26" s="87" t="n">
        <v>-2.63</v>
      </c>
      <c r="F26" s="88" t="n">
        <v>1.86</v>
      </c>
      <c r="G26" s="87" t="n">
        <v>-6.61</v>
      </c>
      <c r="H26" s="87" t="n">
        <v>-4.73</v>
      </c>
      <c r="I26" s="88" t="n">
        <v>2.4987804805501</v>
      </c>
      <c r="J26" s="88" t="n">
        <v>29.79</v>
      </c>
      <c r="K26" s="78" t="n">
        <v>47.9</v>
      </c>
      <c r="L26" s="18" t="n">
        <v>0</v>
      </c>
      <c r="M26" s="19" t="n">
        <v>26.4</v>
      </c>
      <c r="N26" s="89" t="inlineStr">
        <is>
          <t>➡️ Neutral</t>
        </is>
      </c>
      <c r="O26" s="89" t="inlineStr">
        <is>
          <t>🔴 Not Qualified</t>
        </is>
      </c>
      <c r="P26" s="89" t="inlineStr">
        <is>
          <t>🔴 Avoid</t>
        </is>
      </c>
      <c r="Q26" s="68" t="inlineStr">
        <is>
          <t>FULL</t>
        </is>
      </c>
    </row>
    <row r="27" ht="16" customHeight="1">
      <c r="A27" s="95" t="n">
        <v>23</v>
      </c>
      <c r="B27" s="96" t="inlineStr">
        <is>
          <t>CAPITALMIND FLEXI CAP FUND REGULAR GROWTH</t>
        </is>
      </c>
      <c r="C27" s="96" t="inlineStr">
        <is>
          <t>Capitalmind Mutual Fund</t>
        </is>
      </c>
      <c r="D27" s="96" t="inlineStr">
        <is>
          <t>Flexi Cap Fund</t>
        </is>
      </c>
      <c r="E27" s="97" t="n">
        <v>-3.56</v>
      </c>
      <c r="F27" s="97" t="n">
        <v>-3.29</v>
      </c>
      <c r="G27" s="97" t="n">
        <v>-4.97</v>
      </c>
      <c r="H27" s="98" t="n">
        <v>0</v>
      </c>
      <c r="I27" s="98" t="n">
        <v>0</v>
      </c>
      <c r="J27" s="98" t="n">
        <v>0</v>
      </c>
      <c r="K27" s="78" t="n">
        <v>47.2</v>
      </c>
      <c r="L27" s="18" t="n">
        <v>0</v>
      </c>
      <c r="M27" s="19" t="n">
        <v>25.9</v>
      </c>
      <c r="N27" s="99" t="inlineStr">
        <is>
          <t>➡️ Neutral</t>
        </is>
      </c>
      <c r="O27" s="99" t="inlineStr">
        <is>
          <t>⏳ New Fund</t>
        </is>
      </c>
      <c r="P27" s="99" t="inlineStr">
        <is>
          <t>⏳ New Fund</t>
        </is>
      </c>
      <c r="Q27" s="100" t="inlineStr">
        <is>
          <t>MOMENTUM_ONLY</t>
        </is>
      </c>
    </row>
    <row r="28" ht="16" customHeight="1">
      <c r="A28" s="85" t="n">
        <v>24</v>
      </c>
      <c r="B28" s="86" t="inlineStr">
        <is>
          <t>Kotak Flexicap Fund - Payout of Income Distribution cum capital withdrawal option</t>
        </is>
      </c>
      <c r="C28" s="86" t="inlineStr">
        <is>
          <t>Kotak Mahindra Mutual Fund</t>
        </is>
      </c>
      <c r="D28" s="86" t="inlineStr">
        <is>
          <t>Flexi Cap Fund</t>
        </is>
      </c>
      <c r="E28" s="87" t="n">
        <v>-2.45</v>
      </c>
      <c r="F28" s="87" t="n">
        <v>-1.03</v>
      </c>
      <c r="G28" s="87" t="n">
        <v>-5.95</v>
      </c>
      <c r="H28" s="87" t="n">
        <v>-4.79</v>
      </c>
      <c r="I28" s="88" t="n">
        <v>1.82828683622247</v>
      </c>
      <c r="J28" s="88" t="n">
        <v>42.5</v>
      </c>
      <c r="K28" s="78" t="n">
        <v>46.4</v>
      </c>
      <c r="L28" s="18" t="n">
        <v>0</v>
      </c>
      <c r="M28" s="19" t="n">
        <v>25.5</v>
      </c>
      <c r="N28" s="89" t="inlineStr">
        <is>
          <t>➡️ Neutral</t>
        </is>
      </c>
      <c r="O28" s="89" t="inlineStr">
        <is>
          <t>🔴 Not Qualified</t>
        </is>
      </c>
      <c r="P28" s="89" t="inlineStr">
        <is>
          <t>🔴 Avoid</t>
        </is>
      </c>
      <c r="Q28" s="68" t="inlineStr">
        <is>
          <t>FULL</t>
        </is>
      </c>
    </row>
    <row r="29" ht="16" customHeight="1">
      <c r="A29" s="90" t="n">
        <v>24</v>
      </c>
      <c r="B29" s="91" t="inlineStr">
        <is>
          <t>Kotak Flexicap Fund - Growth</t>
        </is>
      </c>
      <c r="C29" s="91" t="inlineStr">
        <is>
          <t>Kotak Mahindra Mutual Fund</t>
        </is>
      </c>
      <c r="D29" s="91" t="inlineStr">
        <is>
          <t>Flexi Cap Fund</t>
        </is>
      </c>
      <c r="E29" s="92" t="n">
        <v>-2.45</v>
      </c>
      <c r="F29" s="92" t="n">
        <v>-1.03</v>
      </c>
      <c r="G29" s="92" t="n">
        <v>-5.95</v>
      </c>
      <c r="H29" s="92" t="n">
        <v>-4.79</v>
      </c>
      <c r="I29" s="93" t="n">
        <v>1.82828683622247</v>
      </c>
      <c r="J29" s="93" t="n">
        <v>42.5</v>
      </c>
      <c r="K29" s="78" t="n">
        <v>46.4</v>
      </c>
      <c r="L29" s="18" t="n">
        <v>0</v>
      </c>
      <c r="M29" s="19" t="n">
        <v>25.5</v>
      </c>
      <c r="N29" s="94" t="inlineStr">
        <is>
          <t>➡️ Neutral</t>
        </is>
      </c>
      <c r="O29" s="94" t="inlineStr">
        <is>
          <t>🔴 Not Qualified</t>
        </is>
      </c>
      <c r="P29" s="94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Mirae Asset Flexi Cap Fund - Regular Plan - Growth</t>
        </is>
      </c>
      <c r="C30" s="86" t="inlineStr">
        <is>
          <t>Mirae Asset Mutual Fund</t>
        </is>
      </c>
      <c r="D30" s="86" t="inlineStr">
        <is>
          <t>Flexi Cap Fund</t>
        </is>
      </c>
      <c r="E30" s="87" t="n">
        <v>-3.14</v>
      </c>
      <c r="F30" s="88" t="n">
        <v>0.25</v>
      </c>
      <c r="G30" s="87" t="n">
        <v>-6.54</v>
      </c>
      <c r="H30" s="87" t="n">
        <v>-2.81</v>
      </c>
      <c r="I30" s="88" t="n">
        <v>3.300532428443947</v>
      </c>
      <c r="J30" s="88" t="n">
        <v>41.55</v>
      </c>
      <c r="K30" s="78" t="n">
        <v>45.6</v>
      </c>
      <c r="L30" s="18" t="n">
        <v>0</v>
      </c>
      <c r="M30" s="19" t="n">
        <v>25.1</v>
      </c>
      <c r="N30" s="89" t="inlineStr">
        <is>
          <t>➡️ Neutral</t>
        </is>
      </c>
      <c r="O30" s="89" t="inlineStr">
        <is>
          <t>🔴 Not Qualified</t>
        </is>
      </c>
      <c r="P30" s="89" t="inlineStr">
        <is>
          <t>🔴 Avoid</t>
        </is>
      </c>
      <c r="Q30" s="68" t="inlineStr">
        <is>
          <t>FULL</t>
        </is>
      </c>
    </row>
    <row r="31" ht="16" customHeight="1">
      <c r="A31" s="90" t="n">
        <v>27</v>
      </c>
      <c r="B31" s="91" t="inlineStr">
        <is>
          <t>DSP Flexi Cap Fund - Regular Plan - Growth</t>
        </is>
      </c>
      <c r="C31" s="91" t="inlineStr">
        <is>
          <t>DSP Mutual Fund</t>
        </is>
      </c>
      <c r="D31" s="91" t="inlineStr">
        <is>
          <t>Flexi Cap Fund</t>
        </is>
      </c>
      <c r="E31" s="92" t="n">
        <v>-2</v>
      </c>
      <c r="F31" s="93" t="n">
        <v>1.24</v>
      </c>
      <c r="G31" s="92" t="n">
        <v>-7.2</v>
      </c>
      <c r="H31" s="92" t="n">
        <v>-6.18</v>
      </c>
      <c r="I31" s="93" t="n">
        <v>1.892099791887691</v>
      </c>
      <c r="J31" s="93" t="n">
        <v>41.28</v>
      </c>
      <c r="K31" s="78" t="n">
        <v>44.7</v>
      </c>
      <c r="L31" s="18" t="n">
        <v>0</v>
      </c>
      <c r="M31" s="19" t="n">
        <v>24.6</v>
      </c>
      <c r="N31" s="94" t="inlineStr">
        <is>
          <t>➡️ Neutral</t>
        </is>
      </c>
      <c r="O31" s="94" t="inlineStr">
        <is>
          <t>🔴 Not Qualified</t>
        </is>
      </c>
      <c r="P31" s="94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Invesco India Flexi Cap Fund - Regular Plan - Growth</t>
        </is>
      </c>
      <c r="C32" s="86" t="inlineStr">
        <is>
          <t>Invesco Mutual Fund</t>
        </is>
      </c>
      <c r="D32" s="86" t="inlineStr">
        <is>
          <t>Flexi Cap Fund</t>
        </is>
      </c>
      <c r="E32" s="87" t="n">
        <v>-3.13</v>
      </c>
      <c r="F32" s="88" t="n">
        <v>5.7</v>
      </c>
      <c r="G32" s="87" t="n">
        <v>-6.97</v>
      </c>
      <c r="H32" s="87" t="n">
        <v>-6.52</v>
      </c>
      <c r="I32" s="88" t="n">
        <v>3.460137251020501</v>
      </c>
      <c r="J32" s="88" t="n">
        <v>57.41</v>
      </c>
      <c r="K32" s="78" t="n">
        <v>44.6</v>
      </c>
      <c r="L32" s="18" t="n">
        <v>0</v>
      </c>
      <c r="M32" s="19" t="n">
        <v>24.5</v>
      </c>
      <c r="N32" s="89" t="inlineStr">
        <is>
          <t>➡️ Neutral</t>
        </is>
      </c>
      <c r="O32" s="89" t="inlineStr">
        <is>
          <t>🔴 Not Qualified</t>
        </is>
      </c>
      <c r="P32" s="89" t="inlineStr">
        <is>
          <t>🔴 Avoid</t>
        </is>
      </c>
      <c r="Q32" s="68" t="inlineStr">
        <is>
          <t>FULL</t>
        </is>
      </c>
    </row>
    <row r="33" ht="16" customHeight="1">
      <c r="A33" s="90" t="n">
        <v>29</v>
      </c>
      <c r="B33" s="91" t="inlineStr">
        <is>
          <t>Parag Parikh Flexi Cap Fund - Regular Plan - Growth</t>
        </is>
      </c>
      <c r="C33" s="91" t="inlineStr">
        <is>
          <t>PPFAS Mutual Fund</t>
        </is>
      </c>
      <c r="D33" s="91" t="inlineStr">
        <is>
          <t>Flexi Cap Fund</t>
        </is>
      </c>
      <c r="E33" s="92" t="n">
        <v>-2.56</v>
      </c>
      <c r="F33" s="92" t="n">
        <v>-0.96</v>
      </c>
      <c r="G33" s="92" t="n">
        <v>-6.84</v>
      </c>
      <c r="H33" s="92" t="n">
        <v>-4.36</v>
      </c>
      <c r="I33" s="93" t="n">
        <v>4.417431494937674</v>
      </c>
      <c r="J33" s="93" t="n">
        <v>49.66</v>
      </c>
      <c r="K33" s="78" t="n">
        <v>44.4</v>
      </c>
      <c r="L33" s="18" t="n">
        <v>0</v>
      </c>
      <c r="M33" s="19" t="n">
        <v>24.4</v>
      </c>
      <c r="N33" s="94" t="inlineStr">
        <is>
          <t>➡️ Neutral</t>
        </is>
      </c>
      <c r="O33" s="94" t="inlineStr">
        <is>
          <t>🔴 Not Qualified</t>
        </is>
      </c>
      <c r="P33" s="94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SBI Flexicap Fund - REGULAR PLAN -Growth Option</t>
        </is>
      </c>
      <c r="C34" s="86" t="inlineStr">
        <is>
          <t>SBI Mutual Fund</t>
        </is>
      </c>
      <c r="D34" s="86" t="inlineStr">
        <is>
          <t>Flexi Cap Fund</t>
        </is>
      </c>
      <c r="E34" s="87" t="n">
        <v>-2.21</v>
      </c>
      <c r="F34" s="87" t="n">
        <v>-0.1</v>
      </c>
      <c r="G34" s="87" t="n">
        <v>-8.359999999999999</v>
      </c>
      <c r="H34" s="87" t="n">
        <v>-4.28</v>
      </c>
      <c r="I34" s="88" t="n">
        <v>0.03999200319839691</v>
      </c>
      <c r="J34" s="88" t="n">
        <v>28.47</v>
      </c>
      <c r="K34" s="78" t="n">
        <v>43.3</v>
      </c>
      <c r="L34" s="18" t="n">
        <v>0</v>
      </c>
      <c r="M34" s="19" t="n">
        <v>23.8</v>
      </c>
      <c r="N34" s="89" t="inlineStr">
        <is>
          <t>➡️ Neutral</t>
        </is>
      </c>
      <c r="O34" s="89" t="inlineStr">
        <is>
          <t>🔴 Not Qualified</t>
        </is>
      </c>
      <c r="P34" s="89" t="inlineStr">
        <is>
          <t>🔴 Avoid</t>
        </is>
      </c>
      <c r="Q34" s="68" t="inlineStr">
        <is>
          <t>FULL</t>
        </is>
      </c>
    </row>
    <row r="35" ht="16" customHeight="1">
      <c r="A35" s="90" t="n">
        <v>31</v>
      </c>
      <c r="B35" s="91" t="inlineStr">
        <is>
          <t>Union Flexi Cap Fund - Growth Option</t>
        </is>
      </c>
      <c r="C35" s="91" t="inlineStr">
        <is>
          <t>Union Mutual Fund</t>
        </is>
      </c>
      <c r="D35" s="91" t="inlineStr">
        <is>
          <t>Flexi Cap Fund</t>
        </is>
      </c>
      <c r="E35" s="92" t="n">
        <v>-3.15</v>
      </c>
      <c r="F35" s="93" t="n">
        <v>1.27</v>
      </c>
      <c r="G35" s="92" t="n">
        <v>-6.23</v>
      </c>
      <c r="H35" s="92" t="n">
        <v>-4.91</v>
      </c>
      <c r="I35" s="93" t="n">
        <v>1.098961418997768</v>
      </c>
      <c r="J35" s="93" t="n">
        <v>37.18</v>
      </c>
      <c r="K35" s="78" t="n">
        <v>42.4</v>
      </c>
      <c r="L35" s="18" t="n">
        <v>0</v>
      </c>
      <c r="M35" s="19" t="n">
        <v>23.3</v>
      </c>
      <c r="N35" s="94" t="inlineStr">
        <is>
          <t>➡️ Neutral</t>
        </is>
      </c>
      <c r="O35" s="94" t="inlineStr">
        <is>
          <t>🔴 Not Qualified</t>
        </is>
      </c>
      <c r="P35" s="94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BANDHAN Flexi Cap Fund - Regular Plan - Growth</t>
        </is>
      </c>
      <c r="C36" s="86" t="inlineStr">
        <is>
          <t>Bandhan Mutual Fund</t>
        </is>
      </c>
      <c r="D36" s="86" t="inlineStr">
        <is>
          <t>Flexi Cap Fund</t>
        </is>
      </c>
      <c r="E36" s="87" t="n">
        <v>-2.58</v>
      </c>
      <c r="F36" s="88" t="n">
        <v>0.38</v>
      </c>
      <c r="G36" s="87" t="n">
        <v>-7.25</v>
      </c>
      <c r="H36" s="87" t="n">
        <v>-4.09</v>
      </c>
      <c r="I36" s="88" t="n">
        <v>2.112682855754988</v>
      </c>
      <c r="J36" s="88" t="n">
        <v>40.83</v>
      </c>
      <c r="K36" s="78" t="n">
        <v>42.3</v>
      </c>
      <c r="L36" s="18" t="n">
        <v>0</v>
      </c>
      <c r="M36" s="19" t="n">
        <v>23.3</v>
      </c>
      <c r="N36" s="89" t="inlineStr">
        <is>
          <t>➡️ Neutral</t>
        </is>
      </c>
      <c r="O36" s="89" t="inlineStr">
        <is>
          <t>🔴 Not Qualified</t>
        </is>
      </c>
      <c r="P36" s="89" t="inlineStr">
        <is>
          <t>🔴 Avoid</t>
        </is>
      </c>
      <c r="Q36" s="68" t="inlineStr">
        <is>
          <t>FULL</t>
        </is>
      </c>
    </row>
    <row r="37" ht="16" customHeight="1">
      <c r="A37" s="90" t="n">
        <v>33</v>
      </c>
      <c r="B37" s="91" t="inlineStr">
        <is>
          <t>Samco Flexi Cap Fund - Regular Plan - Growth Option</t>
        </is>
      </c>
      <c r="C37" s="91" t="inlineStr">
        <is>
          <t>Samco Mutual Fund</t>
        </is>
      </c>
      <c r="D37" s="91" t="inlineStr">
        <is>
          <t>Flexi Cap Fund</t>
        </is>
      </c>
      <c r="E37" s="92" t="n">
        <v>-3.83</v>
      </c>
      <c r="F37" s="93" t="n">
        <v>2.36</v>
      </c>
      <c r="G37" s="92" t="n">
        <v>-2.75</v>
      </c>
      <c r="H37" s="92" t="n">
        <v>-12.96</v>
      </c>
      <c r="I37" s="92" t="n">
        <v>-11.49576281329803</v>
      </c>
      <c r="J37" s="92" t="n">
        <v>-1.65</v>
      </c>
      <c r="K37" s="78" t="n">
        <v>40.6</v>
      </c>
      <c r="L37" s="18" t="n">
        <v>0</v>
      </c>
      <c r="M37" s="19" t="n">
        <v>22.3</v>
      </c>
      <c r="N37" s="94" t="inlineStr">
        <is>
          <t>➡️ Neutral</t>
        </is>
      </c>
      <c r="O37" s="94" t="inlineStr">
        <is>
          <t>🔴 Not Qualified</t>
        </is>
      </c>
      <c r="P37" s="94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UTI - Flexi Cap Fund-Growth Option</t>
        </is>
      </c>
      <c r="C38" s="86" t="inlineStr">
        <is>
          <t>UTI Mutual Fund</t>
        </is>
      </c>
      <c r="D38" s="86" t="inlineStr">
        <is>
          <t>Flexi Cap Fund</t>
        </is>
      </c>
      <c r="E38" s="87" t="n">
        <v>-2.05</v>
      </c>
      <c r="F38" s="88" t="n">
        <v>3.7</v>
      </c>
      <c r="G38" s="87" t="n">
        <v>-10.03</v>
      </c>
      <c r="H38" s="87" t="n">
        <v>-10.1</v>
      </c>
      <c r="I38" s="88" t="n">
        <v>0.369318020996845</v>
      </c>
      <c r="J38" s="88" t="n">
        <v>21.24</v>
      </c>
      <c r="K38" s="78" t="n">
        <v>40.3</v>
      </c>
      <c r="L38" s="18" t="n">
        <v>0</v>
      </c>
      <c r="M38" s="19" t="n">
        <v>22.2</v>
      </c>
      <c r="N38" s="89" t="inlineStr">
        <is>
          <t>➡️ Neutral</t>
        </is>
      </c>
      <c r="O38" s="89" t="inlineStr">
        <is>
          <t>🔴 Not Qualified</t>
        </is>
      </c>
      <c r="P38" s="89" t="inlineStr">
        <is>
          <t>🔴 Avoid</t>
        </is>
      </c>
      <c r="Q38" s="68" t="inlineStr">
        <is>
          <t>FULL</t>
        </is>
      </c>
    </row>
    <row r="39" ht="16" customHeight="1">
      <c r="A39" s="90" t="n">
        <v>35</v>
      </c>
      <c r="B39" s="91" t="inlineStr">
        <is>
          <t>Shriram Flexi Cap Fund - Regular Growth</t>
        </is>
      </c>
      <c r="C39" s="91" t="inlineStr">
        <is>
          <t>Shriram Mutual Fund</t>
        </is>
      </c>
      <c r="D39" s="91" t="inlineStr">
        <is>
          <t>Flexi Cap Fund</t>
        </is>
      </c>
      <c r="E39" s="92" t="n">
        <v>-2.05</v>
      </c>
      <c r="F39" s="93" t="n">
        <v>0.57</v>
      </c>
      <c r="G39" s="92" t="n">
        <v>-7.6</v>
      </c>
      <c r="H39" s="92" t="n">
        <v>-6.18</v>
      </c>
      <c r="I39" s="92" t="n">
        <v>-6.608351551115666</v>
      </c>
      <c r="J39" s="93" t="n">
        <v>24.31</v>
      </c>
      <c r="K39" s="78" t="n">
        <v>40.3</v>
      </c>
      <c r="L39" s="18" t="n">
        <v>0</v>
      </c>
      <c r="M39" s="19" t="n">
        <v>22.2</v>
      </c>
      <c r="N39" s="94" t="inlineStr">
        <is>
          <t>➡️ Neutral</t>
        </is>
      </c>
      <c r="O39" s="94" t="inlineStr">
        <is>
          <t>🔴 Not Qualified</t>
        </is>
      </c>
      <c r="P39" s="94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Edelweiss Flexi Cap Fund - Regular Plan - Growth Option</t>
        </is>
      </c>
      <c r="C40" s="86" t="inlineStr">
        <is>
          <t>Edelweiss Mutual Fund</t>
        </is>
      </c>
      <c r="D40" s="86" t="inlineStr">
        <is>
          <t>Flexi Cap Fund</t>
        </is>
      </c>
      <c r="E40" s="87" t="n">
        <v>-3.73</v>
      </c>
      <c r="F40" s="87" t="n">
        <v>-0.17</v>
      </c>
      <c r="G40" s="87" t="n">
        <v>-6.95</v>
      </c>
      <c r="H40" s="87" t="n">
        <v>-2.97</v>
      </c>
      <c r="I40" s="88" t="n">
        <v>2.122475488993114</v>
      </c>
      <c r="J40" s="88" t="n">
        <v>48.4</v>
      </c>
      <c r="K40" s="78" t="n">
        <v>36.1</v>
      </c>
      <c r="L40" s="18" t="n">
        <v>0</v>
      </c>
      <c r="M40" s="19" t="n">
        <v>19.8</v>
      </c>
      <c r="N40" s="89" t="inlineStr">
        <is>
          <t>📉 Weak</t>
        </is>
      </c>
      <c r="O40" s="89" t="inlineStr">
        <is>
          <t>🔴 Not Qualified</t>
        </is>
      </c>
      <c r="P40" s="89" t="inlineStr">
        <is>
          <t>🔴 Avoid</t>
        </is>
      </c>
      <c r="Q40" s="68" t="inlineStr">
        <is>
          <t>FULL</t>
        </is>
      </c>
    </row>
    <row r="41" ht="16" customHeight="1">
      <c r="A41" s="90" t="n">
        <v>37</v>
      </c>
      <c r="B41" s="91" t="inlineStr">
        <is>
          <t>Nippon India Flexi Cap Fund - Regular Plan - Growth Plan - Growth Option</t>
        </is>
      </c>
      <c r="C41" s="91" t="inlineStr">
        <is>
          <t>Nippon India Mutual Fund</t>
        </is>
      </c>
      <c r="D41" s="91" t="inlineStr">
        <is>
          <t>Flexi Cap Fund</t>
        </is>
      </c>
      <c r="E41" s="92" t="n">
        <v>-3.33</v>
      </c>
      <c r="F41" s="93" t="n">
        <v>1.4</v>
      </c>
      <c r="G41" s="92" t="n">
        <v>-7.12</v>
      </c>
      <c r="H41" s="92" t="n">
        <v>-5.75</v>
      </c>
      <c r="I41" s="92" t="n">
        <v>-1.035359850095952</v>
      </c>
      <c r="J41" s="93" t="n">
        <v>38.98</v>
      </c>
      <c r="K41" s="78" t="n">
        <v>35.3</v>
      </c>
      <c r="L41" s="18" t="n">
        <v>0</v>
      </c>
      <c r="M41" s="19" t="n">
        <v>19.4</v>
      </c>
      <c r="N41" s="94" t="inlineStr">
        <is>
          <t>📉 Weak</t>
        </is>
      </c>
      <c r="O41" s="94" t="inlineStr">
        <is>
          <t>🔴 Not Qualified</t>
        </is>
      </c>
      <c r="P41" s="94" t="inlineStr">
        <is>
          <t>🔴 Avoid</t>
        </is>
      </c>
      <c r="Q41" s="68" t="inlineStr">
        <is>
          <t>FULL</t>
        </is>
      </c>
    </row>
    <row r="42" ht="16" customHeight="1">
      <c r="A42" s="85" t="n">
        <v>38</v>
      </c>
      <c r="B42" s="86" t="inlineStr">
        <is>
          <t>CANARA ROBECO FLEXICAP FUND - REGULAR PLAN - GROWTH OPTION</t>
        </is>
      </c>
      <c r="C42" s="86" t="inlineStr">
        <is>
          <t>Canara Robeco Mutual Fund</t>
        </is>
      </c>
      <c r="D42" s="86" t="inlineStr">
        <is>
          <t>Flexi Cap Fund</t>
        </is>
      </c>
      <c r="E42" s="87" t="n">
        <v>-3.02</v>
      </c>
      <c r="F42" s="88" t="n">
        <v>0.71</v>
      </c>
      <c r="G42" s="87" t="n">
        <v>-7.96</v>
      </c>
      <c r="H42" s="87" t="n">
        <v>-5.23</v>
      </c>
      <c r="I42" s="88" t="n">
        <v>1.597244057110125</v>
      </c>
      <c r="J42" s="88" t="n">
        <v>36.47</v>
      </c>
      <c r="K42" s="78" t="n">
        <v>33.4</v>
      </c>
      <c r="L42" s="18" t="n">
        <v>0</v>
      </c>
      <c r="M42" s="19" t="n">
        <v>18.4</v>
      </c>
      <c r="N42" s="89" t="inlineStr">
        <is>
          <t>📉 Weak</t>
        </is>
      </c>
      <c r="O42" s="89" t="inlineStr">
        <is>
          <t>🔴 Not Qualified</t>
        </is>
      </c>
      <c r="P42" s="89" t="inlineStr">
        <is>
          <t>🔴 Avoid</t>
        </is>
      </c>
      <c r="Q42" s="68" t="inlineStr">
        <is>
          <t>FULL</t>
        </is>
      </c>
    </row>
    <row r="43" ht="16" customHeight="1">
      <c r="A43" s="90" t="n">
        <v>39</v>
      </c>
      <c r="B43" s="91" t="inlineStr">
        <is>
          <t>Franklin India Flexi Cap Fund - Growth</t>
        </is>
      </c>
      <c r="C43" s="91" t="inlineStr">
        <is>
          <t>Franklin Templeton Mutual Fund</t>
        </is>
      </c>
      <c r="D43" s="91" t="inlineStr">
        <is>
          <t>Flexi Cap Fund</t>
        </is>
      </c>
      <c r="E43" s="92" t="n">
        <v>-2.33</v>
      </c>
      <c r="F43" s="92" t="n">
        <v>-0.85</v>
      </c>
      <c r="G43" s="92" t="n">
        <v>-9</v>
      </c>
      <c r="H43" s="92" t="n">
        <v>-8.18</v>
      </c>
      <c r="I43" s="93" t="n">
        <v>0.4290794541103038</v>
      </c>
      <c r="J43" s="93" t="n">
        <v>45.16</v>
      </c>
      <c r="K43" s="78" t="n">
        <v>30.2</v>
      </c>
      <c r="L43" s="18" t="n">
        <v>0</v>
      </c>
      <c r="M43" s="19" t="n">
        <v>16.6</v>
      </c>
      <c r="N43" s="94" t="inlineStr">
        <is>
          <t>📉 Weak</t>
        </is>
      </c>
      <c r="O43" s="94" t="inlineStr">
        <is>
          <t>🔴 Not Qualified</t>
        </is>
      </c>
      <c r="P43" s="94" t="inlineStr">
        <is>
          <t>🔴 Avoid</t>
        </is>
      </c>
      <c r="Q43" s="68" t="inlineStr">
        <is>
          <t>FULL</t>
        </is>
      </c>
    </row>
    <row r="44" ht="16" customHeight="1">
      <c r="A44" s="85" t="n">
        <v>40</v>
      </c>
      <c r="B44" s="86" t="inlineStr">
        <is>
          <t>Motilal Oswal Flexi Cap Fund Regular Plan-Growth Option</t>
        </is>
      </c>
      <c r="C44" s="86" t="inlineStr">
        <is>
          <t>Motilal Oswal Mutual Fund</t>
        </is>
      </c>
      <c r="D44" s="86" t="inlineStr">
        <is>
          <t>Flexi Cap Fund</t>
        </is>
      </c>
      <c r="E44" s="87" t="n">
        <v>-2.69</v>
      </c>
      <c r="F44" s="88" t="n">
        <v>3.1</v>
      </c>
      <c r="G44" s="87" t="n">
        <v>-10.06</v>
      </c>
      <c r="H44" s="87" t="n">
        <v>-9.94</v>
      </c>
      <c r="I44" s="88" t="n">
        <v>2.327904307671624</v>
      </c>
      <c r="J44" s="88" t="n">
        <v>58.22</v>
      </c>
      <c r="K44" s="78" t="n">
        <v>29.7</v>
      </c>
      <c r="L44" s="18" t="n">
        <v>0</v>
      </c>
      <c r="M44" s="19" t="n">
        <v>16.3</v>
      </c>
      <c r="N44" s="89" t="inlineStr">
        <is>
          <t>📉 Weak</t>
        </is>
      </c>
      <c r="O44" s="89" t="inlineStr">
        <is>
          <t>🔴 Not Qualified</t>
        </is>
      </c>
      <c r="P44" s="89" t="inlineStr">
        <is>
          <t>🔴 Avoid</t>
        </is>
      </c>
      <c r="Q44" s="68" t="inlineStr">
        <is>
          <t>FULL</t>
        </is>
      </c>
    </row>
    <row r="45" ht="16" customHeight="1">
      <c r="A45" s="95" t="n">
        <v>41</v>
      </c>
      <c r="B45" s="96" t="inlineStr">
        <is>
          <t>NJ Flexi Cap Fund - Regular Plan - Growth Option</t>
        </is>
      </c>
      <c r="C45" s="96" t="inlineStr">
        <is>
          <t>NJ Mutual Fund</t>
        </is>
      </c>
      <c r="D45" s="96" t="inlineStr">
        <is>
          <t>Flexi Cap Fund</t>
        </is>
      </c>
      <c r="E45" s="97" t="n">
        <v>-2.98</v>
      </c>
      <c r="F45" s="98" t="n">
        <v>1.14</v>
      </c>
      <c r="G45" s="97" t="n">
        <v>-7.4</v>
      </c>
      <c r="H45" s="97" t="n">
        <v>-7.47</v>
      </c>
      <c r="I45" s="97" t="n">
        <v>-4.627047859469091</v>
      </c>
      <c r="J45" s="98" t="n">
        <v>0</v>
      </c>
      <c r="K45" s="78" t="n">
        <v>29.6</v>
      </c>
      <c r="L45" s="18" t="n">
        <v>0</v>
      </c>
      <c r="M45" s="19" t="n">
        <v>16.3</v>
      </c>
      <c r="N45" s="99" t="inlineStr">
        <is>
          <t>📉 Weak</t>
        </is>
      </c>
      <c r="O45" s="99" t="inlineStr">
        <is>
          <t>⏳ New Fund</t>
        </is>
      </c>
      <c r="P45" s="99" t="inlineStr">
        <is>
          <t>⏳ New Fund</t>
        </is>
      </c>
      <c r="Q45" s="100" t="inlineStr">
        <is>
          <t>MOMENTUM_ONLY</t>
        </is>
      </c>
    </row>
    <row r="46" ht="16" customHeight="1">
      <c r="A46" s="85" t="n">
        <v>42</v>
      </c>
      <c r="B46" s="86" t="inlineStr">
        <is>
          <t>Mahindra Manulife Flexi Cap Fund - Regular Plan -Growth</t>
        </is>
      </c>
      <c r="C46" s="86" t="inlineStr">
        <is>
          <t>Mahindra Manulife Mutual Fund</t>
        </is>
      </c>
      <c r="D46" s="86" t="inlineStr">
        <is>
          <t>Flexi Cap Fund</t>
        </is>
      </c>
      <c r="E46" s="87" t="n">
        <v>-3.04</v>
      </c>
      <c r="F46" s="87" t="n">
        <v>-0.33</v>
      </c>
      <c r="G46" s="87" t="n">
        <v>-9.369999999999999</v>
      </c>
      <c r="H46" s="87" t="n">
        <v>-6.98</v>
      </c>
      <c r="I46" s="87" t="n">
        <v>-0.3305463042964196</v>
      </c>
      <c r="J46" s="88" t="n">
        <v>34.96</v>
      </c>
      <c r="K46" s="78" t="n">
        <v>22.6</v>
      </c>
      <c r="L46" s="18" t="n">
        <v>0</v>
      </c>
      <c r="M46" s="19" t="n">
        <v>12.4</v>
      </c>
      <c r="N46" s="89" t="inlineStr">
        <is>
          <t>📉 Weak</t>
        </is>
      </c>
      <c r="O46" s="89" t="inlineStr">
        <is>
          <t>🔴 Not Qualified</t>
        </is>
      </c>
      <c r="P46" s="89" t="inlineStr">
        <is>
          <t>🔴 Avoid</t>
        </is>
      </c>
      <c r="Q46" s="68" t="inlineStr">
        <is>
          <t>FULL</t>
        </is>
      </c>
    </row>
    <row r="47" ht="16" customHeight="1">
      <c r="A47" s="90" t="n">
        <v>43</v>
      </c>
      <c r="B47" s="91" t="inlineStr">
        <is>
          <t>Tata Flexi Cap Fund -Regular Plan-Growth</t>
        </is>
      </c>
      <c r="C47" s="91" t="inlineStr">
        <is>
          <t>Tata Mutual Fund</t>
        </is>
      </c>
      <c r="D47" s="91" t="inlineStr">
        <is>
          <t>Flexi Cap Fund</t>
        </is>
      </c>
      <c r="E47" s="92" t="n">
        <v>-3.73</v>
      </c>
      <c r="F47" s="92" t="n">
        <v>-1.29</v>
      </c>
      <c r="G47" s="92" t="n">
        <v>-9.23</v>
      </c>
      <c r="H47" s="92" t="n">
        <v>-7.39</v>
      </c>
      <c r="I47" s="93" t="n">
        <v>1.759520439121576</v>
      </c>
      <c r="J47" s="93" t="n">
        <v>37.37</v>
      </c>
      <c r="K47" s="78" t="n">
        <v>14.4</v>
      </c>
      <c r="L47" s="18" t="n">
        <v>0</v>
      </c>
      <c r="M47" s="19" t="n">
        <v>7.9</v>
      </c>
      <c r="N47" s="94" t="inlineStr">
        <is>
          <t>📉 Weak</t>
        </is>
      </c>
      <c r="O47" s="94" t="inlineStr">
        <is>
          <t>🔴 Not Qualified</t>
        </is>
      </c>
      <c r="P47" s="94" t="inlineStr">
        <is>
          <t>🔴 Avoid</t>
        </is>
      </c>
      <c r="Q47" s="68" t="inlineStr">
        <is>
          <t>FULL</t>
        </is>
      </c>
    </row>
    <row r="48" ht="16" customHeight="1">
      <c r="A48" s="85" t="n">
        <v>44</v>
      </c>
      <c r="B48" s="86" t="inlineStr">
        <is>
          <t>Sundaram Flexicap Fund Regular Growth</t>
        </is>
      </c>
      <c r="C48" s="86" t="inlineStr">
        <is>
          <t>Sundaram Mutual Fund</t>
        </is>
      </c>
      <c r="D48" s="86" t="inlineStr">
        <is>
          <t>Flexi Cap Fund</t>
        </is>
      </c>
      <c r="E48" s="87" t="n">
        <v>-3.97</v>
      </c>
      <c r="F48" s="87" t="n">
        <v>-1.59</v>
      </c>
      <c r="G48" s="87" t="n">
        <v>-10.27</v>
      </c>
      <c r="H48" s="87" t="n">
        <v>-7.04</v>
      </c>
      <c r="I48" s="88" t="n">
        <v>0.9207609959417606</v>
      </c>
      <c r="J48" s="88" t="n">
        <v>30.7</v>
      </c>
      <c r="K48" s="78" t="n">
        <v>10.7</v>
      </c>
      <c r="L48" s="18" t="n">
        <v>0</v>
      </c>
      <c r="M48" s="19" t="n">
        <v>5.9</v>
      </c>
      <c r="N48" s="89" t="inlineStr">
        <is>
          <t>📉 Weak</t>
        </is>
      </c>
      <c r="O48" s="89" t="inlineStr">
        <is>
          <t>🔴 Not Qualified</t>
        </is>
      </c>
      <c r="P48" s="89" t="inlineStr">
        <is>
          <t>🔴 Avoid</t>
        </is>
      </c>
      <c r="Q48" s="68" t="inlineStr">
        <is>
          <t>FULL</t>
        </is>
      </c>
    </row>
    <row r="49" ht="16" customHeight="1">
      <c r="A49" s="90" t="n">
        <v>45</v>
      </c>
      <c r="B49" s="91" t="inlineStr">
        <is>
          <t>TATA Flexi Cap Fund Regular Plan - Payout of Income Distribution cum capital withdrawal option</t>
        </is>
      </c>
      <c r="C49" s="91" t="inlineStr">
        <is>
          <t>Tata Mutual Fund</t>
        </is>
      </c>
      <c r="D49" s="91" t="inlineStr">
        <is>
          <t>Flexi Cap Fund</t>
        </is>
      </c>
      <c r="E49" s="92" t="n">
        <v>-7.67</v>
      </c>
      <c r="F49" s="92" t="n">
        <v>-5.33</v>
      </c>
      <c r="G49" s="92" t="n">
        <v>-12.95</v>
      </c>
      <c r="H49" s="92" t="n">
        <v>-11.18</v>
      </c>
      <c r="I49" s="92" t="n">
        <v>-0.3455971870785834</v>
      </c>
      <c r="J49" s="93" t="n">
        <v>31.75</v>
      </c>
      <c r="K49" s="78" t="n">
        <v>3.1</v>
      </c>
      <c r="L49" s="18" t="n">
        <v>0</v>
      </c>
      <c r="M49" s="19" t="n">
        <v>1.7</v>
      </c>
      <c r="N49" s="94" t="inlineStr">
        <is>
          <t>📉 Weak</t>
        </is>
      </c>
      <c r="O49" s="94" t="inlineStr">
        <is>
          <t>🔴 Not Qualified</t>
        </is>
      </c>
      <c r="P49" s="94" t="inlineStr">
        <is>
          <t>🔴 Avoid</t>
        </is>
      </c>
      <c r="Q49" s="68" t="inlineStr">
        <is>
          <t>FULL</t>
        </is>
      </c>
    </row>
    <row r="50" ht="16" customHeight="1">
      <c r="A50" s="85" t="n">
        <v>45</v>
      </c>
      <c r="B50" s="86" t="inlineStr">
        <is>
          <t>TATA Flexi Cap Fund Regular Plan - Reinvestment of Income Distribution cum capital withdrawal option</t>
        </is>
      </c>
      <c r="C50" s="86" t="inlineStr">
        <is>
          <t>Tata Mutual Fund</t>
        </is>
      </c>
      <c r="D50" s="86" t="inlineStr">
        <is>
          <t>Flexi Cap Fund</t>
        </is>
      </c>
      <c r="E50" s="87" t="n">
        <v>-7.67</v>
      </c>
      <c r="F50" s="87" t="n">
        <v>-5.33</v>
      </c>
      <c r="G50" s="87" t="n">
        <v>-12.95</v>
      </c>
      <c r="H50" s="87" t="n">
        <v>-11.18</v>
      </c>
      <c r="I50" s="87" t="n">
        <v>-0.3455971870785834</v>
      </c>
      <c r="J50" s="88" t="n">
        <v>31.75</v>
      </c>
      <c r="K50" s="78" t="n">
        <v>3.1</v>
      </c>
      <c r="L50" s="18" t="n">
        <v>0</v>
      </c>
      <c r="M50" s="19" t="n">
        <v>1.7</v>
      </c>
      <c r="N50" s="89" t="inlineStr">
        <is>
          <t>📉 Weak</t>
        </is>
      </c>
      <c r="O50" s="89" t="inlineStr">
        <is>
          <t>🔴 Not Qualified</t>
        </is>
      </c>
      <c r="P50" s="89" t="inlineStr">
        <is>
          <t>🔴 Avoid</t>
        </is>
      </c>
      <c r="Q50" s="68" t="inlineStr">
        <is>
          <t>FULL</t>
        </is>
      </c>
    </row>
    <row r="51" ht="16" customHeight="1">
      <c r="A51" s="80" t="n">
        <v>0</v>
      </c>
      <c r="B51" s="81" t="inlineStr">
        <is>
          <t>Abakkus Flexi Cap Fund - Regular - Growth</t>
        </is>
      </c>
      <c r="C51" s="81" t="inlineStr">
        <is>
          <t>Abakkus Mutual Fund</t>
        </is>
      </c>
      <c r="D51" s="81" t="inlineStr">
        <is>
          <t>Flexi Cap Fund</t>
        </is>
      </c>
      <c r="E51" s="101" t="n">
        <v>-0.23</v>
      </c>
      <c r="F51" s="82" t="n">
        <v>6.78</v>
      </c>
      <c r="G51" s="82" t="n">
        <v>0</v>
      </c>
      <c r="H51" s="82" t="n">
        <v>0</v>
      </c>
      <c r="I51" s="82" t="n">
        <v>0</v>
      </c>
      <c r="J51" s="82" t="n">
        <v>0</v>
      </c>
      <c r="K51" s="78" t="n">
        <v>0</v>
      </c>
      <c r="L51" s="18" t="n">
        <v>0</v>
      </c>
      <c r="M51" s="19" t="n">
        <v>0</v>
      </c>
      <c r="N51" s="83" t="inlineStr">
        <is>
          <t>❌ N/A</t>
        </is>
      </c>
      <c r="O51" s="83" t="inlineStr">
        <is>
          <t>❌ N/A</t>
        </is>
      </c>
      <c r="P51" s="83" t="inlineStr">
        <is>
          <t>❌ Missing Data</t>
        </is>
      </c>
      <c r="Q51" s="84" t="inlineStr">
        <is>
          <t>MISSING</t>
        </is>
      </c>
    </row>
    <row r="52" ht="16" customHeight="1">
      <c r="A52" s="80" t="n">
        <v>0</v>
      </c>
      <c r="B52" s="81" t="inlineStr">
        <is>
          <t>Old Bridge Flexi Cap Fund Regular Growth</t>
        </is>
      </c>
      <c r="C52" s="81" t="inlineStr">
        <is>
          <t>Old Bridge Mutual Fund</t>
        </is>
      </c>
      <c r="D52" s="81" t="inlineStr">
        <is>
          <t>Flexi Cap Fund</t>
        </is>
      </c>
      <c r="E52" s="101" t="n">
        <v>-1.13</v>
      </c>
      <c r="F52" s="82" t="n">
        <v>5.3</v>
      </c>
      <c r="G52" s="82" t="n">
        <v>0</v>
      </c>
      <c r="H52" s="82" t="n">
        <v>0</v>
      </c>
      <c r="I52" s="82" t="n">
        <v>0</v>
      </c>
      <c r="J52" s="82" t="n">
        <v>0</v>
      </c>
      <c r="K52" s="78" t="n">
        <v>0</v>
      </c>
      <c r="L52" s="18" t="n">
        <v>0</v>
      </c>
      <c r="M52" s="19" t="n">
        <v>0</v>
      </c>
      <c r="N52" s="83" t="inlineStr">
        <is>
          <t>❌ N/A</t>
        </is>
      </c>
      <c r="O52" s="83" t="inlineStr">
        <is>
          <t>❌ N/A</t>
        </is>
      </c>
      <c r="P52" s="83" t="inlineStr">
        <is>
          <t>❌ Missing Data</t>
        </is>
      </c>
      <c r="Q52" s="84" t="inlineStr">
        <is>
          <t>MISSING</t>
        </is>
      </c>
    </row>
  </sheetData>
  <autoFilter ref="A4:Q5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FOCUSED FUND  ✦</t>
        </is>
      </c>
    </row>
    <row r="2" ht="16" customHeight="1">
      <c r="A2" s="2">
        <f>"Dual Engine: 55% Momentum + 45% Quality | ✅ Full: "&amp;COUNTIF(Q5:Q35,"FULL")&amp;" | ⚠️ Momentum: "&amp;COUNTIF(Q5:Q35,"MOMENTUM_ONLY")&amp;" | ❌ Missing: "&amp;COUNTIF(Q5:Q35,"MISSING")&amp;" | Total: "&amp;COUNTA(B5:B35)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Focused Fund - Regular Plan Growth Option</t>
        </is>
      </c>
      <c r="C5" s="65" t="inlineStr">
        <is>
          <t>Motilal Oswal Mutual Fund</t>
        </is>
      </c>
      <c r="D5" s="65" t="inlineStr">
        <is>
          <t>Focused Fund</t>
        </is>
      </c>
      <c r="E5" s="66" t="n">
        <v>-1.04</v>
      </c>
      <c r="F5" s="67" t="n">
        <v>10.99</v>
      </c>
      <c r="G5" s="67" t="n">
        <v>5.21</v>
      </c>
      <c r="H5" s="67" t="n">
        <v>3.23</v>
      </c>
      <c r="I5" s="67" t="n">
        <v>2.078401241398753</v>
      </c>
      <c r="J5" s="67" t="n">
        <v>31.3</v>
      </c>
      <c r="K5" s="17" t="n">
        <v>100</v>
      </c>
      <c r="L5" s="18" t="n">
        <v>0</v>
      </c>
      <c r="M5" s="21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quant Focused Fund - Growth Option - Regular Plan</t>
        </is>
      </c>
      <c r="C6" s="70" t="inlineStr">
        <is>
          <t>quant Mutual Fund</t>
        </is>
      </c>
      <c r="D6" s="70" t="inlineStr">
        <is>
          <t>Focused Fund</t>
        </is>
      </c>
      <c r="E6" s="72" t="n">
        <v>1.02</v>
      </c>
      <c r="F6" s="72" t="n">
        <v>11.4</v>
      </c>
      <c r="G6" s="72" t="n">
        <v>1.41</v>
      </c>
      <c r="H6" s="72" t="n">
        <v>1.47</v>
      </c>
      <c r="I6" s="71" t="n">
        <v>-1.166807195153308</v>
      </c>
      <c r="J6" s="72" t="n">
        <v>50.24</v>
      </c>
      <c r="K6" s="17" t="n">
        <v>95.5</v>
      </c>
      <c r="L6" s="18" t="n">
        <v>0</v>
      </c>
      <c r="M6" s="21" t="n">
        <v>52.5</v>
      </c>
      <c r="N6" s="28" t="inlineStr">
        <is>
          <t>🔥 Hot</t>
        </is>
      </c>
      <c r="O6" s="28" t="inlineStr">
        <is>
          <t>🔴 Not Qualified</t>
        </is>
      </c>
      <c r="P6" s="28" t="inlineStr">
        <is>
          <t>⚠️ Watch</t>
        </is>
      </c>
      <c r="Q6" s="68" t="inlineStr">
        <is>
          <t>FULL</t>
        </is>
      </c>
    </row>
    <row r="7" ht="16" customHeight="1">
      <c r="A7" s="74" t="n">
        <v>3</v>
      </c>
      <c r="B7" s="75" t="inlineStr">
        <is>
          <t>SBI FOCUSED FUND - REGULAR PLAN -GROWTH</t>
        </is>
      </c>
      <c r="C7" s="75" t="inlineStr">
        <is>
          <t>SBI Mutual Fund</t>
        </is>
      </c>
      <c r="D7" s="75" t="inlineStr">
        <is>
          <t>Focused Fund</t>
        </is>
      </c>
      <c r="E7" s="76" t="n">
        <v>-1.87</v>
      </c>
      <c r="F7" s="77" t="n">
        <v>5.42</v>
      </c>
      <c r="G7" s="76" t="n">
        <v>-1.39</v>
      </c>
      <c r="H7" s="77" t="n">
        <v>6.41</v>
      </c>
      <c r="I7" s="77" t="n">
        <v>8.63240768757727</v>
      </c>
      <c r="J7" s="77" t="n">
        <v>56.04</v>
      </c>
      <c r="K7" s="17" t="n">
        <v>86.3</v>
      </c>
      <c r="L7" s="18" t="n">
        <v>0</v>
      </c>
      <c r="M7" s="19" t="n">
        <v>47.5</v>
      </c>
      <c r="N7" s="79" t="inlineStr">
        <is>
          <t>⭐ Strong</t>
        </is>
      </c>
      <c r="O7" s="79" t="inlineStr">
        <is>
          <t>🔴 Not Qualified</t>
        </is>
      </c>
      <c r="P7" s="79" t="inlineStr">
        <is>
          <t>⚠️ Watch</t>
        </is>
      </c>
      <c r="Q7" s="68" t="inlineStr">
        <is>
          <t>FULL</t>
        </is>
      </c>
    </row>
    <row r="8" ht="16" customHeight="1">
      <c r="A8" s="95" t="n">
        <v>4</v>
      </c>
      <c r="B8" s="96" t="inlineStr">
        <is>
          <t>ITI Focused Fund - Regular Plan - Growth</t>
        </is>
      </c>
      <c r="C8" s="96" t="inlineStr">
        <is>
          <t>ITI Mutual Fund</t>
        </is>
      </c>
      <c r="D8" s="96" t="inlineStr">
        <is>
          <t>Focused Fund</t>
        </is>
      </c>
      <c r="E8" s="97" t="n">
        <v>-2.22</v>
      </c>
      <c r="F8" s="98" t="n">
        <v>4.8</v>
      </c>
      <c r="G8" s="98" t="n">
        <v>0.65</v>
      </c>
      <c r="H8" s="98" t="n">
        <v>3.12</v>
      </c>
      <c r="I8" s="98" t="n">
        <v>6.409586034341852</v>
      </c>
      <c r="J8" s="98" t="n">
        <v>0</v>
      </c>
      <c r="K8" s="17" t="n">
        <v>83.5</v>
      </c>
      <c r="L8" s="18" t="n">
        <v>0</v>
      </c>
      <c r="M8" s="19" t="n">
        <v>45.9</v>
      </c>
      <c r="N8" s="99" t="inlineStr">
        <is>
          <t>⭐ Strong</t>
        </is>
      </c>
      <c r="O8" s="99" t="inlineStr">
        <is>
          <t>⏳ New Fund</t>
        </is>
      </c>
      <c r="P8" s="99" t="inlineStr">
        <is>
          <t>🔥 Hot Momentum</t>
        </is>
      </c>
      <c r="Q8" s="100" t="inlineStr">
        <is>
          <t>MOMENTUM_ONLY</t>
        </is>
      </c>
    </row>
    <row r="9" ht="16" customHeight="1">
      <c r="A9" s="90" t="n">
        <v>5</v>
      </c>
      <c r="B9" s="91" t="inlineStr">
        <is>
          <t>Union Focused Fund - Regular Plan - Growth Option</t>
        </is>
      </c>
      <c r="C9" s="91" t="inlineStr">
        <is>
          <t>Union Mutual Fund</t>
        </is>
      </c>
      <c r="D9" s="91" t="inlineStr">
        <is>
          <t>Focused Fund</t>
        </is>
      </c>
      <c r="E9" s="92" t="n">
        <v>-2.46</v>
      </c>
      <c r="F9" s="93" t="n">
        <v>4.68</v>
      </c>
      <c r="G9" s="93" t="n">
        <v>2.84</v>
      </c>
      <c r="H9" s="93" t="n">
        <v>2.14</v>
      </c>
      <c r="I9" s="93" t="n">
        <v>3.522944316706922</v>
      </c>
      <c r="J9" s="93" t="n">
        <v>38.06</v>
      </c>
      <c r="K9" s="17" t="n">
        <v>81.5</v>
      </c>
      <c r="L9" s="18" t="n">
        <v>0</v>
      </c>
      <c r="M9" s="19" t="n">
        <v>44.8</v>
      </c>
      <c r="N9" s="94" t="inlineStr">
        <is>
          <t>⭐ Strong</t>
        </is>
      </c>
      <c r="O9" s="94" t="inlineStr">
        <is>
          <t>🔴 Not Qualified</t>
        </is>
      </c>
      <c r="P9" s="94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Old Bridge Focused Fund - Regular Growth</t>
        </is>
      </c>
      <c r="C10" s="96" t="inlineStr">
        <is>
          <t>Old Bridge Mutual Fund</t>
        </is>
      </c>
      <c r="D10" s="96" t="inlineStr">
        <is>
          <t>Focused Fund</t>
        </is>
      </c>
      <c r="E10" s="97" t="n">
        <v>-2.99</v>
      </c>
      <c r="F10" s="98" t="n">
        <v>3.96</v>
      </c>
      <c r="G10" s="98" t="n">
        <v>0.41</v>
      </c>
      <c r="H10" s="98" t="n">
        <v>1.23</v>
      </c>
      <c r="I10" s="98" t="n">
        <v>6.164965972772762</v>
      </c>
      <c r="J10" s="98" t="n">
        <v>0</v>
      </c>
      <c r="K10" s="73" t="n">
        <v>72</v>
      </c>
      <c r="L10" s="18" t="n">
        <v>0</v>
      </c>
      <c r="M10" s="19" t="n">
        <v>39.6</v>
      </c>
      <c r="N10" s="99" t="inlineStr">
        <is>
          <t>📈 Good</t>
        </is>
      </c>
      <c r="O10" s="99" t="inlineStr">
        <is>
          <t>⏳ New Fund</t>
        </is>
      </c>
      <c r="P10" s="99" t="inlineStr">
        <is>
          <t>📈 Momentum Only</t>
        </is>
      </c>
      <c r="Q10" s="100" t="inlineStr">
        <is>
          <t>MOMENTUM_ONLY</t>
        </is>
      </c>
    </row>
    <row r="11" ht="16" customHeight="1">
      <c r="A11" s="90" t="n">
        <v>7</v>
      </c>
      <c r="B11" s="91" t="inlineStr">
        <is>
          <t>Kotak Focused Fund- Regular plan _ Growth Option</t>
        </is>
      </c>
      <c r="C11" s="91" t="inlineStr">
        <is>
          <t>Kotak Mahindra Mutual Fund</t>
        </is>
      </c>
      <c r="D11" s="91" t="inlineStr">
        <is>
          <t>Focused Fund</t>
        </is>
      </c>
      <c r="E11" s="92" t="n">
        <v>-1.72</v>
      </c>
      <c r="F11" s="93" t="n">
        <v>0.79</v>
      </c>
      <c r="G11" s="92" t="n">
        <v>-4.06</v>
      </c>
      <c r="H11" s="93" t="n">
        <v>2.37</v>
      </c>
      <c r="I11" s="93" t="n">
        <v>4.823661451029282</v>
      </c>
      <c r="J11" s="93" t="n">
        <v>48.5</v>
      </c>
      <c r="K11" s="73" t="n">
        <v>70</v>
      </c>
      <c r="L11" s="18" t="n">
        <v>0</v>
      </c>
      <c r="M11" s="19" t="n">
        <v>38.5</v>
      </c>
      <c r="N11" s="94" t="inlineStr">
        <is>
          <t>📈 Good</t>
        </is>
      </c>
      <c r="O11" s="94" t="inlineStr">
        <is>
          <t>🔴 Not Qualified</t>
        </is>
      </c>
      <c r="P11" s="94" t="inlineStr">
        <is>
          <t>🔴 Avoid</t>
        </is>
      </c>
      <c r="Q11" s="68" t="inlineStr">
        <is>
          <t>FULL</t>
        </is>
      </c>
    </row>
    <row r="12" ht="16" customHeight="1">
      <c r="A12" s="85" t="n">
        <v>7</v>
      </c>
      <c r="B12" s="86" t="inlineStr">
        <is>
          <t>Kotak Focused Fund- Regular Plan-Income Distribution cum capital withdrawal option</t>
        </is>
      </c>
      <c r="C12" s="86" t="inlineStr">
        <is>
          <t>Kotak Mahindra Mutual Fund</t>
        </is>
      </c>
      <c r="D12" s="86" t="inlineStr">
        <is>
          <t>Focused Fund</t>
        </is>
      </c>
      <c r="E12" s="87" t="n">
        <v>-1.72</v>
      </c>
      <c r="F12" s="88" t="n">
        <v>0.79</v>
      </c>
      <c r="G12" s="87" t="n">
        <v>-4.06</v>
      </c>
      <c r="H12" s="88" t="n">
        <v>2.37</v>
      </c>
      <c r="I12" s="88" t="n">
        <v>4.823661451029282</v>
      </c>
      <c r="J12" s="88" t="n">
        <v>48.5</v>
      </c>
      <c r="K12" s="73" t="n">
        <v>70</v>
      </c>
      <c r="L12" s="18" t="n">
        <v>0</v>
      </c>
      <c r="M12" s="19" t="n">
        <v>38.5</v>
      </c>
      <c r="N12" s="89" t="inlineStr">
        <is>
          <t>📈 Good</t>
        </is>
      </c>
      <c r="O12" s="89" t="inlineStr">
        <is>
          <t>🔴 Not Qualified</t>
        </is>
      </c>
      <c r="P12" s="89" t="inlineStr">
        <is>
          <t>🔴 Avoid</t>
        </is>
      </c>
      <c r="Q12" s="68" t="inlineStr">
        <is>
          <t>FULL</t>
        </is>
      </c>
    </row>
    <row r="13" ht="16" customHeight="1">
      <c r="A13" s="90" t="n">
        <v>9</v>
      </c>
      <c r="B13" s="91" t="inlineStr">
        <is>
          <t>Sundaram Focused Fund (Formerly Known as Principal Focused Multicap Fund)-Growth Option</t>
        </is>
      </c>
      <c r="C13" s="91" t="inlineStr">
        <is>
          <t>Sundaram Mutual Fund</t>
        </is>
      </c>
      <c r="D13" s="91" t="inlineStr">
        <is>
          <t>Focused Fund</t>
        </is>
      </c>
      <c r="E13" s="92" t="n">
        <v>-1.37</v>
      </c>
      <c r="F13" s="93" t="n">
        <v>2.47</v>
      </c>
      <c r="G13" s="92" t="n">
        <v>-5.43</v>
      </c>
      <c r="H13" s="92" t="n">
        <v>-3.69</v>
      </c>
      <c r="I13" s="93" t="n">
        <v>0.2995513449586706</v>
      </c>
      <c r="J13" s="93" t="n">
        <v>32.97</v>
      </c>
      <c r="K13" s="73" t="n">
        <v>67.3</v>
      </c>
      <c r="L13" s="18" t="n">
        <v>0</v>
      </c>
      <c r="M13" s="19" t="n">
        <v>37</v>
      </c>
      <c r="N13" s="94" t="inlineStr">
        <is>
          <t>📈 Good</t>
        </is>
      </c>
      <c r="O13" s="94" t="inlineStr">
        <is>
          <t>🔴 Not Qualified</t>
        </is>
      </c>
      <c r="P13" s="94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360 ONE Focused Fund -Regular Plan - Growth</t>
        </is>
      </c>
      <c r="C14" s="86" t="inlineStr">
        <is>
          <t>360 ONE Mutual Fund</t>
        </is>
      </c>
      <c r="D14" s="86" t="inlineStr">
        <is>
          <t>Focused Fund</t>
        </is>
      </c>
      <c r="E14" s="87" t="n">
        <v>-1.57</v>
      </c>
      <c r="F14" s="88" t="n">
        <v>2.66</v>
      </c>
      <c r="G14" s="87" t="n">
        <v>-5.24</v>
      </c>
      <c r="H14" s="87" t="n">
        <v>-4.88</v>
      </c>
      <c r="I14" s="87" t="n">
        <v>-0.1851714423152462</v>
      </c>
      <c r="J14" s="88" t="n">
        <v>37.45</v>
      </c>
      <c r="K14" s="73" t="n">
        <v>65.5</v>
      </c>
      <c r="L14" s="18" t="n">
        <v>0</v>
      </c>
      <c r="M14" s="19" t="n">
        <v>36</v>
      </c>
      <c r="N14" s="89" t="inlineStr">
        <is>
          <t>📈 Good</t>
        </is>
      </c>
      <c r="O14" s="89" t="inlineStr">
        <is>
          <t>🔴 Not Qualified</t>
        </is>
      </c>
      <c r="P14" s="89" t="inlineStr">
        <is>
          <t>🔴 Avoid</t>
        </is>
      </c>
      <c r="Q14" s="68" t="inlineStr">
        <is>
          <t>FULL</t>
        </is>
      </c>
    </row>
    <row r="15" ht="16" customHeight="1">
      <c r="A15" s="90" t="n">
        <v>11</v>
      </c>
      <c r="B15" s="91" t="inlineStr">
        <is>
          <t>Mahindra Manulife Focused Fund - Regular Plan - Growth</t>
        </is>
      </c>
      <c r="C15" s="91" t="inlineStr">
        <is>
          <t>Mahindra Manulife Mutual Fund</t>
        </is>
      </c>
      <c r="D15" s="91" t="inlineStr">
        <is>
          <t>Focused Fund</t>
        </is>
      </c>
      <c r="E15" s="92" t="n">
        <v>-1.75</v>
      </c>
      <c r="F15" s="93" t="n">
        <v>0.91</v>
      </c>
      <c r="G15" s="92" t="n">
        <v>-4.12</v>
      </c>
      <c r="H15" s="92" t="n">
        <v>-2.13</v>
      </c>
      <c r="I15" s="93" t="n">
        <v>1.788997440784335</v>
      </c>
      <c r="J15" s="93" t="n">
        <v>55.99</v>
      </c>
      <c r="K15" s="73" t="n">
        <v>65.3</v>
      </c>
      <c r="L15" s="18" t="n">
        <v>0</v>
      </c>
      <c r="M15" s="19" t="n">
        <v>35.9</v>
      </c>
      <c r="N15" s="94" t="inlineStr">
        <is>
          <t>📈 Good</t>
        </is>
      </c>
      <c r="O15" s="94" t="inlineStr">
        <is>
          <t>🔴 Not Qualified</t>
        </is>
      </c>
      <c r="P15" s="94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HSBC Focused Fund - Regular Growth</t>
        </is>
      </c>
      <c r="C16" s="86" t="inlineStr">
        <is>
          <t>HSBC Mutual Fund</t>
        </is>
      </c>
      <c r="D16" s="86" t="inlineStr">
        <is>
          <t>Focused Fund</t>
        </is>
      </c>
      <c r="E16" s="87" t="n">
        <v>-3.72</v>
      </c>
      <c r="F16" s="88" t="n">
        <v>2.69</v>
      </c>
      <c r="G16" s="87" t="n">
        <v>-3.97</v>
      </c>
      <c r="H16" s="87" t="n">
        <v>-0.8</v>
      </c>
      <c r="I16" s="88" t="n">
        <v>3.807514178887828</v>
      </c>
      <c r="J16" s="88" t="n">
        <v>46.38</v>
      </c>
      <c r="K16" s="73" t="n">
        <v>62</v>
      </c>
      <c r="L16" s="18" t="n">
        <v>0</v>
      </c>
      <c r="M16" s="19" t="n">
        <v>34.1</v>
      </c>
      <c r="N16" s="89" t="inlineStr">
        <is>
          <t>📈 Good</t>
        </is>
      </c>
      <c r="O16" s="89" t="inlineStr">
        <is>
          <t>🔴 Not Qualified</t>
        </is>
      </c>
      <c r="P16" s="89" t="inlineStr">
        <is>
          <t>🔴 Avoid</t>
        </is>
      </c>
      <c r="Q16" s="68" t="inlineStr">
        <is>
          <t>FULL</t>
        </is>
      </c>
    </row>
    <row r="17" ht="16" customHeight="1">
      <c r="A17" s="90" t="n">
        <v>13</v>
      </c>
      <c r="B17" s="91" t="inlineStr">
        <is>
          <t>Nippon India Focused Fund -Growth Plan -Growth Option</t>
        </is>
      </c>
      <c r="C17" s="91" t="inlineStr">
        <is>
          <t>Nippon India Mutual Fund</t>
        </is>
      </c>
      <c r="D17" s="91" t="inlineStr">
        <is>
          <t>Focused Fund</t>
        </is>
      </c>
      <c r="E17" s="92" t="n">
        <v>-1.88</v>
      </c>
      <c r="F17" s="93" t="n">
        <v>2.54</v>
      </c>
      <c r="G17" s="92" t="n">
        <v>-6.04</v>
      </c>
      <c r="H17" s="92" t="n">
        <v>-4.2</v>
      </c>
      <c r="I17" s="93" t="n">
        <v>1.921538449927263</v>
      </c>
      <c r="J17" s="93" t="n">
        <v>38.45</v>
      </c>
      <c r="K17" s="73" t="n">
        <v>57.7</v>
      </c>
      <c r="L17" s="18" t="n">
        <v>0</v>
      </c>
      <c r="M17" s="19" t="n">
        <v>31.7</v>
      </c>
      <c r="N17" s="94" t="inlineStr">
        <is>
          <t>➡️ Neutral</t>
        </is>
      </c>
      <c r="O17" s="94" t="inlineStr">
        <is>
          <t>🔴 Not Qualified</t>
        </is>
      </c>
      <c r="P17" s="94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Invesco India Focused Fund - Regular Plan - Growth</t>
        </is>
      </c>
      <c r="C18" s="86" t="inlineStr">
        <is>
          <t>Invesco Mutual Fund</t>
        </is>
      </c>
      <c r="D18" s="86" t="inlineStr">
        <is>
          <t>Focused Fund</t>
        </is>
      </c>
      <c r="E18" s="87" t="n">
        <v>-3.07</v>
      </c>
      <c r="F18" s="88" t="n">
        <v>7.74</v>
      </c>
      <c r="G18" s="87" t="n">
        <v>-3.79</v>
      </c>
      <c r="H18" s="87" t="n">
        <v>-9.029999999999999</v>
      </c>
      <c r="I18" s="88" t="n">
        <v>2.1322671832952</v>
      </c>
      <c r="J18" s="88" t="n">
        <v>68.23</v>
      </c>
      <c r="K18" s="73" t="n">
        <v>56</v>
      </c>
      <c r="L18" s="18" t="n">
        <v>0</v>
      </c>
      <c r="M18" s="19" t="n">
        <v>30.8</v>
      </c>
      <c r="N18" s="89" t="inlineStr">
        <is>
          <t>➡️ Neutral</t>
        </is>
      </c>
      <c r="O18" s="89" t="inlineStr">
        <is>
          <t>🔴 Not Qualified</t>
        </is>
      </c>
      <c r="P18" s="89" t="inlineStr">
        <is>
          <t>🔴 Avoid</t>
        </is>
      </c>
      <c r="Q18" s="68" t="inlineStr">
        <is>
          <t>FULL</t>
        </is>
      </c>
    </row>
    <row r="19" ht="16" customHeight="1">
      <c r="A19" s="95" t="n">
        <v>15</v>
      </c>
      <c r="B19" s="96" t="inlineStr">
        <is>
          <t>LIC MF Focused Fund-Regular Plan-Growth</t>
        </is>
      </c>
      <c r="C19" s="96" t="inlineStr">
        <is>
          <t>LIC Mutual Fund</t>
        </is>
      </c>
      <c r="D19" s="96" t="inlineStr">
        <is>
          <t>Focused Fund</t>
        </is>
      </c>
      <c r="E19" s="97" t="n">
        <v>-1.05</v>
      </c>
      <c r="F19" s="98" t="n">
        <v>1.85</v>
      </c>
      <c r="G19" s="97" t="n">
        <v>-5.67</v>
      </c>
      <c r="H19" s="97" t="n">
        <v>-9.73</v>
      </c>
      <c r="I19" s="98" t="n">
        <v>0.1299156096718157</v>
      </c>
      <c r="J19" s="98" t="n">
        <v>0</v>
      </c>
      <c r="K19" s="73" t="n">
        <v>53.5</v>
      </c>
      <c r="L19" s="18" t="n">
        <v>0</v>
      </c>
      <c r="M19" s="19" t="n">
        <v>29.4</v>
      </c>
      <c r="N19" s="99" t="inlineStr">
        <is>
          <t>➡️ Neutral</t>
        </is>
      </c>
      <c r="O19" s="99" t="inlineStr">
        <is>
          <t>⏳ New Fund</t>
        </is>
      </c>
      <c r="P19" s="99" t="inlineStr">
        <is>
          <t>⏳ New Fund</t>
        </is>
      </c>
      <c r="Q19" s="100" t="inlineStr">
        <is>
          <t>MOMENTUM_ONLY</t>
        </is>
      </c>
    </row>
    <row r="20" ht="16" customHeight="1">
      <c r="A20" s="85" t="n">
        <v>16</v>
      </c>
      <c r="B20" s="86" t="inlineStr">
        <is>
          <t>HDFC Focused Fund - GROWTH PLAN</t>
        </is>
      </c>
      <c r="C20" s="86" t="inlineStr">
        <is>
          <t>HDFC Mutual Fund</t>
        </is>
      </c>
      <c r="D20" s="86" t="inlineStr">
        <is>
          <t>Focused Fund</t>
        </is>
      </c>
      <c r="E20" s="87" t="n">
        <v>-1.34</v>
      </c>
      <c r="F20" s="87" t="n">
        <v>-1.05</v>
      </c>
      <c r="G20" s="87" t="n">
        <v>-8.09</v>
      </c>
      <c r="H20" s="87" t="n">
        <v>-3.68</v>
      </c>
      <c r="I20" s="88" t="n">
        <v>4.048065815756519</v>
      </c>
      <c r="J20" s="88" t="n">
        <v>54.9</v>
      </c>
      <c r="K20" s="73" t="n">
        <v>53</v>
      </c>
      <c r="L20" s="18" t="n">
        <v>0</v>
      </c>
      <c r="M20" s="19" t="n">
        <v>29.2</v>
      </c>
      <c r="N20" s="89" t="inlineStr">
        <is>
          <t>➡️ Neutral</t>
        </is>
      </c>
      <c r="O20" s="89" t="inlineStr">
        <is>
          <t>🔴 Not Qualified</t>
        </is>
      </c>
      <c r="P20" s="89" t="inlineStr">
        <is>
          <t>🔴 Avoid</t>
        </is>
      </c>
      <c r="Q20" s="68" t="inlineStr">
        <is>
          <t>FULL</t>
        </is>
      </c>
    </row>
    <row r="21" ht="16" customHeight="1">
      <c r="A21" s="90" t="n">
        <v>17</v>
      </c>
      <c r="B21" s="91" t="inlineStr">
        <is>
          <t>DSP Focused Fund - Regular Plan - Growth</t>
        </is>
      </c>
      <c r="C21" s="91" t="inlineStr">
        <is>
          <t>DSP Mutual Fund</t>
        </is>
      </c>
      <c r="D21" s="91" t="inlineStr">
        <is>
          <t>Focused Fund</t>
        </is>
      </c>
      <c r="E21" s="92" t="n">
        <v>-1.67</v>
      </c>
      <c r="F21" s="93" t="n">
        <v>1.52</v>
      </c>
      <c r="G21" s="92" t="n">
        <v>-8.43</v>
      </c>
      <c r="H21" s="92" t="n">
        <v>-5.78</v>
      </c>
      <c r="I21" s="93" t="n">
        <v>2.591422643415964</v>
      </c>
      <c r="J21" s="93" t="n">
        <v>47.61</v>
      </c>
      <c r="K21" s="73" t="n">
        <v>50</v>
      </c>
      <c r="L21" s="18" t="n">
        <v>0</v>
      </c>
      <c r="M21" s="19" t="n">
        <v>27.5</v>
      </c>
      <c r="N21" s="94" t="inlineStr">
        <is>
          <t>➡️ Neutral</t>
        </is>
      </c>
      <c r="O21" s="94" t="inlineStr">
        <is>
          <t>🔴 Not Qualified</t>
        </is>
      </c>
      <c r="P21" s="94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Bandhan Focused Fund - Regular Plan - Growth</t>
        </is>
      </c>
      <c r="C22" s="86" t="inlineStr">
        <is>
          <t>Bandhan Mutual Fund</t>
        </is>
      </c>
      <c r="D22" s="86" t="inlineStr">
        <is>
          <t>Focused Fund</t>
        </is>
      </c>
      <c r="E22" s="87" t="n">
        <v>-4.42</v>
      </c>
      <c r="F22" s="88" t="n">
        <v>2</v>
      </c>
      <c r="G22" s="87" t="n">
        <v>-4.61</v>
      </c>
      <c r="H22" s="87" t="n">
        <v>-3.9</v>
      </c>
      <c r="I22" s="88" t="n">
        <v>5.356537528527383</v>
      </c>
      <c r="J22" s="88" t="n">
        <v>47.43</v>
      </c>
      <c r="K22" s="78" t="n">
        <v>48</v>
      </c>
      <c r="L22" s="18" t="n">
        <v>0</v>
      </c>
      <c r="M22" s="19" t="n">
        <v>26.4</v>
      </c>
      <c r="N22" s="89" t="inlineStr">
        <is>
          <t>➡️ Neutral</t>
        </is>
      </c>
      <c r="O22" s="89" t="inlineStr">
        <is>
          <t>🔴 Not Qualified</t>
        </is>
      </c>
      <c r="P22" s="89" t="inlineStr">
        <is>
          <t>🔴 Avoid</t>
        </is>
      </c>
      <c r="Q22" s="68" t="inlineStr">
        <is>
          <t>FULL</t>
        </is>
      </c>
    </row>
    <row r="23" ht="16" customHeight="1">
      <c r="A23" s="90" t="n">
        <v>19</v>
      </c>
      <c r="B23" s="91" t="inlineStr">
        <is>
          <t>Aditya Birla Sun Life Focused Fund -Growth Option</t>
        </is>
      </c>
      <c r="C23" s="91" t="inlineStr">
        <is>
          <t>Aditya Birla Sun Life Mutual Fund</t>
        </is>
      </c>
      <c r="D23" s="91" t="inlineStr">
        <is>
          <t>Focused Fund</t>
        </is>
      </c>
      <c r="E23" s="92" t="n">
        <v>-2.61</v>
      </c>
      <c r="F23" s="92" t="n">
        <v>-0.1</v>
      </c>
      <c r="G23" s="92" t="n">
        <v>-7.55</v>
      </c>
      <c r="H23" s="92" t="n">
        <v>-3.68</v>
      </c>
      <c r="I23" s="93" t="n">
        <v>3.435970532499</v>
      </c>
      <c r="J23" s="93" t="n">
        <v>43.94</v>
      </c>
      <c r="K23" s="78" t="n">
        <v>47.5</v>
      </c>
      <c r="L23" s="18" t="n">
        <v>0</v>
      </c>
      <c r="M23" s="19" t="n">
        <v>26.1</v>
      </c>
      <c r="N23" s="94" t="inlineStr">
        <is>
          <t>➡️ Neutral</t>
        </is>
      </c>
      <c r="O23" s="94" t="inlineStr">
        <is>
          <t>🔴 Not Qualified</t>
        </is>
      </c>
      <c r="P23" s="94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ICICI Prudential Focused Equity Fund - Growth</t>
        </is>
      </c>
      <c r="C24" s="86" t="inlineStr">
        <is>
          <t>ICICI Prudential Mutual Fund</t>
        </is>
      </c>
      <c r="D24" s="86" t="inlineStr">
        <is>
          <t>Focused Fund</t>
        </is>
      </c>
      <c r="E24" s="87" t="n">
        <v>-2.69</v>
      </c>
      <c r="F24" s="88" t="n">
        <v>0.5600000000000001</v>
      </c>
      <c r="G24" s="87" t="n">
        <v>-9.48</v>
      </c>
      <c r="H24" s="87" t="n">
        <v>-3.4</v>
      </c>
      <c r="I24" s="88" t="n">
        <v>4.718670732587138</v>
      </c>
      <c r="J24" s="88" t="n">
        <v>60.16</v>
      </c>
      <c r="K24" s="78" t="n">
        <v>43</v>
      </c>
      <c r="L24" s="18" t="n">
        <v>0</v>
      </c>
      <c r="M24" s="19" t="n">
        <v>23.7</v>
      </c>
      <c r="N24" s="89" t="inlineStr">
        <is>
          <t>➡️ Neutral</t>
        </is>
      </c>
      <c r="O24" s="89" t="inlineStr">
        <is>
          <t>🔴 Not Qualified</t>
        </is>
      </c>
      <c r="P24" s="89" t="inlineStr">
        <is>
          <t>🔴 Avoid</t>
        </is>
      </c>
      <c r="Q24" s="68" t="inlineStr">
        <is>
          <t>FULL</t>
        </is>
      </c>
    </row>
    <row r="25" ht="16" customHeight="1">
      <c r="A25" s="90" t="n">
        <v>21</v>
      </c>
      <c r="B25" s="91" t="inlineStr">
        <is>
          <t>Axis Focused Fund - Regular Plan - Growth Option</t>
        </is>
      </c>
      <c r="C25" s="91" t="inlineStr">
        <is>
          <t>Axis Mutual Fund</t>
        </is>
      </c>
      <c r="D25" s="91" t="inlineStr">
        <is>
          <t>Focused Fund</t>
        </is>
      </c>
      <c r="E25" s="92" t="n">
        <v>-1.9</v>
      </c>
      <c r="F25" s="93" t="n">
        <v>2.08</v>
      </c>
      <c r="G25" s="92" t="n">
        <v>-8.380000000000001</v>
      </c>
      <c r="H25" s="92" t="n">
        <v>-8.81</v>
      </c>
      <c r="I25" s="92" t="n">
        <v>-0.6974320573732595</v>
      </c>
      <c r="J25" s="93" t="n">
        <v>23.98</v>
      </c>
      <c r="K25" s="78" t="n">
        <v>42.2</v>
      </c>
      <c r="L25" s="18" t="n">
        <v>0</v>
      </c>
      <c r="M25" s="19" t="n">
        <v>23.2</v>
      </c>
      <c r="N25" s="94" t="inlineStr">
        <is>
          <t>➡️ Neutral</t>
        </is>
      </c>
      <c r="O25" s="94" t="inlineStr">
        <is>
          <t>🔴 Not Qualified</t>
        </is>
      </c>
      <c r="P25" s="94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Tata Focused Fund-Regular Plan-Growth</t>
        </is>
      </c>
      <c r="C26" s="86" t="inlineStr">
        <is>
          <t>Tata Mutual Fund</t>
        </is>
      </c>
      <c r="D26" s="86" t="inlineStr">
        <is>
          <t>Focused Fund</t>
        </is>
      </c>
      <c r="E26" s="87" t="n">
        <v>-2.78</v>
      </c>
      <c r="F26" s="88" t="n">
        <v>0.67</v>
      </c>
      <c r="G26" s="87" t="n">
        <v>-7.6</v>
      </c>
      <c r="H26" s="87" t="n">
        <v>-4.39</v>
      </c>
      <c r="I26" s="88" t="n">
        <v>0.4788534966437608</v>
      </c>
      <c r="J26" s="88" t="n">
        <v>37.45</v>
      </c>
      <c r="K26" s="78" t="n">
        <v>42</v>
      </c>
      <c r="L26" s="18" t="n">
        <v>0</v>
      </c>
      <c r="M26" s="19" t="n">
        <v>23.1</v>
      </c>
      <c r="N26" s="89" t="inlineStr">
        <is>
          <t>➡️ Neutral</t>
        </is>
      </c>
      <c r="O26" s="89" t="inlineStr">
        <is>
          <t>🔴 Not Qualified</t>
        </is>
      </c>
      <c r="P26" s="89" t="inlineStr">
        <is>
          <t>🔴 Avoid</t>
        </is>
      </c>
      <c r="Q26" s="68" t="inlineStr">
        <is>
          <t>FULL</t>
        </is>
      </c>
    </row>
    <row r="27" ht="16" customHeight="1">
      <c r="A27" s="90" t="n">
        <v>23</v>
      </c>
      <c r="B27" s="91" t="inlineStr">
        <is>
          <t>Mirae Asset Focused Fund Regular Plan Growth</t>
        </is>
      </c>
      <c r="C27" s="91" t="inlineStr">
        <is>
          <t>Mirae Asset Mutual Fund</t>
        </is>
      </c>
      <c r="D27" s="91" t="inlineStr">
        <is>
          <t>Focused Fund</t>
        </is>
      </c>
      <c r="E27" s="92" t="n">
        <v>-1.68</v>
      </c>
      <c r="F27" s="93" t="n">
        <v>3.03</v>
      </c>
      <c r="G27" s="92" t="n">
        <v>-12.29</v>
      </c>
      <c r="H27" s="92" t="n">
        <v>-11.88</v>
      </c>
      <c r="I27" s="92" t="n">
        <v>-0.05501513332447638</v>
      </c>
      <c r="J27" s="93" t="n">
        <v>17.99</v>
      </c>
      <c r="K27" s="78" t="n">
        <v>37.3</v>
      </c>
      <c r="L27" s="18" t="n">
        <v>0</v>
      </c>
      <c r="M27" s="19" t="n">
        <v>20.5</v>
      </c>
      <c r="N27" s="94" t="inlineStr">
        <is>
          <t>📉 Weak</t>
        </is>
      </c>
      <c r="O27" s="94" t="inlineStr">
        <is>
          <t>🔴 Not Qualified</t>
        </is>
      </c>
      <c r="P27" s="94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JM Focused Fund (Regular) - Growth Option</t>
        </is>
      </c>
      <c r="C28" s="86" t="inlineStr">
        <is>
          <t>JM Financial Mutual Fund</t>
        </is>
      </c>
      <c r="D28" s="86" t="inlineStr">
        <is>
          <t>Focused Fund</t>
        </is>
      </c>
      <c r="E28" s="87" t="n">
        <v>-5.03</v>
      </c>
      <c r="F28" s="88" t="n">
        <v>3.06</v>
      </c>
      <c r="G28" s="87" t="n">
        <v>-8.58</v>
      </c>
      <c r="H28" s="87" t="n">
        <v>-6.34</v>
      </c>
      <c r="I28" s="87" t="n">
        <v>-1.735052027694028</v>
      </c>
      <c r="J28" s="88" t="n">
        <v>42.1</v>
      </c>
      <c r="K28" s="78" t="n">
        <v>35.8</v>
      </c>
      <c r="L28" s="18" t="n">
        <v>0</v>
      </c>
      <c r="M28" s="19" t="n">
        <v>19.7</v>
      </c>
      <c r="N28" s="89" t="inlineStr">
        <is>
          <t>📉 Weak</t>
        </is>
      </c>
      <c r="O28" s="89" t="inlineStr">
        <is>
          <t>🔴 Not Qualified</t>
        </is>
      </c>
      <c r="P28" s="89" t="inlineStr">
        <is>
          <t>🔴 Avoid</t>
        </is>
      </c>
      <c r="Q28" s="68" t="inlineStr">
        <is>
          <t>FULL</t>
        </is>
      </c>
    </row>
    <row r="29" ht="16" customHeight="1">
      <c r="A29" s="90" t="n">
        <v>25</v>
      </c>
      <c r="B29" s="91" t="inlineStr">
        <is>
          <t>Edelweiss Focused Fund - Regular Plan - Growth</t>
        </is>
      </c>
      <c r="C29" s="91" t="inlineStr">
        <is>
          <t>Edelweiss Mutual Fund</t>
        </is>
      </c>
      <c r="D29" s="91" t="inlineStr">
        <is>
          <t>Focused Fund</t>
        </is>
      </c>
      <c r="E29" s="92" t="n">
        <v>-4.1</v>
      </c>
      <c r="F29" s="92" t="n">
        <v>-0.78</v>
      </c>
      <c r="G29" s="92" t="n">
        <v>-6.6</v>
      </c>
      <c r="H29" s="92" t="n">
        <v>-5.02</v>
      </c>
      <c r="I29" s="93" t="n">
        <v>1.148405820358822</v>
      </c>
      <c r="J29" s="93" t="n">
        <v>41.53</v>
      </c>
      <c r="K29" s="78" t="n">
        <v>32.5</v>
      </c>
      <c r="L29" s="18" t="n">
        <v>0</v>
      </c>
      <c r="M29" s="19" t="n">
        <v>17.9</v>
      </c>
      <c r="N29" s="94" t="inlineStr">
        <is>
          <t>📉 Weak</t>
        </is>
      </c>
      <c r="O29" s="94" t="inlineStr">
        <is>
          <t>🔴 Not Qualified</t>
        </is>
      </c>
      <c r="P29" s="94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Canara Robeco Focused Fund - Regular Plan - Growth Option</t>
        </is>
      </c>
      <c r="C30" s="86" t="inlineStr">
        <is>
          <t>Canara Robeco Mutual Fund</t>
        </is>
      </c>
      <c r="D30" s="86" t="inlineStr">
        <is>
          <t>Focused Fund</t>
        </is>
      </c>
      <c r="E30" s="87" t="n">
        <v>-2.74</v>
      </c>
      <c r="F30" s="87" t="n">
        <v>-0.49</v>
      </c>
      <c r="G30" s="87" t="n">
        <v>-9.869999999999999</v>
      </c>
      <c r="H30" s="87" t="n">
        <v>-6.68</v>
      </c>
      <c r="I30" s="88" t="n">
        <v>2.970869667105358</v>
      </c>
      <c r="J30" s="88" t="n">
        <v>40.3</v>
      </c>
      <c r="K30" s="78" t="n">
        <v>29</v>
      </c>
      <c r="L30" s="18" t="n">
        <v>0</v>
      </c>
      <c r="M30" s="19" t="n">
        <v>16</v>
      </c>
      <c r="N30" s="89" t="inlineStr">
        <is>
          <t>📉 Weak</t>
        </is>
      </c>
      <c r="O30" s="89" t="inlineStr">
        <is>
          <t>🔴 Not Qualified</t>
        </is>
      </c>
      <c r="P30" s="89" t="inlineStr">
        <is>
          <t>🔴 Avoid</t>
        </is>
      </c>
      <c r="Q30" s="68" t="inlineStr">
        <is>
          <t>FULL</t>
        </is>
      </c>
    </row>
    <row r="31" ht="16" customHeight="1">
      <c r="A31" s="90" t="n">
        <v>27</v>
      </c>
      <c r="B31" s="91" t="inlineStr">
        <is>
          <t>UTI Focused Fund - Regular Plan - Growth Option</t>
        </is>
      </c>
      <c r="C31" s="91" t="inlineStr">
        <is>
          <t>UTI Mutual Fund</t>
        </is>
      </c>
      <c r="D31" s="91" t="inlineStr">
        <is>
          <t>Focused Fund</t>
        </is>
      </c>
      <c r="E31" s="92" t="n">
        <v>-3.47</v>
      </c>
      <c r="F31" s="92" t="n">
        <v>-0.7</v>
      </c>
      <c r="G31" s="92" t="n">
        <v>-9.81</v>
      </c>
      <c r="H31" s="92" t="n">
        <v>-7.89</v>
      </c>
      <c r="I31" s="92" t="n">
        <v>-1.597764253041478</v>
      </c>
      <c r="J31" s="93" t="n">
        <v>30.58</v>
      </c>
      <c r="K31" s="78" t="n">
        <v>25.2</v>
      </c>
      <c r="L31" s="18" t="n">
        <v>0</v>
      </c>
      <c r="M31" s="19" t="n">
        <v>13.8</v>
      </c>
      <c r="N31" s="94" t="inlineStr">
        <is>
          <t>📉 Weak</t>
        </is>
      </c>
      <c r="O31" s="94" t="inlineStr">
        <is>
          <t>🔴 Not Qualified</t>
        </is>
      </c>
      <c r="P31" s="94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BARODA BNP PARIBAS Focused Fund - Regular Plan-Growth Option</t>
        </is>
      </c>
      <c r="C32" s="86" t="inlineStr">
        <is>
          <t>Baroda BNP Paribas Mutual Fund</t>
        </is>
      </c>
      <c r="D32" s="86" t="inlineStr">
        <is>
          <t>Focused Fund</t>
        </is>
      </c>
      <c r="E32" s="87" t="n">
        <v>-3.57</v>
      </c>
      <c r="F32" s="87" t="n">
        <v>-0.34</v>
      </c>
      <c r="G32" s="87" t="n">
        <v>-9.98</v>
      </c>
      <c r="H32" s="87" t="n">
        <v>-9.050000000000001</v>
      </c>
      <c r="I32" s="87" t="n">
        <v>-4.192902141855903</v>
      </c>
      <c r="J32" s="88" t="n">
        <v>28.81</v>
      </c>
      <c r="K32" s="78" t="n">
        <v>19.5</v>
      </c>
      <c r="L32" s="18" t="n">
        <v>0</v>
      </c>
      <c r="M32" s="19" t="n">
        <v>10.7</v>
      </c>
      <c r="N32" s="89" t="inlineStr">
        <is>
          <t>📉 Weak</t>
        </is>
      </c>
      <c r="O32" s="89" t="inlineStr">
        <is>
          <t>🔴 Not Qualified</t>
        </is>
      </c>
      <c r="P32" s="89" t="inlineStr">
        <is>
          <t>🔴 Avoid</t>
        </is>
      </c>
      <c r="Q32" s="68" t="inlineStr">
        <is>
          <t>FULL</t>
        </is>
      </c>
    </row>
    <row r="33" ht="16" customHeight="1">
      <c r="A33" s="90" t="n">
        <v>29</v>
      </c>
      <c r="B33" s="91" t="inlineStr">
        <is>
          <t>Franklin India Focused Equity Fund - Growth Plan</t>
        </is>
      </c>
      <c r="C33" s="91" t="inlineStr">
        <is>
          <t>Franklin Templeton Mutual Fund</t>
        </is>
      </c>
      <c r="D33" s="91" t="inlineStr">
        <is>
          <t>Focused Fund</t>
        </is>
      </c>
      <c r="E33" s="92" t="n">
        <v>-3.69</v>
      </c>
      <c r="F33" s="92" t="n">
        <v>-2.7</v>
      </c>
      <c r="G33" s="92" t="n">
        <v>-12.9</v>
      </c>
      <c r="H33" s="92" t="n">
        <v>-10.33</v>
      </c>
      <c r="I33" s="92" t="n">
        <v>-2.747750668686333</v>
      </c>
      <c r="J33" s="93" t="n">
        <v>31.63</v>
      </c>
      <c r="K33" s="78" t="n">
        <v>9.699999999999999</v>
      </c>
      <c r="L33" s="18" t="n">
        <v>0</v>
      </c>
      <c r="M33" s="19" t="n">
        <v>5.3</v>
      </c>
      <c r="N33" s="94" t="inlineStr">
        <is>
          <t>📉 Weak</t>
        </is>
      </c>
      <c r="O33" s="94" t="inlineStr">
        <is>
          <t>🔴 Not Qualified</t>
        </is>
      </c>
      <c r="P33" s="94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TATA Focused Fund Regular Plan - Payout of Income Distribution cum capital withdrawal option</t>
        </is>
      </c>
      <c r="C34" s="86" t="inlineStr">
        <is>
          <t>Tata Mutual Fund</t>
        </is>
      </c>
      <c r="D34" s="86" t="inlineStr">
        <is>
          <t>Focused Fund</t>
        </is>
      </c>
      <c r="E34" s="87" t="n">
        <v>-6.77</v>
      </c>
      <c r="F34" s="87" t="n">
        <v>-3.45</v>
      </c>
      <c r="G34" s="87" t="n">
        <v>-11.39</v>
      </c>
      <c r="H34" s="87" t="n">
        <v>-8.31</v>
      </c>
      <c r="I34" s="87" t="n">
        <v>-1.602845569599931</v>
      </c>
      <c r="J34" s="88" t="n">
        <v>31.82</v>
      </c>
      <c r="K34" s="78" t="n">
        <v>9.5</v>
      </c>
      <c r="L34" s="18" t="n">
        <v>0</v>
      </c>
      <c r="M34" s="19" t="n">
        <v>5.2</v>
      </c>
      <c r="N34" s="89" t="inlineStr">
        <is>
          <t>📉 Weak</t>
        </is>
      </c>
      <c r="O34" s="89" t="inlineStr">
        <is>
          <t>🔴 Not Qualified</t>
        </is>
      </c>
      <c r="P34" s="89" t="inlineStr">
        <is>
          <t>🔴 Avoid</t>
        </is>
      </c>
      <c r="Q34" s="68" t="inlineStr">
        <is>
          <t>FULL</t>
        </is>
      </c>
    </row>
    <row r="35" ht="16" customHeight="1">
      <c r="A35" s="90" t="n">
        <v>30</v>
      </c>
      <c r="B35" s="91" t="inlineStr">
        <is>
          <t>TATA Focused Fund Regular Plan - Reinvestment of Income Distribution cum capital withdrawal option</t>
        </is>
      </c>
      <c r="C35" s="91" t="inlineStr">
        <is>
          <t>Tata Mutual Fund</t>
        </is>
      </c>
      <c r="D35" s="91" t="inlineStr">
        <is>
          <t>Focused Fund</t>
        </is>
      </c>
      <c r="E35" s="92" t="n">
        <v>-6.77</v>
      </c>
      <c r="F35" s="92" t="n">
        <v>-3.45</v>
      </c>
      <c r="G35" s="92" t="n">
        <v>-11.39</v>
      </c>
      <c r="H35" s="92" t="n">
        <v>-8.31</v>
      </c>
      <c r="I35" s="92" t="n">
        <v>-1.602845569599931</v>
      </c>
      <c r="J35" s="93" t="n">
        <v>31.82</v>
      </c>
      <c r="K35" s="78" t="n">
        <v>9.5</v>
      </c>
      <c r="L35" s="18" t="n">
        <v>0</v>
      </c>
      <c r="M35" s="19" t="n">
        <v>5.2</v>
      </c>
      <c r="N35" s="94" t="inlineStr">
        <is>
          <t>📉 Weak</t>
        </is>
      </c>
      <c r="O35" s="94" t="inlineStr">
        <is>
          <t>🔴 Not Qualified</t>
        </is>
      </c>
      <c r="P35" s="94" t="inlineStr">
        <is>
          <t>🔴 Avoid</t>
        </is>
      </c>
      <c r="Q35" s="68" t="inlineStr">
        <is>
          <t>FULL</t>
        </is>
      </c>
    </row>
  </sheetData>
  <autoFilter ref="A4:Q3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&amp; MID CAP FUND  ✦</t>
        </is>
      </c>
    </row>
    <row r="2" ht="16" customHeight="1">
      <c r="A2" s="2">
        <f>"Dual Engine: 55% Momentum + 45% Quality | ✅ Full: "&amp;COUNTIF(Q5:Q39,"FULL")&amp;" | ⚠️ Momentum: "&amp;COUNTIF(Q5:Q39,"MOMENTUM_ONLY")&amp;" | ❌ Missing: "&amp;COUNTIF(Q5:Q39,"MISSING")&amp;" | Total: "&amp;COUNTA(B5:B39)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HSBC Large &amp; Mid Cap Fund - Regular Growth</t>
        </is>
      </c>
      <c r="C5" s="65" t="inlineStr">
        <is>
          <t>HSBC Mutual Fund</t>
        </is>
      </c>
      <c r="D5" s="65" t="inlineStr">
        <is>
          <t>Large &amp; Mid Cap Fund</t>
        </is>
      </c>
      <c r="E5" s="66" t="n">
        <v>-0.07000000000000001</v>
      </c>
      <c r="F5" s="67" t="n">
        <v>8.93</v>
      </c>
      <c r="G5" s="67" t="n">
        <v>3.16</v>
      </c>
      <c r="H5" s="67" t="n">
        <v>5.96</v>
      </c>
      <c r="I5" s="67" t="n">
        <v>6.597373325987732</v>
      </c>
      <c r="J5" s="67" t="n">
        <v>65.06999999999999</v>
      </c>
      <c r="K5" s="17" t="n">
        <v>100</v>
      </c>
      <c r="L5" s="18" t="n">
        <v>0</v>
      </c>
      <c r="M5" s="21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quant Large &amp; Mid Cap Fund - Growth Option</t>
        </is>
      </c>
      <c r="C6" s="70" t="inlineStr">
        <is>
          <t>quant Mutual Fund</t>
        </is>
      </c>
      <c r="D6" s="70" t="inlineStr">
        <is>
          <t>Large &amp; Mid Cap Fund</t>
        </is>
      </c>
      <c r="E6" s="71" t="n">
        <v>-0.4</v>
      </c>
      <c r="F6" s="72" t="n">
        <v>13.72</v>
      </c>
      <c r="G6" s="72" t="n">
        <v>2.96</v>
      </c>
      <c r="H6" s="72" t="n">
        <v>0.5600000000000001</v>
      </c>
      <c r="I6" s="71" t="n">
        <v>-2.142961418199452</v>
      </c>
      <c r="J6" s="72" t="n">
        <v>60.31</v>
      </c>
      <c r="K6" s="17" t="n">
        <v>98.7</v>
      </c>
      <c r="L6" s="18" t="n">
        <v>0</v>
      </c>
      <c r="M6" s="21" t="n">
        <v>54.3</v>
      </c>
      <c r="N6" s="28" t="inlineStr">
        <is>
          <t>🔥 Hot</t>
        </is>
      </c>
      <c r="O6" s="28" t="inlineStr">
        <is>
          <t>🔴 Not Qualified</t>
        </is>
      </c>
      <c r="P6" s="28" t="inlineStr">
        <is>
          <t>⚠️ Watch</t>
        </is>
      </c>
      <c r="Q6" s="68" t="inlineStr">
        <is>
          <t>FULL</t>
        </is>
      </c>
    </row>
    <row r="7" ht="16" customHeight="1">
      <c r="A7" s="74" t="n">
        <v>3</v>
      </c>
      <c r="B7" s="75" t="inlineStr">
        <is>
          <t>Axis Large &amp; Mid Cap Fund - Regular Plan - Growth</t>
        </is>
      </c>
      <c r="C7" s="75" t="inlineStr">
        <is>
          <t>Axis Mutual Fund</t>
        </is>
      </c>
      <c r="D7" s="75" t="inlineStr">
        <is>
          <t>Large &amp; Mid Cap Fund</t>
        </is>
      </c>
      <c r="E7" s="76" t="n">
        <v>-1.45</v>
      </c>
      <c r="F7" s="77" t="n">
        <v>4.18</v>
      </c>
      <c r="G7" s="76" t="n">
        <v>-1.86</v>
      </c>
      <c r="H7" s="77" t="n">
        <v>0.34</v>
      </c>
      <c r="I7" s="77" t="n">
        <v>4.340787806111557</v>
      </c>
      <c r="J7" s="77" t="n">
        <v>48.91</v>
      </c>
      <c r="K7" s="17" t="n">
        <v>91.8</v>
      </c>
      <c r="L7" s="18" t="n">
        <v>0</v>
      </c>
      <c r="M7" s="21" t="n">
        <v>50.5</v>
      </c>
      <c r="N7" s="79" t="inlineStr">
        <is>
          <t>🔥 Hot</t>
        </is>
      </c>
      <c r="O7" s="79" t="inlineStr">
        <is>
          <t>🔴 Not Qualified</t>
        </is>
      </c>
      <c r="P7" s="79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Invesco India Large &amp; Mid Cap Fund - Regular Plan - Growth</t>
        </is>
      </c>
      <c r="C8" s="86" t="inlineStr">
        <is>
          <t>Invesco Mutual Fund</t>
        </is>
      </c>
      <c r="D8" s="86" t="inlineStr">
        <is>
          <t>Large &amp; Mid Cap Fund</t>
        </is>
      </c>
      <c r="E8" s="87" t="n">
        <v>-2.16</v>
      </c>
      <c r="F8" s="88" t="n">
        <v>7.67</v>
      </c>
      <c r="G8" s="87" t="n">
        <v>-2.6</v>
      </c>
      <c r="H8" s="87" t="n">
        <v>-1.15</v>
      </c>
      <c r="I8" s="88" t="n">
        <v>8.457364895151297</v>
      </c>
      <c r="J8" s="88" t="n">
        <v>77.59</v>
      </c>
      <c r="K8" s="17" t="n">
        <v>83.2</v>
      </c>
      <c r="L8" s="18" t="n">
        <v>0</v>
      </c>
      <c r="M8" s="19" t="n">
        <v>45.8</v>
      </c>
      <c r="N8" s="89" t="inlineStr">
        <is>
          <t>⭐ Strong</t>
        </is>
      </c>
      <c r="O8" s="89" t="inlineStr">
        <is>
          <t>🔴 Not Qualified</t>
        </is>
      </c>
      <c r="P8" s="89" t="inlineStr">
        <is>
          <t>⚠️ Watch</t>
        </is>
      </c>
      <c r="Q8" s="68" t="inlineStr">
        <is>
          <t>FULL</t>
        </is>
      </c>
    </row>
    <row r="9" ht="16" customHeight="1">
      <c r="A9" s="90" t="n">
        <v>5</v>
      </c>
      <c r="B9" s="91" t="inlineStr">
        <is>
          <t>SBI LARGE &amp; MIDCAP FUND- REGULAR PLAN -Growth</t>
        </is>
      </c>
      <c r="C9" s="91" t="inlineStr">
        <is>
          <t>SBI Mutual Fund</t>
        </is>
      </c>
      <c r="D9" s="91" t="inlineStr">
        <is>
          <t>Large &amp; Mid Cap Fund</t>
        </is>
      </c>
      <c r="E9" s="92" t="n">
        <v>-1.51</v>
      </c>
      <c r="F9" s="93" t="n">
        <v>0.98</v>
      </c>
      <c r="G9" s="92" t="n">
        <v>-3.54</v>
      </c>
      <c r="H9" s="93" t="n">
        <v>0.9</v>
      </c>
      <c r="I9" s="93" t="n">
        <v>5.109466747767311</v>
      </c>
      <c r="J9" s="93" t="n">
        <v>48.85</v>
      </c>
      <c r="K9" s="17" t="n">
        <v>80.59999999999999</v>
      </c>
      <c r="L9" s="18" t="n">
        <v>0</v>
      </c>
      <c r="M9" s="19" t="n">
        <v>44.3</v>
      </c>
      <c r="N9" s="94" t="inlineStr">
        <is>
          <t>⭐ Strong</t>
        </is>
      </c>
      <c r="O9" s="94" t="inlineStr">
        <is>
          <t>🔴 Not Qualified</t>
        </is>
      </c>
      <c r="P9" s="94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Motilal Oswal Large and Midcap Fund - Regular Plan Growth</t>
        </is>
      </c>
      <c r="C10" s="86" t="inlineStr">
        <is>
          <t>Motilal Oswal Mutual Fund</t>
        </is>
      </c>
      <c r="D10" s="86" t="inlineStr">
        <is>
          <t>Large &amp; Mid Cap Fund</t>
        </is>
      </c>
      <c r="E10" s="87" t="n">
        <v>-3.58</v>
      </c>
      <c r="F10" s="88" t="n">
        <v>9.609999999999999</v>
      </c>
      <c r="G10" s="88" t="n">
        <v>1.98</v>
      </c>
      <c r="H10" s="88" t="n">
        <v>0.01</v>
      </c>
      <c r="I10" s="88" t="n">
        <v>9.940893210852163</v>
      </c>
      <c r="J10" s="88" t="n">
        <v>83.66</v>
      </c>
      <c r="K10" s="17" t="n">
        <v>76.59999999999999</v>
      </c>
      <c r="L10" s="18" t="n">
        <v>0</v>
      </c>
      <c r="M10" s="19" t="n">
        <v>42.1</v>
      </c>
      <c r="N10" s="89" t="inlineStr">
        <is>
          <t>⭐ Strong</t>
        </is>
      </c>
      <c r="O10" s="89" t="inlineStr">
        <is>
          <t>🔴 Not Qualified</t>
        </is>
      </c>
      <c r="P10" s="89" t="inlineStr">
        <is>
          <t>⚠️ Watch</t>
        </is>
      </c>
      <c r="Q10" s="68" t="inlineStr">
        <is>
          <t>FULL</t>
        </is>
      </c>
    </row>
    <row r="11" ht="16" customHeight="1">
      <c r="A11" s="95" t="n">
        <v>7</v>
      </c>
      <c r="B11" s="96" t="inlineStr">
        <is>
          <t>Helios Large &amp; Mid Cap Fund - Regular Plan - Growth Option</t>
        </is>
      </c>
      <c r="C11" s="96" t="inlineStr">
        <is>
          <t>Helios Mutual Fund</t>
        </is>
      </c>
      <c r="D11" s="96" t="inlineStr">
        <is>
          <t>Large &amp; Mid Cap Fund</t>
        </is>
      </c>
      <c r="E11" s="97" t="n">
        <v>-2.58</v>
      </c>
      <c r="F11" s="98" t="n">
        <v>3.83</v>
      </c>
      <c r="G11" s="97" t="n">
        <v>-4.61</v>
      </c>
      <c r="H11" s="98" t="n">
        <v>0.67</v>
      </c>
      <c r="I11" s="98" t="n">
        <v>0</v>
      </c>
      <c r="J11" s="98" t="n">
        <v>0</v>
      </c>
      <c r="K11" s="17" t="n">
        <v>75.40000000000001</v>
      </c>
      <c r="L11" s="18" t="n">
        <v>0</v>
      </c>
      <c r="M11" s="19" t="n">
        <v>41.5</v>
      </c>
      <c r="N11" s="99" t="inlineStr">
        <is>
          <t>⭐ Strong</t>
        </is>
      </c>
      <c r="O11" s="99" t="inlineStr">
        <is>
          <t>⏳ New Fund</t>
        </is>
      </c>
      <c r="P11" s="99" t="inlineStr">
        <is>
          <t>📈 Momentum Only</t>
        </is>
      </c>
      <c r="Q11" s="100" t="inlineStr">
        <is>
          <t>MOMENTUM_ONLY</t>
        </is>
      </c>
    </row>
    <row r="12" ht="16" customHeight="1">
      <c r="A12" s="95" t="n">
        <v>8</v>
      </c>
      <c r="B12" s="96" t="inlineStr">
        <is>
          <t>Whiteoak Capital Large &amp; Mid Cap Fund Regular Plan Growth</t>
        </is>
      </c>
      <c r="C12" s="96" t="inlineStr">
        <is>
          <t>WhiteOak Capital Mutual Fund</t>
        </is>
      </c>
      <c r="D12" s="96" t="inlineStr">
        <is>
          <t>Large &amp; Mid Cap Fund</t>
        </is>
      </c>
      <c r="E12" s="97" t="n">
        <v>-1.98</v>
      </c>
      <c r="F12" s="98" t="n">
        <v>3.01</v>
      </c>
      <c r="G12" s="97" t="n">
        <v>-4.63</v>
      </c>
      <c r="H12" s="97" t="n">
        <v>-0.47</v>
      </c>
      <c r="I12" s="98" t="n">
        <v>5.68348972285122</v>
      </c>
      <c r="J12" s="98" t="n">
        <v>0</v>
      </c>
      <c r="K12" s="73" t="n">
        <v>72.09999999999999</v>
      </c>
      <c r="L12" s="18" t="n">
        <v>0</v>
      </c>
      <c r="M12" s="19" t="n">
        <v>39.6</v>
      </c>
      <c r="N12" s="99" t="inlineStr">
        <is>
          <t>📈 Good</t>
        </is>
      </c>
      <c r="O12" s="99" t="inlineStr">
        <is>
          <t>⏳ New Fund</t>
        </is>
      </c>
      <c r="P12" s="99" t="inlineStr">
        <is>
          <t>📈 Momentum Only</t>
        </is>
      </c>
      <c r="Q12" s="100" t="inlineStr">
        <is>
          <t>MOMENTUM_ONLY</t>
        </is>
      </c>
    </row>
    <row r="13" ht="16" customHeight="1">
      <c r="A13" s="95" t="n">
        <v>9</v>
      </c>
      <c r="B13" s="96" t="inlineStr">
        <is>
          <t>Samco Large &amp; Mid Cap Fund - Regular Plan - Growth Option</t>
        </is>
      </c>
      <c r="C13" s="96" t="inlineStr">
        <is>
          <t>Samco Mutual Fund</t>
        </is>
      </c>
      <c r="D13" s="96" t="inlineStr">
        <is>
          <t>Large &amp; Mid Cap Fund</t>
        </is>
      </c>
      <c r="E13" s="97" t="n">
        <v>-1.01</v>
      </c>
      <c r="F13" s="98" t="n">
        <v>0</v>
      </c>
      <c r="G13" s="97" t="n">
        <v>-4.03</v>
      </c>
      <c r="H13" s="98" t="n">
        <v>0</v>
      </c>
      <c r="I13" s="98" t="n">
        <v>0</v>
      </c>
      <c r="J13" s="98" t="n">
        <v>0</v>
      </c>
      <c r="K13" s="73" t="n">
        <v>69.40000000000001</v>
      </c>
      <c r="L13" s="18" t="n">
        <v>0</v>
      </c>
      <c r="M13" s="19" t="n">
        <v>38.2</v>
      </c>
      <c r="N13" s="99" t="inlineStr">
        <is>
          <t>📈 Good</t>
        </is>
      </c>
      <c r="O13" s="99" t="inlineStr">
        <is>
          <t>⏳ New Fund</t>
        </is>
      </c>
      <c r="P13" s="99" t="inlineStr">
        <is>
          <t>📈 Momentum Only</t>
        </is>
      </c>
      <c r="Q13" s="100" t="inlineStr">
        <is>
          <t>MOMENTUM_ONLY</t>
        </is>
      </c>
    </row>
    <row r="14" ht="16" customHeight="1">
      <c r="A14" s="95" t="n">
        <v>10</v>
      </c>
      <c r="B14" s="96" t="inlineStr">
        <is>
          <t>JM Large &amp; Mid Cap Fund (Regular) - Growth Option</t>
        </is>
      </c>
      <c r="C14" s="96" t="inlineStr">
        <is>
          <t>JM Financial Mutual Fund</t>
        </is>
      </c>
      <c r="D14" s="96" t="inlineStr">
        <is>
          <t>Large &amp; Mid Cap Fund</t>
        </is>
      </c>
      <c r="E14" s="97" t="n">
        <v>-2.49</v>
      </c>
      <c r="F14" s="98" t="n">
        <v>3.14</v>
      </c>
      <c r="G14" s="97" t="n">
        <v>-5.41</v>
      </c>
      <c r="H14" s="98" t="n">
        <v>0</v>
      </c>
      <c r="I14" s="98" t="n">
        <v>0</v>
      </c>
      <c r="J14" s="98" t="n">
        <v>0</v>
      </c>
      <c r="K14" s="73" t="n">
        <v>67.59999999999999</v>
      </c>
      <c r="L14" s="18" t="n">
        <v>0</v>
      </c>
      <c r="M14" s="19" t="n">
        <v>37.2</v>
      </c>
      <c r="N14" s="99" t="inlineStr">
        <is>
          <t>📈 Good</t>
        </is>
      </c>
      <c r="O14" s="99" t="inlineStr">
        <is>
          <t>⏳ New Fund</t>
        </is>
      </c>
      <c r="P14" s="99" t="inlineStr">
        <is>
          <t>📈 Momentum Only</t>
        </is>
      </c>
      <c r="Q14" s="100" t="inlineStr">
        <is>
          <t>MOMENTUM_ONLY</t>
        </is>
      </c>
    </row>
    <row r="15" ht="16" customHeight="1">
      <c r="A15" s="90" t="n">
        <v>11</v>
      </c>
      <c r="B15" s="91" t="inlineStr">
        <is>
          <t>Navi Large &amp; Midcap Fund- Regular Plan- Growth Option</t>
        </is>
      </c>
      <c r="C15" s="91" t="inlineStr">
        <is>
          <t>Navi Mutual Fund</t>
        </is>
      </c>
      <c r="D15" s="91" t="inlineStr">
        <is>
          <t>Large &amp; Mid Cap Fund</t>
        </is>
      </c>
      <c r="E15" s="92" t="n">
        <v>-2.64</v>
      </c>
      <c r="F15" s="93" t="n">
        <v>3.74</v>
      </c>
      <c r="G15" s="92" t="n">
        <v>-3.69</v>
      </c>
      <c r="H15" s="92" t="n">
        <v>-3.51</v>
      </c>
      <c r="I15" s="93" t="n">
        <v>2.08329931972222</v>
      </c>
      <c r="J15" s="93" t="n">
        <v>31.27</v>
      </c>
      <c r="K15" s="73" t="n">
        <v>66.5</v>
      </c>
      <c r="L15" s="18" t="n">
        <v>0</v>
      </c>
      <c r="M15" s="19" t="n">
        <v>36.6</v>
      </c>
      <c r="N15" s="94" t="inlineStr">
        <is>
          <t>📈 Good</t>
        </is>
      </c>
      <c r="O15" s="94" t="inlineStr">
        <is>
          <t>🔴 Not Qualified</t>
        </is>
      </c>
      <c r="P15" s="94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Union Large &amp; Midcap Fund - Regular Plan - Growth Option</t>
        </is>
      </c>
      <c r="C16" s="86" t="inlineStr">
        <is>
          <t>Union Mutual Fund</t>
        </is>
      </c>
      <c r="D16" s="86" t="inlineStr">
        <is>
          <t>Large &amp; Mid Cap Fund</t>
        </is>
      </c>
      <c r="E16" s="87" t="n">
        <v>-3.03</v>
      </c>
      <c r="F16" s="88" t="n">
        <v>1.96</v>
      </c>
      <c r="G16" s="87" t="n">
        <v>-4.11</v>
      </c>
      <c r="H16" s="87" t="n">
        <v>-2.42</v>
      </c>
      <c r="I16" s="88" t="n">
        <v>2.279030108815561</v>
      </c>
      <c r="J16" s="88" t="n">
        <v>42</v>
      </c>
      <c r="K16" s="73" t="n">
        <v>60.6</v>
      </c>
      <c r="L16" s="18" t="n">
        <v>0</v>
      </c>
      <c r="M16" s="19" t="n">
        <v>33.3</v>
      </c>
      <c r="N16" s="89" t="inlineStr">
        <is>
          <t>📈 Good</t>
        </is>
      </c>
      <c r="O16" s="89" t="inlineStr">
        <is>
          <t>🔴 Not Qualified</t>
        </is>
      </c>
      <c r="P16" s="89" t="inlineStr">
        <is>
          <t>🔴 Avoid</t>
        </is>
      </c>
      <c r="Q16" s="68" t="inlineStr">
        <is>
          <t>FULL</t>
        </is>
      </c>
    </row>
    <row r="17" ht="16" customHeight="1">
      <c r="A17" s="90" t="n">
        <v>13</v>
      </c>
      <c r="B17" s="91" t="inlineStr">
        <is>
          <t>Aditya Birla Sun Life Large &amp; Mid Cap Fund - Regular Growth</t>
        </is>
      </c>
      <c r="C17" s="91" t="inlineStr">
        <is>
          <t>Aditya Birla Sun Life Mutual Fund</t>
        </is>
      </c>
      <c r="D17" s="91" t="inlineStr">
        <is>
          <t>Large &amp; Mid Cap Fund</t>
        </is>
      </c>
      <c r="E17" s="92" t="n">
        <v>-3.23</v>
      </c>
      <c r="F17" s="93" t="n">
        <v>1.91</v>
      </c>
      <c r="G17" s="92" t="n">
        <v>-3.53</v>
      </c>
      <c r="H17" s="92" t="n">
        <v>-3.23</v>
      </c>
      <c r="I17" s="93" t="n">
        <v>1.749692874229347</v>
      </c>
      <c r="J17" s="93" t="n">
        <v>38.93</v>
      </c>
      <c r="K17" s="73" t="n">
        <v>58.7</v>
      </c>
      <c r="L17" s="18" t="n">
        <v>0</v>
      </c>
      <c r="M17" s="19" t="n">
        <v>32.3</v>
      </c>
      <c r="N17" s="94" t="inlineStr">
        <is>
          <t>➡️ Neutral</t>
        </is>
      </c>
      <c r="O17" s="94" t="inlineStr">
        <is>
          <t>🔴 Not Qualified</t>
        </is>
      </c>
      <c r="P17" s="94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BANK OF INDIA Large &amp; Mid Cap Fund Eco Plan- Growth</t>
        </is>
      </c>
      <c r="C18" s="86" t="inlineStr">
        <is>
          <t>Bank of India Mutual Fund</t>
        </is>
      </c>
      <c r="D18" s="86" t="inlineStr">
        <is>
          <t>Large &amp; Mid Cap Fund</t>
        </is>
      </c>
      <c r="E18" s="87" t="n">
        <v>-3.21</v>
      </c>
      <c r="F18" s="88" t="n">
        <v>1.13</v>
      </c>
      <c r="G18" s="87" t="n">
        <v>-3.87</v>
      </c>
      <c r="H18" s="87" t="n">
        <v>-0.9399999999999999</v>
      </c>
      <c r="I18" s="88" t="n">
        <v>1.985293057381554</v>
      </c>
      <c r="J18" s="88" t="n">
        <v>50.33</v>
      </c>
      <c r="K18" s="73" t="n">
        <v>58.5</v>
      </c>
      <c r="L18" s="18" t="n">
        <v>0</v>
      </c>
      <c r="M18" s="19" t="n">
        <v>32.2</v>
      </c>
      <c r="N18" s="89" t="inlineStr">
        <is>
          <t>➡️ Neutral</t>
        </is>
      </c>
      <c r="O18" s="89" t="inlineStr">
        <is>
          <t>🔴 Not Qualified</t>
        </is>
      </c>
      <c r="P18" s="89" t="inlineStr">
        <is>
          <t>🔴 Avoid</t>
        </is>
      </c>
      <c r="Q18" s="68" t="inlineStr">
        <is>
          <t>FULL</t>
        </is>
      </c>
    </row>
    <row r="19" ht="16" customHeight="1">
      <c r="A19" s="90" t="n">
        <v>15</v>
      </c>
      <c r="B19" s="91" t="inlineStr">
        <is>
          <t>Bandhan Large &amp; Mid Cap Fund - Regular Plan - Growth</t>
        </is>
      </c>
      <c r="C19" s="91" t="inlineStr">
        <is>
          <t>Bandhan Mutual Fund</t>
        </is>
      </c>
      <c r="D19" s="91" t="inlineStr">
        <is>
          <t>Large &amp; Mid Cap Fund</t>
        </is>
      </c>
      <c r="E19" s="92" t="n">
        <v>-3.97</v>
      </c>
      <c r="F19" s="93" t="n">
        <v>2.23</v>
      </c>
      <c r="G19" s="92" t="n">
        <v>-4.14</v>
      </c>
      <c r="H19" s="92" t="n">
        <v>-0.6</v>
      </c>
      <c r="I19" s="93" t="n">
        <v>5.214067500501085</v>
      </c>
      <c r="J19" s="93" t="n">
        <v>72.31999999999999</v>
      </c>
      <c r="K19" s="73" t="n">
        <v>55.9</v>
      </c>
      <c r="L19" s="18" t="n">
        <v>0</v>
      </c>
      <c r="M19" s="19" t="n">
        <v>30.7</v>
      </c>
      <c r="N19" s="94" t="inlineStr">
        <is>
          <t>➡️ Neutral</t>
        </is>
      </c>
      <c r="O19" s="94" t="inlineStr">
        <is>
          <t>🔴 Not Qualified</t>
        </is>
      </c>
      <c r="P19" s="94" t="inlineStr">
        <is>
          <t>🔴 Avoid</t>
        </is>
      </c>
      <c r="Q19" s="68" t="inlineStr">
        <is>
          <t>FULL</t>
        </is>
      </c>
    </row>
    <row r="20" ht="16" customHeight="1">
      <c r="A20" s="95" t="n">
        <v>16</v>
      </c>
      <c r="B20" s="96" t="inlineStr">
        <is>
          <t>ITI Large &amp; Midcap Fund - Regular Plan - Growth</t>
        </is>
      </c>
      <c r="C20" s="96" t="inlineStr">
        <is>
          <t>ITI Mutual Fund</t>
        </is>
      </c>
      <c r="D20" s="96" t="inlineStr">
        <is>
          <t>Large &amp; Mid Cap Fund</t>
        </is>
      </c>
      <c r="E20" s="97" t="n">
        <v>-3.03</v>
      </c>
      <c r="F20" s="98" t="n">
        <v>5.21</v>
      </c>
      <c r="G20" s="97" t="n">
        <v>-3.7</v>
      </c>
      <c r="H20" s="97" t="n">
        <v>-7.79</v>
      </c>
      <c r="I20" s="98" t="n">
        <v>0</v>
      </c>
      <c r="J20" s="98" t="n">
        <v>0</v>
      </c>
      <c r="K20" s="73" t="n">
        <v>55.6</v>
      </c>
      <c r="L20" s="18" t="n">
        <v>0</v>
      </c>
      <c r="M20" s="19" t="n">
        <v>30.6</v>
      </c>
      <c r="N20" s="99" t="inlineStr">
        <is>
          <t>➡️ Neutral</t>
        </is>
      </c>
      <c r="O20" s="99" t="inlineStr">
        <is>
          <t>⏳ New Fund</t>
        </is>
      </c>
      <c r="P20" s="99" t="inlineStr">
        <is>
          <t>⏳ New Fund</t>
        </is>
      </c>
      <c r="Q20" s="100" t="inlineStr">
        <is>
          <t>MOMENTUM_ONLY</t>
        </is>
      </c>
    </row>
    <row r="21" ht="16" customHeight="1">
      <c r="A21" s="90" t="n">
        <v>17</v>
      </c>
      <c r="B21" s="91" t="inlineStr">
        <is>
          <t>Mahindra Manulife Large &amp; Mid Cap Fund - Regular Plan - Growth</t>
        </is>
      </c>
      <c r="C21" s="91" t="inlineStr">
        <is>
          <t>Mahindra Manulife Mutual Fund</t>
        </is>
      </c>
      <c r="D21" s="91" t="inlineStr">
        <is>
          <t>Large &amp; Mid Cap Fund</t>
        </is>
      </c>
      <c r="E21" s="92" t="n">
        <v>-2.39</v>
      </c>
      <c r="F21" s="93" t="n">
        <v>1.64</v>
      </c>
      <c r="G21" s="92" t="n">
        <v>-4.5</v>
      </c>
      <c r="H21" s="92" t="n">
        <v>-5.09</v>
      </c>
      <c r="I21" s="92" t="n">
        <v>-0.5414659267491517</v>
      </c>
      <c r="J21" s="93" t="n">
        <v>43.65</v>
      </c>
      <c r="K21" s="73" t="n">
        <v>55.4</v>
      </c>
      <c r="L21" s="18" t="n">
        <v>0</v>
      </c>
      <c r="M21" s="19" t="n">
        <v>30.5</v>
      </c>
      <c r="N21" s="94" t="inlineStr">
        <is>
          <t>➡️ Neutral</t>
        </is>
      </c>
      <c r="O21" s="94" t="inlineStr">
        <is>
          <t>🔴 Not Qualified</t>
        </is>
      </c>
      <c r="P21" s="94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Mirae Asset Large &amp; Midcap Fund - Regular Plan - Growth</t>
        </is>
      </c>
      <c r="C22" s="86" t="inlineStr">
        <is>
          <t>Mirae Asset Mutual Fund</t>
        </is>
      </c>
      <c r="D22" s="86" t="inlineStr">
        <is>
          <t>Large &amp; Mid Cap Fund</t>
        </is>
      </c>
      <c r="E22" s="87" t="n">
        <v>-2.51</v>
      </c>
      <c r="F22" s="88" t="n">
        <v>1.55</v>
      </c>
      <c r="G22" s="87" t="n">
        <v>-6.42</v>
      </c>
      <c r="H22" s="87" t="n">
        <v>-1.95</v>
      </c>
      <c r="I22" s="88" t="n">
        <v>2.474387043787685</v>
      </c>
      <c r="J22" s="88" t="n">
        <v>46.69</v>
      </c>
      <c r="K22" s="73" t="n">
        <v>54</v>
      </c>
      <c r="L22" s="18" t="n">
        <v>0</v>
      </c>
      <c r="M22" s="19" t="n">
        <v>29.7</v>
      </c>
      <c r="N22" s="89" t="inlineStr">
        <is>
          <t>➡️ Neutral</t>
        </is>
      </c>
      <c r="O22" s="89" t="inlineStr">
        <is>
          <t>🔴 Not Qualified</t>
        </is>
      </c>
      <c r="P22" s="89" t="inlineStr">
        <is>
          <t>🔴 Avoid</t>
        </is>
      </c>
      <c r="Q22" s="68" t="inlineStr">
        <is>
          <t>FULL</t>
        </is>
      </c>
    </row>
    <row r="23" ht="16" customHeight="1">
      <c r="A23" s="90" t="n">
        <v>19</v>
      </c>
      <c r="B23" s="91" t="inlineStr">
        <is>
          <t>Nippon India Vision Large &amp; Midcap Fund-GROWTH PLAN-Growth Option</t>
        </is>
      </c>
      <c r="C23" s="91" t="inlineStr">
        <is>
          <t>Nippon India Mutual Fund</t>
        </is>
      </c>
      <c r="D23" s="91" t="inlineStr">
        <is>
          <t>Large &amp; Mid Cap Fund</t>
        </is>
      </c>
      <c r="E23" s="92" t="n">
        <v>-2.86</v>
      </c>
      <c r="F23" s="93" t="n">
        <v>1.18</v>
      </c>
      <c r="G23" s="92" t="n">
        <v>-5.26</v>
      </c>
      <c r="H23" s="92" t="n">
        <v>-2.77</v>
      </c>
      <c r="I23" s="93" t="n">
        <v>3.25696102442683</v>
      </c>
      <c r="J23" s="93" t="n">
        <v>58.78</v>
      </c>
      <c r="K23" s="73" t="n">
        <v>50.3</v>
      </c>
      <c r="L23" s="18" t="n">
        <v>0</v>
      </c>
      <c r="M23" s="19" t="n">
        <v>27.7</v>
      </c>
      <c r="N23" s="94" t="inlineStr">
        <is>
          <t>➡️ Neutral</t>
        </is>
      </c>
      <c r="O23" s="94" t="inlineStr">
        <is>
          <t>🔴 Not Qualified</t>
        </is>
      </c>
      <c r="P23" s="94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Nippon India Vision Large &amp; Midcap Fund-GROWTH PLAN-Bonus Option</t>
        </is>
      </c>
      <c r="C24" s="86" t="inlineStr">
        <is>
          <t>Nippon India Mutual Fund</t>
        </is>
      </c>
      <c r="D24" s="86" t="inlineStr">
        <is>
          <t>Large &amp; Mid Cap Fund</t>
        </is>
      </c>
      <c r="E24" s="87" t="n">
        <v>-2.86</v>
      </c>
      <c r="F24" s="88" t="n">
        <v>1.18</v>
      </c>
      <c r="G24" s="87" t="n">
        <v>-5.26</v>
      </c>
      <c r="H24" s="87" t="n">
        <v>-2.77</v>
      </c>
      <c r="I24" s="88" t="n">
        <v>3.25696102442683</v>
      </c>
      <c r="J24" s="88" t="n">
        <v>58.79</v>
      </c>
      <c r="K24" s="73" t="n">
        <v>50.3</v>
      </c>
      <c r="L24" s="18" t="n">
        <v>0</v>
      </c>
      <c r="M24" s="19" t="n">
        <v>27.7</v>
      </c>
      <c r="N24" s="89" t="inlineStr">
        <is>
          <t>➡️ Neutral</t>
        </is>
      </c>
      <c r="O24" s="89" t="inlineStr">
        <is>
          <t>🔴 Not Qualified</t>
        </is>
      </c>
      <c r="P24" s="89" t="inlineStr">
        <is>
          <t>🔴 Avoid</t>
        </is>
      </c>
      <c r="Q24" s="68" t="inlineStr">
        <is>
          <t>FULL</t>
        </is>
      </c>
    </row>
    <row r="25" ht="16" customHeight="1">
      <c r="A25" s="90" t="n">
        <v>21</v>
      </c>
      <c r="B25" s="91" t="inlineStr">
        <is>
          <t>BANK OF INDIA Large &amp; Mid Cap Fund Regular Plan- Growth</t>
        </is>
      </c>
      <c r="C25" s="91" t="inlineStr">
        <is>
          <t>Bank of India Mutual Fund</t>
        </is>
      </c>
      <c r="D25" s="91" t="inlineStr">
        <is>
          <t>Large &amp; Mid Cap Fund</t>
        </is>
      </c>
      <c r="E25" s="92" t="n">
        <v>-3.28</v>
      </c>
      <c r="F25" s="93" t="n">
        <v>0.95</v>
      </c>
      <c r="G25" s="92" t="n">
        <v>-4.21</v>
      </c>
      <c r="H25" s="92" t="n">
        <v>-1.64</v>
      </c>
      <c r="I25" s="93" t="n">
        <v>1.257098516597832</v>
      </c>
      <c r="J25" s="93" t="n">
        <v>47.19</v>
      </c>
      <c r="K25" s="78" t="n">
        <v>49.1</v>
      </c>
      <c r="L25" s="18" t="n">
        <v>0</v>
      </c>
      <c r="M25" s="19" t="n">
        <v>27</v>
      </c>
      <c r="N25" s="94" t="inlineStr">
        <is>
          <t>➡️ Neutral</t>
        </is>
      </c>
      <c r="O25" s="94" t="inlineStr">
        <is>
          <t>🔴 Not Qualified</t>
        </is>
      </c>
      <c r="P25" s="94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Baroda BNP Paribas Large and Mid Cap Fund-Regular Plan-Growth Option</t>
        </is>
      </c>
      <c r="C26" s="86" t="inlineStr">
        <is>
          <t>Baroda BNP Paribas Mutual Fund</t>
        </is>
      </c>
      <c r="D26" s="86" t="inlineStr">
        <is>
          <t>Large &amp; Mid Cap Fund</t>
        </is>
      </c>
      <c r="E26" s="87" t="n">
        <v>-2.95</v>
      </c>
      <c r="F26" s="88" t="n">
        <v>0.96</v>
      </c>
      <c r="G26" s="87" t="n">
        <v>-5.55</v>
      </c>
      <c r="H26" s="87" t="n">
        <v>-4.33</v>
      </c>
      <c r="I26" s="88" t="n">
        <v>1.498768465435085</v>
      </c>
      <c r="J26" s="88" t="n">
        <v>48.73</v>
      </c>
      <c r="K26" s="78" t="n">
        <v>40.3</v>
      </c>
      <c r="L26" s="18" t="n">
        <v>0</v>
      </c>
      <c r="M26" s="19" t="n">
        <v>22.2</v>
      </c>
      <c r="N26" s="89" t="inlineStr">
        <is>
          <t>➡️ Neutral</t>
        </is>
      </c>
      <c r="O26" s="89" t="inlineStr">
        <is>
          <t>🔴 Not Qualified</t>
        </is>
      </c>
      <c r="P26" s="89" t="inlineStr">
        <is>
          <t>🔴 Avoid</t>
        </is>
      </c>
      <c r="Q26" s="68" t="inlineStr">
        <is>
          <t>FULL</t>
        </is>
      </c>
    </row>
    <row r="27" ht="16" customHeight="1">
      <c r="A27" s="90" t="n">
        <v>23</v>
      </c>
      <c r="B27" s="91" t="inlineStr">
        <is>
          <t>DSP Large &amp; Mid Cap Fund - Regular Plan - Growth</t>
        </is>
      </c>
      <c r="C27" s="91" t="inlineStr">
        <is>
          <t>DSP Mutual Fund</t>
        </is>
      </c>
      <c r="D27" s="91" t="inlineStr">
        <is>
          <t>Large &amp; Mid Cap Fund</t>
        </is>
      </c>
      <c r="E27" s="92" t="n">
        <v>-1.92</v>
      </c>
      <c r="F27" s="93" t="n">
        <v>0.32</v>
      </c>
      <c r="G27" s="92" t="n">
        <v>-6.65</v>
      </c>
      <c r="H27" s="92" t="n">
        <v>-4.34</v>
      </c>
      <c r="I27" s="93" t="n">
        <v>2.493902257646519</v>
      </c>
      <c r="J27" s="93" t="n">
        <v>56.53</v>
      </c>
      <c r="K27" s="78" t="n">
        <v>39.4</v>
      </c>
      <c r="L27" s="18" t="n">
        <v>0</v>
      </c>
      <c r="M27" s="19" t="n">
        <v>21.7</v>
      </c>
      <c r="N27" s="94" t="inlineStr">
        <is>
          <t>📉 Weak</t>
        </is>
      </c>
      <c r="O27" s="94" t="inlineStr">
        <is>
          <t>🔴 Not Qualified</t>
        </is>
      </c>
      <c r="P27" s="94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Edelweiss Large &amp; Mid Cap Fund - Regular Plan - Growth Option</t>
        </is>
      </c>
      <c r="C28" s="86" t="inlineStr">
        <is>
          <t>Edelweiss Mutual Fund</t>
        </is>
      </c>
      <c r="D28" s="86" t="inlineStr">
        <is>
          <t>Large &amp; Mid Cap Fund</t>
        </is>
      </c>
      <c r="E28" s="87" t="n">
        <v>-3.83</v>
      </c>
      <c r="F28" s="88" t="n">
        <v>0.73</v>
      </c>
      <c r="G28" s="87" t="n">
        <v>-5.24</v>
      </c>
      <c r="H28" s="87" t="n">
        <v>-2.95</v>
      </c>
      <c r="I28" s="88" t="n">
        <v>3.619496235023267</v>
      </c>
      <c r="J28" s="88" t="n">
        <v>49.79</v>
      </c>
      <c r="K28" s="78" t="n">
        <v>36.9</v>
      </c>
      <c r="L28" s="18" t="n">
        <v>0</v>
      </c>
      <c r="M28" s="19" t="n">
        <v>20.3</v>
      </c>
      <c r="N28" s="89" t="inlineStr">
        <is>
          <t>📉 Weak</t>
        </is>
      </c>
      <c r="O28" s="89" t="inlineStr">
        <is>
          <t>🔴 Not Qualified</t>
        </is>
      </c>
      <c r="P28" s="89" t="inlineStr">
        <is>
          <t>🔴 Avoid</t>
        </is>
      </c>
      <c r="Q28" s="68" t="inlineStr">
        <is>
          <t>FULL</t>
        </is>
      </c>
    </row>
    <row r="29" ht="16" customHeight="1">
      <c r="A29" s="90" t="n">
        <v>25</v>
      </c>
      <c r="B29" s="91" t="inlineStr">
        <is>
          <t>Tata Large &amp; Mid Cap Fund- Regular Plan - Growth Option</t>
        </is>
      </c>
      <c r="C29" s="91" t="inlineStr">
        <is>
          <t>Tata Mutual Fund</t>
        </is>
      </c>
      <c r="D29" s="91" t="inlineStr">
        <is>
          <t>Large &amp; Mid Cap Fund</t>
        </is>
      </c>
      <c r="E29" s="92" t="n">
        <v>-1.78</v>
      </c>
      <c r="F29" s="93" t="n">
        <v>1.38</v>
      </c>
      <c r="G29" s="92" t="n">
        <v>-9.15</v>
      </c>
      <c r="H29" s="92" t="n">
        <v>-10.69</v>
      </c>
      <c r="I29" s="92" t="n">
        <v>-2.475644067750948</v>
      </c>
      <c r="J29" s="93" t="n">
        <v>25.53</v>
      </c>
      <c r="K29" s="78" t="n">
        <v>35.3</v>
      </c>
      <c r="L29" s="18" t="n">
        <v>0</v>
      </c>
      <c r="M29" s="19" t="n">
        <v>19.4</v>
      </c>
      <c r="N29" s="94" t="inlineStr">
        <is>
          <t>📉 Weak</t>
        </is>
      </c>
      <c r="O29" s="94" t="inlineStr">
        <is>
          <t>🔴 Not Qualified</t>
        </is>
      </c>
      <c r="P29" s="94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Kotak Large &amp; Midcap Fund - Growth-Regular</t>
        </is>
      </c>
      <c r="C30" s="86" t="inlineStr">
        <is>
          <t>Kotak Mahindra Mutual Fund</t>
        </is>
      </c>
      <c r="D30" s="86" t="inlineStr">
        <is>
          <t>Large &amp; Mid Cap Fund</t>
        </is>
      </c>
      <c r="E30" s="87" t="n">
        <v>-3.03</v>
      </c>
      <c r="F30" s="87" t="n">
        <v>-1.65</v>
      </c>
      <c r="G30" s="87" t="n">
        <v>-5.87</v>
      </c>
      <c r="H30" s="87" t="n">
        <v>-3.01</v>
      </c>
      <c r="I30" s="88" t="n">
        <v>1.252160470777119</v>
      </c>
      <c r="J30" s="88" t="n">
        <v>48.95</v>
      </c>
      <c r="K30" s="78" t="n">
        <v>34.4</v>
      </c>
      <c r="L30" s="18" t="n">
        <v>0</v>
      </c>
      <c r="M30" s="19" t="n">
        <v>18.9</v>
      </c>
      <c r="N30" s="89" t="inlineStr">
        <is>
          <t>📉 Weak</t>
        </is>
      </c>
      <c r="O30" s="89" t="inlineStr">
        <is>
          <t>🔴 Not Qualified</t>
        </is>
      </c>
      <c r="P30" s="89" t="inlineStr">
        <is>
          <t>🔴 Avoid</t>
        </is>
      </c>
      <c r="Q30" s="68" t="inlineStr">
        <is>
          <t>FULL</t>
        </is>
      </c>
    </row>
    <row r="31" ht="16" customHeight="1">
      <c r="A31" s="90" t="n">
        <v>27</v>
      </c>
      <c r="B31" s="91" t="inlineStr">
        <is>
          <t>HDFC Large and Mid Cap Fund - Growth Option</t>
        </is>
      </c>
      <c r="C31" s="91" t="inlineStr">
        <is>
          <t>HDFC Mutual Fund</t>
        </is>
      </c>
      <c r="D31" s="91" t="inlineStr">
        <is>
          <t>Large &amp; Mid Cap Fund</t>
        </is>
      </c>
      <c r="E31" s="92" t="n">
        <v>-3.17</v>
      </c>
      <c r="F31" s="93" t="n">
        <v>1.06</v>
      </c>
      <c r="G31" s="92" t="n">
        <v>-6.25</v>
      </c>
      <c r="H31" s="92" t="n">
        <v>-4.54</v>
      </c>
      <c r="I31" s="93" t="n">
        <v>1.410058672697745</v>
      </c>
      <c r="J31" s="93" t="n">
        <v>52.41</v>
      </c>
      <c r="K31" s="78" t="n">
        <v>33.7</v>
      </c>
      <c r="L31" s="18" t="n">
        <v>0</v>
      </c>
      <c r="M31" s="19" t="n">
        <v>18.5</v>
      </c>
      <c r="N31" s="94" t="inlineStr">
        <is>
          <t>📉 Weak</t>
        </is>
      </c>
      <c r="O31" s="94" t="inlineStr">
        <is>
          <t>🔴 Not Qualified</t>
        </is>
      </c>
      <c r="P31" s="94" t="inlineStr">
        <is>
          <t>🔴 Avoid</t>
        </is>
      </c>
      <c r="Q31" s="68" t="inlineStr">
        <is>
          <t>FULL</t>
        </is>
      </c>
    </row>
    <row r="32" ht="16" customHeight="1">
      <c r="A32" s="95" t="n">
        <v>28</v>
      </c>
      <c r="B32" s="96" t="inlineStr">
        <is>
          <t>Bajaj Finserv Large and Mid Cap Fund- Regular Plan- Growth</t>
        </is>
      </c>
      <c r="C32" s="96" t="inlineStr">
        <is>
          <t>Bajaj Finserv Mutual Fund</t>
        </is>
      </c>
      <c r="D32" s="96" t="inlineStr">
        <is>
          <t>Large &amp; Mid Cap Fund</t>
        </is>
      </c>
      <c r="E32" s="97" t="n">
        <v>-2.63</v>
      </c>
      <c r="F32" s="98" t="n">
        <v>0.41</v>
      </c>
      <c r="G32" s="97" t="n">
        <v>-6.61</v>
      </c>
      <c r="H32" s="97" t="n">
        <v>-5.43</v>
      </c>
      <c r="I32" s="98" t="n">
        <v>1.621848044601126</v>
      </c>
      <c r="J32" s="98" t="n">
        <v>0</v>
      </c>
      <c r="K32" s="78" t="n">
        <v>33.5</v>
      </c>
      <c r="L32" s="18" t="n">
        <v>0</v>
      </c>
      <c r="M32" s="19" t="n">
        <v>18.4</v>
      </c>
      <c r="N32" s="99" t="inlineStr">
        <is>
          <t>📉 Weak</t>
        </is>
      </c>
      <c r="O32" s="99" t="inlineStr">
        <is>
          <t>⏳ New Fund</t>
        </is>
      </c>
      <c r="P32" s="99" t="inlineStr">
        <is>
          <t>⏳ New Fund</t>
        </is>
      </c>
      <c r="Q32" s="100" t="inlineStr">
        <is>
          <t>MOMENTUM_ONLY</t>
        </is>
      </c>
    </row>
    <row r="33" ht="16" customHeight="1">
      <c r="A33" s="90" t="n">
        <v>29</v>
      </c>
      <c r="B33" s="91" t="inlineStr">
        <is>
          <t>UTI Large &amp; Mid Cap Fund - Regular Plan - Growth Option</t>
        </is>
      </c>
      <c r="C33" s="91" t="inlineStr">
        <is>
          <t>UTI Mutual Fund</t>
        </is>
      </c>
      <c r="D33" s="91" t="inlineStr">
        <is>
          <t>Large &amp; Mid Cap Fund</t>
        </is>
      </c>
      <c r="E33" s="92" t="n">
        <v>-3.77</v>
      </c>
      <c r="F33" s="92" t="n">
        <v>-0.42</v>
      </c>
      <c r="G33" s="92" t="n">
        <v>-6.11</v>
      </c>
      <c r="H33" s="92" t="n">
        <v>-2.4</v>
      </c>
      <c r="I33" s="93" t="n">
        <v>4.091306073081813</v>
      </c>
      <c r="J33" s="93" t="n">
        <v>61.84</v>
      </c>
      <c r="K33" s="78" t="n">
        <v>33.1</v>
      </c>
      <c r="L33" s="18" t="n">
        <v>0</v>
      </c>
      <c r="M33" s="19" t="n">
        <v>18.2</v>
      </c>
      <c r="N33" s="94" t="inlineStr">
        <is>
          <t>📉 Weak</t>
        </is>
      </c>
      <c r="O33" s="94" t="inlineStr">
        <is>
          <t>🔴 Not Qualified</t>
        </is>
      </c>
      <c r="P33" s="94" t="inlineStr">
        <is>
          <t>🔴 Avoid</t>
        </is>
      </c>
      <c r="Q33" s="68" t="inlineStr">
        <is>
          <t>FULL</t>
        </is>
      </c>
    </row>
    <row r="34" ht="16" customHeight="1">
      <c r="A34" s="95" t="n">
        <v>30</v>
      </c>
      <c r="B34" s="96" t="inlineStr">
        <is>
          <t>PGIM India Large and Midcap Fund - Regular Plan - Growth Option</t>
        </is>
      </c>
      <c r="C34" s="96" t="inlineStr">
        <is>
          <t>PGIM India Mutual Fund</t>
        </is>
      </c>
      <c r="D34" s="96" t="inlineStr">
        <is>
          <t>Large &amp; Mid Cap Fund</t>
        </is>
      </c>
      <c r="E34" s="97" t="n">
        <v>-3.07</v>
      </c>
      <c r="F34" s="98" t="n">
        <v>0.95</v>
      </c>
      <c r="G34" s="97" t="n">
        <v>-6.7</v>
      </c>
      <c r="H34" s="97" t="n">
        <v>-6.1</v>
      </c>
      <c r="I34" s="98" t="n">
        <v>2.620660687797161</v>
      </c>
      <c r="J34" s="98" t="n">
        <v>0</v>
      </c>
      <c r="K34" s="78" t="n">
        <v>26.3</v>
      </c>
      <c r="L34" s="18" t="n">
        <v>0</v>
      </c>
      <c r="M34" s="19" t="n">
        <v>14.5</v>
      </c>
      <c r="N34" s="99" t="inlineStr">
        <is>
          <t>📉 Weak</t>
        </is>
      </c>
      <c r="O34" s="99" t="inlineStr">
        <is>
          <t>⏳ New Fund</t>
        </is>
      </c>
      <c r="P34" s="99" t="inlineStr">
        <is>
          <t>⏳ New Fund</t>
        </is>
      </c>
      <c r="Q34" s="100" t="inlineStr">
        <is>
          <t>MOMENTUM_ONLY</t>
        </is>
      </c>
    </row>
    <row r="35" ht="16" customHeight="1">
      <c r="A35" s="90" t="n">
        <v>31</v>
      </c>
      <c r="B35" s="91" t="inlineStr">
        <is>
          <t>Sundaram Large and Midcap Fund Regular Plan - Growth</t>
        </is>
      </c>
      <c r="C35" s="91" t="inlineStr">
        <is>
          <t>Sundaram Mutual Fund</t>
        </is>
      </c>
      <c r="D35" s="91" t="inlineStr">
        <is>
          <t>Large &amp; Mid Cap Fund</t>
        </is>
      </c>
      <c r="E35" s="92" t="n">
        <v>-3.81</v>
      </c>
      <c r="F35" s="93" t="n">
        <v>0.28</v>
      </c>
      <c r="G35" s="92" t="n">
        <v>-6.74</v>
      </c>
      <c r="H35" s="92" t="n">
        <v>-3.62</v>
      </c>
      <c r="I35" s="93" t="n">
        <v>1.419919148064785</v>
      </c>
      <c r="J35" s="93" t="n">
        <v>41.31</v>
      </c>
      <c r="K35" s="78" t="n">
        <v>22.4</v>
      </c>
      <c r="L35" s="18" t="n">
        <v>0</v>
      </c>
      <c r="M35" s="19" t="n">
        <v>12.3</v>
      </c>
      <c r="N35" s="94" t="inlineStr">
        <is>
          <t>📉 Weak</t>
        </is>
      </c>
      <c r="O35" s="94" t="inlineStr">
        <is>
          <t>🔴 Not Qualified</t>
        </is>
      </c>
      <c r="P35" s="94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Franklin India Large &amp; Mid Cap Fund - Growth Plan</t>
        </is>
      </c>
      <c r="C36" s="86" t="inlineStr">
        <is>
          <t>Franklin Templeton Mutual Fund</t>
        </is>
      </c>
      <c r="D36" s="86" t="inlineStr">
        <is>
          <t>Large &amp; Mid Cap Fund</t>
        </is>
      </c>
      <c r="E36" s="87" t="n">
        <v>-3.45</v>
      </c>
      <c r="F36" s="88" t="n">
        <v>1.18</v>
      </c>
      <c r="G36" s="87" t="n">
        <v>-9.289999999999999</v>
      </c>
      <c r="H36" s="87" t="n">
        <v>-6.75</v>
      </c>
      <c r="I36" s="88" t="n">
        <v>2.425582741813082</v>
      </c>
      <c r="J36" s="88" t="n">
        <v>42.74</v>
      </c>
      <c r="K36" s="78" t="n">
        <v>20.1</v>
      </c>
      <c r="L36" s="18" t="n">
        <v>0</v>
      </c>
      <c r="M36" s="19" t="n">
        <v>11.1</v>
      </c>
      <c r="N36" s="89" t="inlineStr">
        <is>
          <t>📉 Weak</t>
        </is>
      </c>
      <c r="O36" s="89" t="inlineStr">
        <is>
          <t>🔴 Not Qualified</t>
        </is>
      </c>
      <c r="P36" s="89" t="inlineStr">
        <is>
          <t>🔴 Avoid</t>
        </is>
      </c>
      <c r="Q36" s="68" t="inlineStr">
        <is>
          <t>FULL</t>
        </is>
      </c>
    </row>
    <row r="37" ht="16" customHeight="1">
      <c r="A37" s="90" t="n">
        <v>33</v>
      </c>
      <c r="B37" s="91" t="inlineStr">
        <is>
          <t>CANARA ROBECO LARGE AND MID CAP FUND - REGULAR PLAN - GROWTH OPTION</t>
        </is>
      </c>
      <c r="C37" s="91" t="inlineStr">
        <is>
          <t>Canara Robeco Mutual Fund</t>
        </is>
      </c>
      <c r="D37" s="91" t="inlineStr">
        <is>
          <t>Large &amp; Mid Cap Fund</t>
        </is>
      </c>
      <c r="E37" s="92" t="n">
        <v>-4.21</v>
      </c>
      <c r="F37" s="93" t="n">
        <v>1.73</v>
      </c>
      <c r="G37" s="92" t="n">
        <v>-7.03</v>
      </c>
      <c r="H37" s="92" t="n">
        <v>-8.789999999999999</v>
      </c>
      <c r="I37" s="93" t="n">
        <v>0.498756211208895</v>
      </c>
      <c r="J37" s="93" t="n">
        <v>39.75</v>
      </c>
      <c r="K37" s="78" t="n">
        <v>19.1</v>
      </c>
      <c r="L37" s="18" t="n">
        <v>0</v>
      </c>
      <c r="M37" s="19" t="n">
        <v>10.5</v>
      </c>
      <c r="N37" s="94" t="inlineStr">
        <is>
          <t>📉 Weak</t>
        </is>
      </c>
      <c r="O37" s="94" t="inlineStr">
        <is>
          <t>🔴 Not Qualified</t>
        </is>
      </c>
      <c r="P37" s="94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ICICI Prudential Large &amp; Mid Cap Fund - Growth</t>
        </is>
      </c>
      <c r="C38" s="86" t="inlineStr">
        <is>
          <t>ICICI Prudential Mutual Fund</t>
        </is>
      </c>
      <c r="D38" s="86" t="inlineStr">
        <is>
          <t>Large &amp; Mid Cap Fund</t>
        </is>
      </c>
      <c r="E38" s="87" t="n">
        <v>-3.85</v>
      </c>
      <c r="F38" s="87" t="n">
        <v>-0.47</v>
      </c>
      <c r="G38" s="87" t="n">
        <v>-7.09</v>
      </c>
      <c r="H38" s="87" t="n">
        <v>-3.75</v>
      </c>
      <c r="I38" s="88" t="n">
        <v>3.624321469431102</v>
      </c>
      <c r="J38" s="88" t="n">
        <v>57.78</v>
      </c>
      <c r="K38" s="78" t="n">
        <v>16.6</v>
      </c>
      <c r="L38" s="18" t="n">
        <v>0</v>
      </c>
      <c r="M38" s="19" t="n">
        <v>9.1</v>
      </c>
      <c r="N38" s="89" t="inlineStr">
        <is>
          <t>📉 Weak</t>
        </is>
      </c>
      <c r="O38" s="89" t="inlineStr">
        <is>
          <t>🔴 Not Qualified</t>
        </is>
      </c>
      <c r="P38" s="89" t="inlineStr">
        <is>
          <t>🔴 Avoid</t>
        </is>
      </c>
      <c r="Q38" s="68" t="inlineStr">
        <is>
          <t>FULL</t>
        </is>
      </c>
    </row>
    <row r="39" ht="16" customHeight="1">
      <c r="A39" s="90" t="n">
        <v>35</v>
      </c>
      <c r="B39" s="91" t="inlineStr">
        <is>
          <t>LIC MF Large &amp; Mid Cap Fund-Regular Plan-Growth</t>
        </is>
      </c>
      <c r="C39" s="91" t="inlineStr">
        <is>
          <t>LIC Mutual Fund</t>
        </is>
      </c>
      <c r="D39" s="91" t="inlineStr">
        <is>
          <t>Large &amp; Mid Cap Fund</t>
        </is>
      </c>
      <c r="E39" s="92" t="n">
        <v>-4</v>
      </c>
      <c r="F39" s="92" t="n">
        <v>-1.03</v>
      </c>
      <c r="G39" s="92" t="n">
        <v>-7.1</v>
      </c>
      <c r="H39" s="92" t="n">
        <v>-8.699999999999999</v>
      </c>
      <c r="I39" s="93" t="n">
        <v>0.3194896318756246</v>
      </c>
      <c r="J39" s="93" t="n">
        <v>46.39</v>
      </c>
      <c r="K39" s="78" t="n">
        <v>7.1</v>
      </c>
      <c r="L39" s="18" t="n">
        <v>0</v>
      </c>
      <c r="M39" s="19" t="n">
        <v>3.9</v>
      </c>
      <c r="N39" s="94" t="inlineStr">
        <is>
          <t>📉 Weak</t>
        </is>
      </c>
      <c r="O39" s="94" t="inlineStr">
        <is>
          <t>🔴 Not Qualified</t>
        </is>
      </c>
      <c r="P39" s="94" t="inlineStr">
        <is>
          <t>🔴 Avoid</t>
        </is>
      </c>
      <c r="Q39" s="68" t="inlineStr">
        <is>
          <t>FULL</t>
        </is>
      </c>
    </row>
  </sheetData>
  <autoFilter ref="A4:Q3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quant Large Cap Fund - Growth Option - Regular Plan</t>
        </is>
      </c>
      <c r="C5" s="65" t="inlineStr">
        <is>
          <t>quant Mutual Fund</t>
        </is>
      </c>
      <c r="D5" s="65" t="inlineStr">
        <is>
          <t>Large Cap Fund</t>
        </is>
      </c>
      <c r="E5" s="67" t="n">
        <v>1.82</v>
      </c>
      <c r="F5" s="67" t="n">
        <v>7.73</v>
      </c>
      <c r="G5" s="66" t="n">
        <v>-0.87</v>
      </c>
      <c r="H5" s="67" t="n">
        <v>1.7</v>
      </c>
      <c r="I5" s="66" t="n">
        <v>-0.1551203115552902</v>
      </c>
      <c r="J5" s="67" t="n">
        <v>51.06</v>
      </c>
      <c r="K5" s="17" t="n">
        <v>100</v>
      </c>
      <c r="L5" s="18" t="n">
        <v>0</v>
      </c>
      <c r="M5" s="21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Invesco India Largecap Fund - Regular Plan - Growth</t>
        </is>
      </c>
      <c r="C6" s="70" t="inlineStr">
        <is>
          <t>Invesco Mutual Fund</t>
        </is>
      </c>
      <c r="D6" s="70" t="inlineStr">
        <is>
          <t>Large Cap Fund</t>
        </is>
      </c>
      <c r="E6" s="71" t="n">
        <v>-1.76</v>
      </c>
      <c r="F6" s="72" t="n">
        <v>3.22</v>
      </c>
      <c r="G6" s="71" t="n">
        <v>-5.76</v>
      </c>
      <c r="H6" s="71" t="n">
        <v>-3.73</v>
      </c>
      <c r="I6" s="72" t="n">
        <v>3.033974979130072</v>
      </c>
      <c r="J6" s="72" t="n">
        <v>44.06</v>
      </c>
      <c r="K6" s="17" t="n">
        <v>97.40000000000001</v>
      </c>
      <c r="L6" s="18" t="n">
        <v>0</v>
      </c>
      <c r="M6" s="21" t="n">
        <v>53.6</v>
      </c>
      <c r="N6" s="28" t="inlineStr">
        <is>
          <t>🔥 Hot</t>
        </is>
      </c>
      <c r="O6" s="28" t="inlineStr">
        <is>
          <t>🔴 Not Qualified</t>
        </is>
      </c>
      <c r="P6" s="28" t="inlineStr">
        <is>
          <t>⚠️ Watch</t>
        </is>
      </c>
      <c r="Q6" s="68" t="inlineStr">
        <is>
          <t>FULL</t>
        </is>
      </c>
    </row>
    <row r="7" ht="16" customHeight="1">
      <c r="A7" s="74" t="n">
        <v>3</v>
      </c>
      <c r="B7" s="75" t="inlineStr">
        <is>
          <t>SBI Large Cap FUND-REGULAR PLAN GROWTH</t>
        </is>
      </c>
      <c r="C7" s="75" t="inlineStr">
        <is>
          <t>SBI Mutual Fund</t>
        </is>
      </c>
      <c r="D7" s="75" t="inlineStr">
        <is>
          <t>Large Cap Fund</t>
        </is>
      </c>
      <c r="E7" s="76" t="n">
        <v>-2.07</v>
      </c>
      <c r="F7" s="77" t="n">
        <v>0.71</v>
      </c>
      <c r="G7" s="76" t="n">
        <v>-6.56</v>
      </c>
      <c r="H7" s="76" t="n">
        <v>-3.13</v>
      </c>
      <c r="I7" s="77" t="n">
        <v>2.5377979088687</v>
      </c>
      <c r="J7" s="77" t="n">
        <v>32.28</v>
      </c>
      <c r="K7" s="17" t="n">
        <v>92.09999999999999</v>
      </c>
      <c r="L7" s="18" t="n">
        <v>0</v>
      </c>
      <c r="M7" s="21" t="n">
        <v>50.7</v>
      </c>
      <c r="N7" s="79" t="inlineStr">
        <is>
          <t>🔥 Hot</t>
        </is>
      </c>
      <c r="O7" s="79" t="inlineStr">
        <is>
          <t>🔴 Not Qualified</t>
        </is>
      </c>
      <c r="P7" s="79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BANK OF INDIA Large Cap Fund Regular Plan Growth</t>
        </is>
      </c>
      <c r="C8" s="86" t="inlineStr">
        <is>
          <t>Bank of India Mutual Fund</t>
        </is>
      </c>
      <c r="D8" s="86" t="inlineStr">
        <is>
          <t>Large Cap Fund</t>
        </is>
      </c>
      <c r="E8" s="87" t="n">
        <v>-2.33</v>
      </c>
      <c r="F8" s="88" t="n">
        <v>1.14</v>
      </c>
      <c r="G8" s="87" t="n">
        <v>-2.86</v>
      </c>
      <c r="H8" s="87" t="n">
        <v>-0.31</v>
      </c>
      <c r="I8" s="88" t="n">
        <v>0.3145054316672669</v>
      </c>
      <c r="J8" s="88" t="n">
        <v>44.74</v>
      </c>
      <c r="K8" s="17" t="n">
        <v>91.59999999999999</v>
      </c>
      <c r="L8" s="18" t="n">
        <v>0</v>
      </c>
      <c r="M8" s="21" t="n">
        <v>50.4</v>
      </c>
      <c r="N8" s="89" t="inlineStr">
        <is>
          <t>🔥 Hot</t>
        </is>
      </c>
      <c r="O8" s="89" t="inlineStr">
        <is>
          <t>🔴 Not Qualified</t>
        </is>
      </c>
      <c r="P8" s="89" t="inlineStr">
        <is>
          <t>⚠️ Watch</t>
        </is>
      </c>
      <c r="Q8" s="68" t="inlineStr">
        <is>
          <t>FULL</t>
        </is>
      </c>
    </row>
    <row r="9" ht="16" customHeight="1">
      <c r="A9" s="90" t="n">
        <v>5</v>
      </c>
      <c r="B9" s="91" t="inlineStr">
        <is>
          <t>Tata Large Cap Fund -Regular Plan - Growth Option</t>
        </is>
      </c>
      <c r="C9" s="91" t="inlineStr">
        <is>
          <t>Tata Mutual Fund</t>
        </is>
      </c>
      <c r="D9" s="91" t="inlineStr">
        <is>
          <t>Large Cap Fund</t>
        </is>
      </c>
      <c r="E9" s="92" t="n">
        <v>-1.95</v>
      </c>
      <c r="F9" s="93" t="n">
        <v>0.78</v>
      </c>
      <c r="G9" s="92" t="n">
        <v>-7.76</v>
      </c>
      <c r="H9" s="92" t="n">
        <v>-3.91</v>
      </c>
      <c r="I9" s="93" t="n">
        <v>0.3992031840890586</v>
      </c>
      <c r="J9" s="93" t="n">
        <v>36</v>
      </c>
      <c r="K9" s="17" t="n">
        <v>89.59999999999999</v>
      </c>
      <c r="L9" s="18" t="n">
        <v>0</v>
      </c>
      <c r="M9" s="19" t="n">
        <v>49.3</v>
      </c>
      <c r="N9" s="94" t="inlineStr">
        <is>
          <t>⭐ Strong</t>
        </is>
      </c>
      <c r="O9" s="94" t="inlineStr">
        <is>
          <t>🔴 Not Qualified</t>
        </is>
      </c>
      <c r="P9" s="94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BAJAJ FINSERV LARGE CAP FUND - REGULAR PLAN - GROWTH</t>
        </is>
      </c>
      <c r="C10" s="96" t="inlineStr">
        <is>
          <t>Bajaj Finserv Mutual Fund</t>
        </is>
      </c>
      <c r="D10" s="96" t="inlineStr">
        <is>
          <t>Large Cap Fund</t>
        </is>
      </c>
      <c r="E10" s="97" t="n">
        <v>-1.77</v>
      </c>
      <c r="F10" s="97" t="n">
        <v>-1.32</v>
      </c>
      <c r="G10" s="97" t="n">
        <v>-7.27</v>
      </c>
      <c r="H10" s="97" t="n">
        <v>-4.03</v>
      </c>
      <c r="I10" s="98" t="n">
        <v>0</v>
      </c>
      <c r="J10" s="98" t="n">
        <v>0</v>
      </c>
      <c r="K10" s="17" t="n">
        <v>80.3</v>
      </c>
      <c r="L10" s="18" t="n">
        <v>0</v>
      </c>
      <c r="M10" s="19" t="n">
        <v>44.2</v>
      </c>
      <c r="N10" s="99" t="inlineStr">
        <is>
          <t>⭐ Strong</t>
        </is>
      </c>
      <c r="O10" s="99" t="inlineStr">
        <is>
          <t>⏳ New Fund</t>
        </is>
      </c>
      <c r="P10" s="99" t="inlineStr">
        <is>
          <t>🔥 Hot Momentum</t>
        </is>
      </c>
      <c r="Q10" s="100" t="inlineStr">
        <is>
          <t>MOMENTUM_ONLY</t>
        </is>
      </c>
    </row>
    <row r="11" ht="16" customHeight="1">
      <c r="A11" s="90" t="n">
        <v>7</v>
      </c>
      <c r="B11" s="91" t="inlineStr">
        <is>
          <t>WhiteOak Capital Large Cap Fund Regular Plan Growth</t>
        </is>
      </c>
      <c r="C11" s="91" t="inlineStr">
        <is>
          <t>WhiteOak Capital Mutual Fund</t>
        </is>
      </c>
      <c r="D11" s="91" t="inlineStr">
        <is>
          <t>Large Cap Fund</t>
        </is>
      </c>
      <c r="E11" s="92" t="n">
        <v>-2.03</v>
      </c>
      <c r="F11" s="93" t="n">
        <v>0.35</v>
      </c>
      <c r="G11" s="92" t="n">
        <v>-8.380000000000001</v>
      </c>
      <c r="H11" s="92" t="n">
        <v>-4.68</v>
      </c>
      <c r="I11" s="93" t="n">
        <v>2.630404851583812</v>
      </c>
      <c r="J11" s="93" t="n">
        <v>42.52</v>
      </c>
      <c r="K11" s="73" t="n">
        <v>74.90000000000001</v>
      </c>
      <c r="L11" s="18" t="n">
        <v>0</v>
      </c>
      <c r="M11" s="19" t="n">
        <v>41.2</v>
      </c>
      <c r="N11" s="94" t="inlineStr">
        <is>
          <t>📈 Good</t>
        </is>
      </c>
      <c r="O11" s="94" t="inlineStr">
        <is>
          <t>🔴 Not Qualified</t>
        </is>
      </c>
      <c r="P11" s="94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Groww Largecap Fund (formerly known as Indiabulls Bluechip Fund)- Regular Plan- - Income Distribution cum capital withdrawal Option (Payout &amp; Reinvestment)</t>
        </is>
      </c>
      <c r="C12" s="86" t="inlineStr">
        <is>
          <t>Groww Mutual Fund</t>
        </is>
      </c>
      <c r="D12" s="86" t="inlineStr">
        <is>
          <t>Large Cap Fund</t>
        </is>
      </c>
      <c r="E12" s="87" t="n">
        <v>-2.51</v>
      </c>
      <c r="F12" s="87" t="n">
        <v>-0.61</v>
      </c>
      <c r="G12" s="87" t="n">
        <v>-8.23</v>
      </c>
      <c r="H12" s="87" t="n">
        <v>-4.33</v>
      </c>
      <c r="I12" s="87" t="n">
        <v>-0.8788619920049534</v>
      </c>
      <c r="J12" s="88" t="n">
        <v>33.26</v>
      </c>
      <c r="K12" s="73" t="n">
        <v>72.7</v>
      </c>
      <c r="L12" s="18" t="n">
        <v>0</v>
      </c>
      <c r="M12" s="19" t="n">
        <v>40</v>
      </c>
      <c r="N12" s="89" t="inlineStr">
        <is>
          <t>📈 Good</t>
        </is>
      </c>
      <c r="O12" s="89" t="inlineStr">
        <is>
          <t>🔴 Not Qualified</t>
        </is>
      </c>
      <c r="P12" s="89" t="inlineStr">
        <is>
          <t>⚠️ Watch</t>
        </is>
      </c>
      <c r="Q12" s="68" t="inlineStr">
        <is>
          <t>FULL</t>
        </is>
      </c>
    </row>
    <row r="13" ht="16" customHeight="1">
      <c r="A13" s="90" t="n">
        <v>9</v>
      </c>
      <c r="B13" s="91" t="inlineStr">
        <is>
          <t>Groww Largecap Fund (formerly known as Indiabulls Blue Chip Fund) - Regular Plan- Growth Option</t>
        </is>
      </c>
      <c r="C13" s="91" t="inlineStr">
        <is>
          <t>Groww Mutual Fund</t>
        </is>
      </c>
      <c r="D13" s="91" t="inlineStr">
        <is>
          <t>Large Cap Fund</t>
        </is>
      </c>
      <c r="E13" s="92" t="n">
        <v>-2.54</v>
      </c>
      <c r="F13" s="92" t="n">
        <v>-0.63</v>
      </c>
      <c r="G13" s="92" t="n">
        <v>-8.24</v>
      </c>
      <c r="H13" s="92" t="n">
        <v>-4.34</v>
      </c>
      <c r="I13" s="92" t="n">
        <v>-0.8839064530890561</v>
      </c>
      <c r="J13" s="93" t="n">
        <v>33.18</v>
      </c>
      <c r="K13" s="73" t="n">
        <v>68.5</v>
      </c>
      <c r="L13" s="18" t="n">
        <v>0</v>
      </c>
      <c r="M13" s="19" t="n">
        <v>37.7</v>
      </c>
      <c r="N13" s="94" t="inlineStr">
        <is>
          <t>📈 Good</t>
        </is>
      </c>
      <c r="O13" s="94" t="inlineStr">
        <is>
          <t>🔴 Not Qualified</t>
        </is>
      </c>
      <c r="P13" s="94" t="inlineStr">
        <is>
          <t>🔴 Avoid</t>
        </is>
      </c>
      <c r="Q13" s="68" t="inlineStr">
        <is>
          <t>FULL</t>
        </is>
      </c>
    </row>
    <row r="14" ht="16" customHeight="1">
      <c r="A14" s="95" t="n">
        <v>10</v>
      </c>
      <c r="B14" s="96" t="inlineStr">
        <is>
          <t>Samco Large Cap Fund - Regular Plan - Growth Option</t>
        </is>
      </c>
      <c r="C14" s="96" t="inlineStr">
        <is>
          <t>Samco Mutual Fund</t>
        </is>
      </c>
      <c r="D14" s="96" t="inlineStr">
        <is>
          <t>Large Cap Fund</t>
        </is>
      </c>
      <c r="E14" s="97" t="n">
        <v>-2.2</v>
      </c>
      <c r="F14" s="98" t="n">
        <v>0.68</v>
      </c>
      <c r="G14" s="97" t="n">
        <v>-4.82</v>
      </c>
      <c r="H14" s="97" t="n">
        <v>-11.11</v>
      </c>
      <c r="I14" s="98" t="n">
        <v>0</v>
      </c>
      <c r="J14" s="98" t="n">
        <v>0</v>
      </c>
      <c r="K14" s="73" t="n">
        <v>68.09999999999999</v>
      </c>
      <c r="L14" s="18" t="n">
        <v>0</v>
      </c>
      <c r="M14" s="19" t="n">
        <v>37.5</v>
      </c>
      <c r="N14" s="99" t="inlineStr">
        <is>
          <t>📈 Good</t>
        </is>
      </c>
      <c r="O14" s="99" t="inlineStr">
        <is>
          <t>⏳ New Fund</t>
        </is>
      </c>
      <c r="P14" s="99" t="inlineStr">
        <is>
          <t>📈 Momentum Only</t>
        </is>
      </c>
      <c r="Q14" s="100" t="inlineStr">
        <is>
          <t>MOMENTUM_ONLY</t>
        </is>
      </c>
    </row>
    <row r="15" ht="16" customHeight="1">
      <c r="A15" s="90" t="n">
        <v>11</v>
      </c>
      <c r="B15" s="91" t="inlineStr">
        <is>
          <t>Groww Largecap Fund (formerly known as Indiabulls Bluechip Fund)- Regular Plan- Quarterly - Income Distribution cum capital withdrawal Option (Payout &amp; Reinvestment)</t>
        </is>
      </c>
      <c r="C15" s="91" t="inlineStr">
        <is>
          <t>Groww Mutual Fund</t>
        </is>
      </c>
      <c r="D15" s="91" t="inlineStr">
        <is>
          <t>Large Cap Fund</t>
        </is>
      </c>
      <c r="E15" s="92" t="n">
        <v>-2.53</v>
      </c>
      <c r="F15" s="92" t="n">
        <v>-0.65</v>
      </c>
      <c r="G15" s="92" t="n">
        <v>-8.26</v>
      </c>
      <c r="H15" s="92" t="n">
        <v>-4.33</v>
      </c>
      <c r="I15" s="92" t="n">
        <v>-0.8939961455412093</v>
      </c>
      <c r="J15" s="93" t="n">
        <v>33.19</v>
      </c>
      <c r="K15" s="73" t="n">
        <v>66.59999999999999</v>
      </c>
      <c r="L15" s="18" t="n">
        <v>0</v>
      </c>
      <c r="M15" s="19" t="n">
        <v>36.7</v>
      </c>
      <c r="N15" s="94" t="inlineStr">
        <is>
          <t>📈 Good</t>
        </is>
      </c>
      <c r="O15" s="94" t="inlineStr">
        <is>
          <t>🔴 Not Qualified</t>
        </is>
      </c>
      <c r="P15" s="94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Groww Largecap Fund (formerly known as Indiabulls Bluechip Fund)- Regular Plan- Monthly - Income Distribution cum capital withdrawal Option (Payout &amp; Reinvestment)</t>
        </is>
      </c>
      <c r="C16" s="86" t="inlineStr">
        <is>
          <t>Groww Mutual Fund</t>
        </is>
      </c>
      <c r="D16" s="86" t="inlineStr">
        <is>
          <t>Large Cap Fund</t>
        </is>
      </c>
      <c r="E16" s="87" t="n">
        <v>-2.53</v>
      </c>
      <c r="F16" s="87" t="n">
        <v>-0.64</v>
      </c>
      <c r="G16" s="87" t="n">
        <v>-8.25</v>
      </c>
      <c r="H16" s="87" t="n">
        <v>-4.36</v>
      </c>
      <c r="I16" s="87" t="n">
        <v>-0.8839064530890561</v>
      </c>
      <c r="J16" s="88" t="n">
        <v>33.14</v>
      </c>
      <c r="K16" s="73" t="n">
        <v>66.5</v>
      </c>
      <c r="L16" s="18" t="n">
        <v>0</v>
      </c>
      <c r="M16" s="19" t="n">
        <v>36.6</v>
      </c>
      <c r="N16" s="89" t="inlineStr">
        <is>
          <t>📈 Good</t>
        </is>
      </c>
      <c r="O16" s="89" t="inlineStr">
        <is>
          <t>🔴 Not Qualified</t>
        </is>
      </c>
      <c r="P16" s="89" t="inlineStr">
        <is>
          <t>🔴 Avoid</t>
        </is>
      </c>
      <c r="Q16" s="68" t="inlineStr">
        <is>
          <t>FULL</t>
        </is>
      </c>
    </row>
    <row r="17" ht="16" customHeight="1">
      <c r="A17" s="90" t="n">
        <v>13</v>
      </c>
      <c r="B17" s="91" t="inlineStr">
        <is>
          <t>Groww Largecap Fund (formerly known as Indiabulls Bluechip Fund)- Regular Plan- Half Yearly - Income Distribution cum capital withdrawal Option (Payout &amp; Reinvestment)</t>
        </is>
      </c>
      <c r="C17" s="91" t="inlineStr">
        <is>
          <t>Groww Mutual Fund</t>
        </is>
      </c>
      <c r="D17" s="91" t="inlineStr">
        <is>
          <t>Large Cap Fund</t>
        </is>
      </c>
      <c r="E17" s="92" t="n">
        <v>-2.55</v>
      </c>
      <c r="F17" s="92" t="n">
        <v>-0.65</v>
      </c>
      <c r="G17" s="92" t="n">
        <v>-8.25</v>
      </c>
      <c r="H17" s="92" t="n">
        <v>-4.34</v>
      </c>
      <c r="I17" s="92" t="n">
        <v>-0.8889511709214148</v>
      </c>
      <c r="J17" s="93" t="n">
        <v>33.15</v>
      </c>
      <c r="K17" s="73" t="n">
        <v>64.90000000000001</v>
      </c>
      <c r="L17" s="18" t="n">
        <v>0</v>
      </c>
      <c r="M17" s="19" t="n">
        <v>35.7</v>
      </c>
      <c r="N17" s="94" t="inlineStr">
        <is>
          <t>📈 Good</t>
        </is>
      </c>
      <c r="O17" s="94" t="inlineStr">
        <is>
          <t>🔴 Not Qualified</t>
        </is>
      </c>
      <c r="P17" s="94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BANDHAN Large Cap Fund - Regular Plan - Growth</t>
        </is>
      </c>
      <c r="C18" s="86" t="inlineStr">
        <is>
          <t>Bandhan Mutual Fund</t>
        </is>
      </c>
      <c r="D18" s="86" t="inlineStr">
        <is>
          <t>Large Cap Fund</t>
        </is>
      </c>
      <c r="E18" s="87" t="n">
        <v>-2.97</v>
      </c>
      <c r="F18" s="87" t="n">
        <v>-0.17</v>
      </c>
      <c r="G18" s="87" t="n">
        <v>-8.369999999999999</v>
      </c>
      <c r="H18" s="87" t="n">
        <v>-3.96</v>
      </c>
      <c r="I18" s="88" t="n">
        <v>1.90682018393078</v>
      </c>
      <c r="J18" s="88" t="n">
        <v>40.61</v>
      </c>
      <c r="K18" s="73" t="n">
        <v>61.9</v>
      </c>
      <c r="L18" s="18" t="n">
        <v>0</v>
      </c>
      <c r="M18" s="19" t="n">
        <v>34</v>
      </c>
      <c r="N18" s="89" t="inlineStr">
        <is>
          <t>📈 Good</t>
        </is>
      </c>
      <c r="O18" s="89" t="inlineStr">
        <is>
          <t>🔴 Not Qualified</t>
        </is>
      </c>
      <c r="P18" s="89" t="inlineStr">
        <is>
          <t>🔴 Avoid</t>
        </is>
      </c>
      <c r="Q18" s="68" t="inlineStr">
        <is>
          <t>FULL</t>
        </is>
      </c>
    </row>
    <row r="19" ht="16" customHeight="1">
      <c r="A19" s="90" t="n">
        <v>15</v>
      </c>
      <c r="B19" s="91" t="inlineStr">
        <is>
          <t>Mirae Asset Large Cap Fund - Growth Plan</t>
        </is>
      </c>
      <c r="C19" s="91" t="inlineStr">
        <is>
          <t>Mirae Asset Mutual Fund</t>
        </is>
      </c>
      <c r="D19" s="91" t="inlineStr">
        <is>
          <t>Large Cap Fund</t>
        </is>
      </c>
      <c r="E19" s="92" t="n">
        <v>-2.06</v>
      </c>
      <c r="F19" s="92" t="n">
        <v>-0.35</v>
      </c>
      <c r="G19" s="92" t="n">
        <v>-9.91</v>
      </c>
      <c r="H19" s="92" t="n">
        <v>-6.19</v>
      </c>
      <c r="I19" s="93" t="n">
        <v>1.607086367044297</v>
      </c>
      <c r="J19" s="93" t="n">
        <v>28.83</v>
      </c>
      <c r="K19" s="73" t="n">
        <v>55.3</v>
      </c>
      <c r="L19" s="18" t="n">
        <v>0</v>
      </c>
      <c r="M19" s="19" t="n">
        <v>30.4</v>
      </c>
      <c r="N19" s="94" t="inlineStr">
        <is>
          <t>➡️ Neutral</t>
        </is>
      </c>
      <c r="O19" s="94" t="inlineStr">
        <is>
          <t>🔴 Not Qualified</t>
        </is>
      </c>
      <c r="P19" s="94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Sundaram Large Cap Fund(Formerly Known as Sundaram Blue Chip Fund) Regular Plan - Growth</t>
        </is>
      </c>
      <c r="C20" s="86" t="inlineStr">
        <is>
          <t>Sundaram Mutual Fund</t>
        </is>
      </c>
      <c r="D20" s="86" t="inlineStr">
        <is>
          <t>Large Cap Fund</t>
        </is>
      </c>
      <c r="E20" s="87" t="n">
        <v>-2.09</v>
      </c>
      <c r="F20" s="87" t="n">
        <v>-1.03</v>
      </c>
      <c r="G20" s="87" t="n">
        <v>-8.869999999999999</v>
      </c>
      <c r="H20" s="87" t="n">
        <v>-6.78</v>
      </c>
      <c r="I20" s="87" t="n">
        <v>-0.8738177876298936</v>
      </c>
      <c r="J20" s="88" t="n">
        <v>25.73</v>
      </c>
      <c r="K20" s="73" t="n">
        <v>55.1</v>
      </c>
      <c r="L20" s="18" t="n">
        <v>0</v>
      </c>
      <c r="M20" s="19" t="n">
        <v>30.3</v>
      </c>
      <c r="N20" s="89" t="inlineStr">
        <is>
          <t>➡️ Neutral</t>
        </is>
      </c>
      <c r="O20" s="89" t="inlineStr">
        <is>
          <t>🔴 Not Qualified</t>
        </is>
      </c>
      <c r="P20" s="89" t="inlineStr">
        <is>
          <t>🔴 Avoid</t>
        </is>
      </c>
      <c r="Q20" s="68" t="inlineStr">
        <is>
          <t>FULL</t>
        </is>
      </c>
    </row>
    <row r="21" ht="16" customHeight="1">
      <c r="A21" s="90" t="n">
        <v>17</v>
      </c>
      <c r="B21" s="91" t="inlineStr">
        <is>
          <t>Taurus Large Cap Fund - Regular Plan - Payout of Income Distribution cum Capital Withdrawal option</t>
        </is>
      </c>
      <c r="C21" s="91" t="inlineStr">
        <is>
          <t>Taurus Mutual Fund</t>
        </is>
      </c>
      <c r="D21" s="91" t="inlineStr">
        <is>
          <t>Large Cap Fund</t>
        </is>
      </c>
      <c r="E21" s="92" t="n">
        <v>-3.02</v>
      </c>
      <c r="F21" s="92" t="n">
        <v>-1.48</v>
      </c>
      <c r="G21" s="92" t="n">
        <v>-7.03</v>
      </c>
      <c r="H21" s="92" t="n">
        <v>-4.45</v>
      </c>
      <c r="I21" s="93" t="n">
        <v>0.0999500499375916</v>
      </c>
      <c r="J21" s="93" t="n">
        <v>39.93</v>
      </c>
      <c r="K21" s="73" t="n">
        <v>54</v>
      </c>
      <c r="L21" s="18" t="n">
        <v>0</v>
      </c>
      <c r="M21" s="19" t="n">
        <v>29.7</v>
      </c>
      <c r="N21" s="94" t="inlineStr">
        <is>
          <t>➡️ Neutral</t>
        </is>
      </c>
      <c r="O21" s="94" t="inlineStr">
        <is>
          <t>🔴 Not Qualified</t>
        </is>
      </c>
      <c r="P21" s="94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BARODA BNP PARIBAS LARGE CAP Fund- Regular Plan - Growth Option</t>
        </is>
      </c>
      <c r="C22" s="86" t="inlineStr">
        <is>
          <t>Baroda BNP Paribas Mutual Fund</t>
        </is>
      </c>
      <c r="D22" s="86" t="inlineStr">
        <is>
          <t>Large Cap Fund</t>
        </is>
      </c>
      <c r="E22" s="87" t="n">
        <v>-3.29</v>
      </c>
      <c r="F22" s="87" t="n">
        <v>-0.68</v>
      </c>
      <c r="G22" s="87" t="n">
        <v>-7.3</v>
      </c>
      <c r="H22" s="87" t="n">
        <v>-5.41</v>
      </c>
      <c r="I22" s="87" t="n">
        <v>-0.1551203115552902</v>
      </c>
      <c r="J22" s="88" t="n">
        <v>39.79</v>
      </c>
      <c r="K22" s="73" t="n">
        <v>53.6</v>
      </c>
      <c r="L22" s="18" t="n">
        <v>0</v>
      </c>
      <c r="M22" s="19" t="n">
        <v>29.5</v>
      </c>
      <c r="N22" s="89" t="inlineStr">
        <is>
          <t>➡️ Neutral</t>
        </is>
      </c>
      <c r="O22" s="89" t="inlineStr">
        <is>
          <t>🔴 Not Qualified</t>
        </is>
      </c>
      <c r="P22" s="89" t="inlineStr">
        <is>
          <t>🔴 Avoid</t>
        </is>
      </c>
      <c r="Q22" s="68" t="inlineStr">
        <is>
          <t>FULL</t>
        </is>
      </c>
    </row>
    <row r="23" ht="16" customHeight="1">
      <c r="A23" s="90" t="n">
        <v>19</v>
      </c>
      <c r="B23" s="91" t="inlineStr">
        <is>
          <t>Axis Large Cap Fund - Regular Plan - Growth</t>
        </is>
      </c>
      <c r="C23" s="91" t="inlineStr">
        <is>
          <t>Axis Mutual Fund</t>
        </is>
      </c>
      <c r="D23" s="91" t="inlineStr">
        <is>
          <t>Large Cap Fund</t>
        </is>
      </c>
      <c r="E23" s="92" t="n">
        <v>-1.9</v>
      </c>
      <c r="F23" s="92" t="n">
        <v>-1.16</v>
      </c>
      <c r="G23" s="92" t="n">
        <v>-9.119999999999999</v>
      </c>
      <c r="H23" s="92" t="n">
        <v>-6.78</v>
      </c>
      <c r="I23" s="92" t="n">
        <v>-0.5615768427515766</v>
      </c>
      <c r="J23" s="93" t="n">
        <v>26.93</v>
      </c>
      <c r="K23" s="73" t="n">
        <v>53.2</v>
      </c>
      <c r="L23" s="18" t="n">
        <v>0</v>
      </c>
      <c r="M23" s="19" t="n">
        <v>29.3</v>
      </c>
      <c r="N23" s="94" t="inlineStr">
        <is>
          <t>➡️ Neutral</t>
        </is>
      </c>
      <c r="O23" s="94" t="inlineStr">
        <is>
          <t>🔴 Not Qualified</t>
        </is>
      </c>
      <c r="P23" s="94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Union Largecap Fund - Regular Plan - Growth Option</t>
        </is>
      </c>
      <c r="C24" s="86" t="inlineStr">
        <is>
          <t>Union Mutual Fund</t>
        </is>
      </c>
      <c r="D24" s="86" t="inlineStr">
        <is>
          <t>Large Cap Fund</t>
        </is>
      </c>
      <c r="E24" s="87" t="n">
        <v>-2.78</v>
      </c>
      <c r="F24" s="87" t="n">
        <v>-0.9399999999999999</v>
      </c>
      <c r="G24" s="87" t="n">
        <v>-7.89</v>
      </c>
      <c r="H24" s="87" t="n">
        <v>-6.29</v>
      </c>
      <c r="I24" s="87" t="n">
        <v>-1.37444550219249</v>
      </c>
      <c r="J24" s="88" t="n">
        <v>27.81</v>
      </c>
      <c r="K24" s="73" t="n">
        <v>53</v>
      </c>
      <c r="L24" s="18" t="n">
        <v>0</v>
      </c>
      <c r="M24" s="19" t="n">
        <v>29.1</v>
      </c>
      <c r="N24" s="89" t="inlineStr">
        <is>
          <t>➡️ Neutral</t>
        </is>
      </c>
      <c r="O24" s="89" t="inlineStr">
        <is>
          <t>🔴 Not Qualified</t>
        </is>
      </c>
      <c r="P24" s="89" t="inlineStr">
        <is>
          <t>🔴 Avoid</t>
        </is>
      </c>
      <c r="Q24" s="68" t="inlineStr">
        <is>
          <t>FULL</t>
        </is>
      </c>
    </row>
    <row r="25" ht="16" customHeight="1">
      <c r="A25" s="90" t="n">
        <v>21</v>
      </c>
      <c r="B25" s="91" t="inlineStr">
        <is>
          <t>Taurus Large Cap Fund - Regular Plan - Growth</t>
        </is>
      </c>
      <c r="C25" s="91" t="inlineStr">
        <is>
          <t>Taurus Mutual Fund</t>
        </is>
      </c>
      <c r="D25" s="91" t="inlineStr">
        <is>
          <t>Large Cap Fund</t>
        </is>
      </c>
      <c r="E25" s="92" t="n">
        <v>-3.02</v>
      </c>
      <c r="F25" s="92" t="n">
        <v>-1.49</v>
      </c>
      <c r="G25" s="92" t="n">
        <v>-7.03</v>
      </c>
      <c r="H25" s="92" t="n">
        <v>-4.46</v>
      </c>
      <c r="I25" s="93" t="n">
        <v>0.0999500499375916</v>
      </c>
      <c r="J25" s="93" t="n">
        <v>39.91</v>
      </c>
      <c r="K25" s="73" t="n">
        <v>52.9</v>
      </c>
      <c r="L25" s="18" t="n">
        <v>0</v>
      </c>
      <c r="M25" s="19" t="n">
        <v>29.1</v>
      </c>
      <c r="N25" s="94" t="inlineStr">
        <is>
          <t>➡️ Neutral</t>
        </is>
      </c>
      <c r="O25" s="94" t="inlineStr">
        <is>
          <t>🔴 Not Qualified</t>
        </is>
      </c>
      <c r="P25" s="94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JM Large Cap Fund (Regular) - Growth Option</t>
        </is>
      </c>
      <c r="C26" s="86" t="inlineStr">
        <is>
          <t>JM Financial Mutual Fund</t>
        </is>
      </c>
      <c r="D26" s="86" t="inlineStr">
        <is>
          <t>Large Cap Fund</t>
        </is>
      </c>
      <c r="E26" s="87" t="n">
        <v>-2.9</v>
      </c>
      <c r="F26" s="87" t="n">
        <v>-1.04</v>
      </c>
      <c r="G26" s="87" t="n">
        <v>-8.869999999999999</v>
      </c>
      <c r="H26" s="87" t="n">
        <v>-5.85</v>
      </c>
      <c r="I26" s="87" t="n">
        <v>-3.175416344814574</v>
      </c>
      <c r="J26" s="88" t="n">
        <v>36.24</v>
      </c>
      <c r="K26" s="78" t="n">
        <v>47.9</v>
      </c>
      <c r="L26" s="18" t="n">
        <v>0</v>
      </c>
      <c r="M26" s="19" t="n">
        <v>26.3</v>
      </c>
      <c r="N26" s="89" t="inlineStr">
        <is>
          <t>➡️ Neutral</t>
        </is>
      </c>
      <c r="O26" s="89" t="inlineStr">
        <is>
          <t>🔴 Not Qualified</t>
        </is>
      </c>
      <c r="P26" s="89" t="inlineStr">
        <is>
          <t>🔴 Avoid</t>
        </is>
      </c>
      <c r="Q26" s="68" t="inlineStr">
        <is>
          <t>FULL</t>
        </is>
      </c>
    </row>
    <row r="27" ht="16" customHeight="1">
      <c r="A27" s="90" t="n">
        <v>23</v>
      </c>
      <c r="B27" s="91" t="inlineStr">
        <is>
          <t>HSBC Large Cap Fund - Regular Growth</t>
        </is>
      </c>
      <c r="C27" s="91" t="inlineStr">
        <is>
          <t>HSBC Mutual Fund</t>
        </is>
      </c>
      <c r="D27" s="91" t="inlineStr">
        <is>
          <t>Large Cap Fund</t>
        </is>
      </c>
      <c r="E27" s="92" t="n">
        <v>-2.59</v>
      </c>
      <c r="F27" s="92" t="n">
        <v>-2.34</v>
      </c>
      <c r="G27" s="92" t="n">
        <v>-9</v>
      </c>
      <c r="H27" s="92" t="n">
        <v>-4.47</v>
      </c>
      <c r="I27" s="93" t="n">
        <v>0.5286028948975341</v>
      </c>
      <c r="J27" s="93" t="n">
        <v>33.81</v>
      </c>
      <c r="K27" s="78" t="n">
        <v>44.3</v>
      </c>
      <c r="L27" s="18" t="n">
        <v>0</v>
      </c>
      <c r="M27" s="19" t="n">
        <v>24.4</v>
      </c>
      <c r="N27" s="94" t="inlineStr">
        <is>
          <t>➡️ Neutral</t>
        </is>
      </c>
      <c r="O27" s="94" t="inlineStr">
        <is>
          <t>🔴 Not Qualified</t>
        </is>
      </c>
      <c r="P27" s="94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HDFC Large Cap Fund - Growth Option - Regular Plan</t>
        </is>
      </c>
      <c r="C28" s="86" t="inlineStr">
        <is>
          <t>HDFC Mutual Fund</t>
        </is>
      </c>
      <c r="D28" s="86" t="inlineStr">
        <is>
          <t>Large Cap Fund</t>
        </is>
      </c>
      <c r="E28" s="87" t="n">
        <v>-2.23</v>
      </c>
      <c r="F28" s="87" t="n">
        <v>-1.63</v>
      </c>
      <c r="G28" s="87" t="n">
        <v>-9.32</v>
      </c>
      <c r="H28" s="87" t="n">
        <v>-6.19</v>
      </c>
      <c r="I28" s="87" t="n">
        <v>-0.4208857239631825</v>
      </c>
      <c r="J28" s="88" t="n">
        <v>34.15</v>
      </c>
      <c r="K28" s="78" t="n">
        <v>43.4</v>
      </c>
      <c r="L28" s="18" t="n">
        <v>0</v>
      </c>
      <c r="M28" s="19" t="n">
        <v>23.8</v>
      </c>
      <c r="N28" s="89" t="inlineStr">
        <is>
          <t>➡️ Neutral</t>
        </is>
      </c>
      <c r="O28" s="89" t="inlineStr">
        <is>
          <t>🔴 Not Qualified</t>
        </is>
      </c>
      <c r="P28" s="89" t="inlineStr">
        <is>
          <t>🔴 Avoid</t>
        </is>
      </c>
      <c r="Q28" s="68" t="inlineStr">
        <is>
          <t>FULL</t>
        </is>
      </c>
    </row>
    <row r="29" ht="16" customHeight="1">
      <c r="A29" s="90" t="n">
        <v>24</v>
      </c>
      <c r="B29" s="91" t="inlineStr">
        <is>
          <t>PGIM India Large Cap Fund - Growth</t>
        </is>
      </c>
      <c r="C29" s="91" t="inlineStr">
        <is>
          <t>PGIM India Mutual Fund</t>
        </is>
      </c>
      <c r="D29" s="91" t="inlineStr">
        <is>
          <t>Large Cap Fund</t>
        </is>
      </c>
      <c r="E29" s="92" t="n">
        <v>-2.25</v>
      </c>
      <c r="F29" s="92" t="n">
        <v>-0.46</v>
      </c>
      <c r="G29" s="92" t="n">
        <v>-10.26</v>
      </c>
      <c r="H29" s="92" t="n">
        <v>-7.52</v>
      </c>
      <c r="I29" s="92" t="n">
        <v>-0.6068412817059166</v>
      </c>
      <c r="J29" s="93" t="n">
        <v>21.26</v>
      </c>
      <c r="K29" s="78" t="n">
        <v>43.4</v>
      </c>
      <c r="L29" s="18" t="n">
        <v>0</v>
      </c>
      <c r="M29" s="19" t="n">
        <v>23.8</v>
      </c>
      <c r="N29" s="94" t="inlineStr">
        <is>
          <t>➡️ Neutral</t>
        </is>
      </c>
      <c r="O29" s="94" t="inlineStr">
        <is>
          <t>🔴 Not Qualified</t>
        </is>
      </c>
      <c r="P29" s="94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Edelweiss Large Cap Fund -Plan C - Growth option</t>
        </is>
      </c>
      <c r="C30" s="86" t="inlineStr">
        <is>
          <t>Edelweiss Mutual Fund</t>
        </is>
      </c>
      <c r="D30" s="86" t="inlineStr">
        <is>
          <t>Large Cap Fund</t>
        </is>
      </c>
      <c r="E30" s="87" t="n">
        <v>-2.49</v>
      </c>
      <c r="F30" s="87" t="n">
        <v>-1.6</v>
      </c>
      <c r="G30" s="87" t="n">
        <v>-9.15</v>
      </c>
      <c r="H30" s="87" t="n">
        <v>-6.55</v>
      </c>
      <c r="I30" s="87" t="n">
        <v>-0.2052105568632445</v>
      </c>
      <c r="J30" s="88" t="n">
        <v>31.7</v>
      </c>
      <c r="K30" s="78" t="n">
        <v>42.7</v>
      </c>
      <c r="L30" s="18" t="n">
        <v>0</v>
      </c>
      <c r="M30" s="19" t="n">
        <v>23.5</v>
      </c>
      <c r="N30" s="89" t="inlineStr">
        <is>
          <t>➡️ Neutral</t>
        </is>
      </c>
      <c r="O30" s="89" t="inlineStr">
        <is>
          <t>🔴 Not Qualified</t>
        </is>
      </c>
      <c r="P30" s="89" t="inlineStr">
        <is>
          <t>🔴 Avoid</t>
        </is>
      </c>
      <c r="Q30" s="68" t="inlineStr">
        <is>
          <t>FULL</t>
        </is>
      </c>
    </row>
    <row r="31" ht="16" customHeight="1">
      <c r="A31" s="90" t="n">
        <v>27</v>
      </c>
      <c r="B31" s="91" t="inlineStr">
        <is>
          <t>ITI Large Cap Fund - Regular Plan - Growth Option</t>
        </is>
      </c>
      <c r="C31" s="91" t="inlineStr">
        <is>
          <t>ITI Mutual Fund</t>
        </is>
      </c>
      <c r="D31" s="91" t="inlineStr">
        <is>
          <t>Large Cap Fund</t>
        </is>
      </c>
      <c r="E31" s="92" t="n">
        <v>-2.67</v>
      </c>
      <c r="F31" s="92" t="n">
        <v>-0.24</v>
      </c>
      <c r="G31" s="92" t="n">
        <v>-9.26</v>
      </c>
      <c r="H31" s="92" t="n">
        <v>-8.9</v>
      </c>
      <c r="I31" s="92" t="n">
        <v>-2.845483892924461</v>
      </c>
      <c r="J31" s="93" t="n">
        <v>29.42</v>
      </c>
      <c r="K31" s="78" t="n">
        <v>39.9</v>
      </c>
      <c r="L31" s="18" t="n">
        <v>0</v>
      </c>
      <c r="M31" s="19" t="n">
        <v>22</v>
      </c>
      <c r="N31" s="94" t="inlineStr">
        <is>
          <t>📉 Weak</t>
        </is>
      </c>
      <c r="O31" s="94" t="inlineStr">
        <is>
          <t>🔴 Not Qualified</t>
        </is>
      </c>
      <c r="P31" s="94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Edelweiss Large Cap Fund -Plan B - Growth option</t>
        </is>
      </c>
      <c r="C32" s="86" t="inlineStr">
        <is>
          <t>Edelweiss Mutual Fund</t>
        </is>
      </c>
      <c r="D32" s="86" t="inlineStr">
        <is>
          <t>Large Cap Fund</t>
        </is>
      </c>
      <c r="E32" s="87" t="n">
        <v>-2.5</v>
      </c>
      <c r="F32" s="87" t="n">
        <v>-1.61</v>
      </c>
      <c r="G32" s="87" t="n">
        <v>-9.15</v>
      </c>
      <c r="H32" s="87" t="n">
        <v>-6.56</v>
      </c>
      <c r="I32" s="87" t="n">
        <v>-0.2152316232582496</v>
      </c>
      <c r="J32" s="88" t="n">
        <v>31.68</v>
      </c>
      <c r="K32" s="78" t="n">
        <v>39.3</v>
      </c>
      <c r="L32" s="18" t="n">
        <v>0</v>
      </c>
      <c r="M32" s="19" t="n">
        <v>21.6</v>
      </c>
      <c r="N32" s="89" t="inlineStr">
        <is>
          <t>📉 Weak</t>
        </is>
      </c>
      <c r="O32" s="89" t="inlineStr">
        <is>
          <t>🔴 Not Qualified</t>
        </is>
      </c>
      <c r="P32" s="89" t="inlineStr">
        <is>
          <t>🔴 Avoid</t>
        </is>
      </c>
      <c r="Q32" s="68" t="inlineStr">
        <is>
          <t>FULL</t>
        </is>
      </c>
    </row>
    <row r="33" ht="16" customHeight="1">
      <c r="A33" s="90" t="n">
        <v>28</v>
      </c>
      <c r="B33" s="91" t="inlineStr">
        <is>
          <t>Edelweiss Large Cap Fund - Regular Plan - Growth Option</t>
        </is>
      </c>
      <c r="C33" s="91" t="inlineStr">
        <is>
          <t>Edelweiss Mutual Fund</t>
        </is>
      </c>
      <c r="D33" s="91" t="inlineStr">
        <is>
          <t>Large Cap Fund</t>
        </is>
      </c>
      <c r="E33" s="92" t="n">
        <v>-2.5</v>
      </c>
      <c r="F33" s="92" t="n">
        <v>-1.61</v>
      </c>
      <c r="G33" s="92" t="n">
        <v>-9.15</v>
      </c>
      <c r="H33" s="92" t="n">
        <v>-6.56</v>
      </c>
      <c r="I33" s="92" t="n">
        <v>-0.2102209642690922</v>
      </c>
      <c r="J33" s="93" t="n">
        <v>31.7</v>
      </c>
      <c r="K33" s="78" t="n">
        <v>39.3</v>
      </c>
      <c r="L33" s="18" t="n">
        <v>0</v>
      </c>
      <c r="M33" s="19" t="n">
        <v>21.6</v>
      </c>
      <c r="N33" s="94" t="inlineStr">
        <is>
          <t>📉 Weak</t>
        </is>
      </c>
      <c r="O33" s="94" t="inlineStr">
        <is>
          <t>🔴 Not Qualified</t>
        </is>
      </c>
      <c r="P33" s="94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Kotak Large Cap Fund - Payout of Income Distribution cumcapital withdrawal option</t>
        </is>
      </c>
      <c r="C34" s="86" t="inlineStr">
        <is>
          <t>Kotak Mahindra Mutual Fund</t>
        </is>
      </c>
      <c r="D34" s="86" t="inlineStr">
        <is>
          <t>Large Cap Fund</t>
        </is>
      </c>
      <c r="E34" s="87" t="n">
        <v>-2.29</v>
      </c>
      <c r="F34" s="87" t="n">
        <v>-1.76</v>
      </c>
      <c r="G34" s="87" t="n">
        <v>-9.369999999999999</v>
      </c>
      <c r="H34" s="87" t="n">
        <v>-6.19</v>
      </c>
      <c r="I34" s="88" t="n">
        <v>0.6777035892257643</v>
      </c>
      <c r="J34" s="88" t="n">
        <v>35.16</v>
      </c>
      <c r="K34" s="78" t="n">
        <v>39.1</v>
      </c>
      <c r="L34" s="18" t="n">
        <v>0</v>
      </c>
      <c r="M34" s="19" t="n">
        <v>21.5</v>
      </c>
      <c r="N34" s="89" t="inlineStr">
        <is>
          <t>📉 Weak</t>
        </is>
      </c>
      <c r="O34" s="89" t="inlineStr">
        <is>
          <t>🔴 Not Qualified</t>
        </is>
      </c>
      <c r="P34" s="89" t="inlineStr">
        <is>
          <t>🔴 Avoid</t>
        </is>
      </c>
      <c r="Q34" s="68" t="inlineStr">
        <is>
          <t>FULL</t>
        </is>
      </c>
    </row>
    <row r="35" ht="16" customHeight="1">
      <c r="A35" s="90" t="n">
        <v>30</v>
      </c>
      <c r="B35" s="91" t="inlineStr">
        <is>
          <t>Kotak Large Cap Fund - Growth</t>
        </is>
      </c>
      <c r="C35" s="91" t="inlineStr">
        <is>
          <t>Kotak Mahindra Mutual Fund</t>
        </is>
      </c>
      <c r="D35" s="91" t="inlineStr">
        <is>
          <t>Large Cap Fund</t>
        </is>
      </c>
      <c r="E35" s="92" t="n">
        <v>-2.29</v>
      </c>
      <c r="F35" s="92" t="n">
        <v>-1.76</v>
      </c>
      <c r="G35" s="92" t="n">
        <v>-9.369999999999999</v>
      </c>
      <c r="H35" s="92" t="n">
        <v>-6.19</v>
      </c>
      <c r="I35" s="93" t="n">
        <v>0.6777035892257643</v>
      </c>
      <c r="J35" s="93" t="n">
        <v>35.16</v>
      </c>
      <c r="K35" s="78" t="n">
        <v>39.1</v>
      </c>
      <c r="L35" s="18" t="n">
        <v>0</v>
      </c>
      <c r="M35" s="19" t="n">
        <v>21.5</v>
      </c>
      <c r="N35" s="94" t="inlineStr">
        <is>
          <t>📉 Weak</t>
        </is>
      </c>
      <c r="O35" s="94" t="inlineStr">
        <is>
          <t>🔴 Not Qualified</t>
        </is>
      </c>
      <c r="P35" s="94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Nippon India Large Cap Fund- Growth Plan Bonus Option</t>
        </is>
      </c>
      <c r="C36" s="86" t="inlineStr">
        <is>
          <t>Nippon India Mutual Fund</t>
        </is>
      </c>
      <c r="D36" s="86" t="inlineStr">
        <is>
          <t>Large Cap Fund</t>
        </is>
      </c>
      <c r="E36" s="87" t="n">
        <v>-3.12</v>
      </c>
      <c r="F36" s="87" t="n">
        <v>-1.36</v>
      </c>
      <c r="G36" s="87" t="n">
        <v>-9</v>
      </c>
      <c r="H36" s="87" t="n">
        <v>-5.76</v>
      </c>
      <c r="I36" s="88" t="n">
        <v>1.370607179793493</v>
      </c>
      <c r="J36" s="88" t="n">
        <v>43.45</v>
      </c>
      <c r="K36" s="78" t="n">
        <v>37.3</v>
      </c>
      <c r="L36" s="18" t="n">
        <v>0</v>
      </c>
      <c r="M36" s="19" t="n">
        <v>20.5</v>
      </c>
      <c r="N36" s="89" t="inlineStr">
        <is>
          <t>📉 Weak</t>
        </is>
      </c>
      <c r="O36" s="89" t="inlineStr">
        <is>
          <t>🔴 Not Qualified</t>
        </is>
      </c>
      <c r="P36" s="89" t="inlineStr">
        <is>
          <t>🔴 Avoid</t>
        </is>
      </c>
      <c r="Q36" s="68" t="inlineStr">
        <is>
          <t>FULL</t>
        </is>
      </c>
    </row>
    <row r="37" ht="16" customHeight="1">
      <c r="A37" s="90" t="n">
        <v>32</v>
      </c>
      <c r="B37" s="91" t="inlineStr">
        <is>
          <t>Nippon India Large Cap  Fund- Growth Plan -Growth Option</t>
        </is>
      </c>
      <c r="C37" s="91" t="inlineStr">
        <is>
          <t>Nippon India Mutual Fund</t>
        </is>
      </c>
      <c r="D37" s="91" t="inlineStr">
        <is>
          <t>Large Cap Fund</t>
        </is>
      </c>
      <c r="E37" s="92" t="n">
        <v>-3.12</v>
      </c>
      <c r="F37" s="92" t="n">
        <v>-1.36</v>
      </c>
      <c r="G37" s="92" t="n">
        <v>-9</v>
      </c>
      <c r="H37" s="92" t="n">
        <v>-5.76</v>
      </c>
      <c r="I37" s="93" t="n">
        <v>1.370607179793493</v>
      </c>
      <c r="J37" s="93" t="n">
        <v>43.45</v>
      </c>
      <c r="K37" s="78" t="n">
        <v>37.3</v>
      </c>
      <c r="L37" s="18" t="n">
        <v>0</v>
      </c>
      <c r="M37" s="19" t="n">
        <v>20.5</v>
      </c>
      <c r="N37" s="94" t="inlineStr">
        <is>
          <t>📉 Weak</t>
        </is>
      </c>
      <c r="O37" s="94" t="inlineStr">
        <is>
          <t>🔴 Not Qualified</t>
        </is>
      </c>
      <c r="P37" s="94" t="inlineStr">
        <is>
          <t>🔴 Avoid</t>
        </is>
      </c>
      <c r="Q37" s="68" t="inlineStr">
        <is>
          <t>FULL</t>
        </is>
      </c>
    </row>
    <row r="38" ht="16" customHeight="1">
      <c r="A38" s="95" t="n">
        <v>34</v>
      </c>
      <c r="B38" s="96" t="inlineStr">
        <is>
          <t>Motilal Oswal Large Cap Regular Plan Growth</t>
        </is>
      </c>
      <c r="C38" s="96" t="inlineStr">
        <is>
          <t>Motilal Oswal Mutual Fund</t>
        </is>
      </c>
      <c r="D38" s="96" t="inlineStr">
        <is>
          <t>Large Cap Fund</t>
        </is>
      </c>
      <c r="E38" s="97" t="n">
        <v>-2.97</v>
      </c>
      <c r="F38" s="98" t="n">
        <v>0.05</v>
      </c>
      <c r="G38" s="97" t="n">
        <v>-9.31</v>
      </c>
      <c r="H38" s="97" t="n">
        <v>-6.83</v>
      </c>
      <c r="I38" s="98" t="n">
        <v>6.841003364813081</v>
      </c>
      <c r="J38" s="98" t="n">
        <v>0</v>
      </c>
      <c r="K38" s="78" t="n">
        <v>37.1</v>
      </c>
      <c r="L38" s="18" t="n">
        <v>0</v>
      </c>
      <c r="M38" s="19" t="n">
        <v>20.4</v>
      </c>
      <c r="N38" s="99" t="inlineStr">
        <is>
          <t>📉 Weak</t>
        </is>
      </c>
      <c r="O38" s="99" t="inlineStr">
        <is>
          <t>⏳ New Fund</t>
        </is>
      </c>
      <c r="P38" s="99" t="inlineStr">
        <is>
          <t>⏳ New Fund</t>
        </is>
      </c>
      <c r="Q38" s="100" t="inlineStr">
        <is>
          <t>MOMENTUM_ONLY</t>
        </is>
      </c>
    </row>
    <row r="39" ht="16" customHeight="1">
      <c r="A39" s="90" t="n">
        <v>35</v>
      </c>
      <c r="B39" s="91" t="inlineStr">
        <is>
          <t>ICICI Prudential Large Cap Fund (erstwhile Bluechip Fund)  - Growth</t>
        </is>
      </c>
      <c r="C39" s="91" t="inlineStr">
        <is>
          <t>ICICI Prudential Mutual Fund</t>
        </is>
      </c>
      <c r="D39" s="91" t="inlineStr">
        <is>
          <t>Large Cap Fund</t>
        </is>
      </c>
      <c r="E39" s="92" t="n">
        <v>-2.69</v>
      </c>
      <c r="F39" s="92" t="n">
        <v>-1.83</v>
      </c>
      <c r="G39" s="92" t="n">
        <v>-10.22</v>
      </c>
      <c r="H39" s="92" t="n">
        <v>-5.73</v>
      </c>
      <c r="I39" s="93" t="n">
        <v>1.419919148064785</v>
      </c>
      <c r="J39" s="93" t="n">
        <v>43.36</v>
      </c>
      <c r="K39" s="78" t="n">
        <v>32.6</v>
      </c>
      <c r="L39" s="18" t="n">
        <v>0</v>
      </c>
      <c r="M39" s="19" t="n">
        <v>17.9</v>
      </c>
      <c r="N39" s="94" t="inlineStr">
        <is>
          <t>📉 Weak</t>
        </is>
      </c>
      <c r="O39" s="94" t="inlineStr">
        <is>
          <t>🔴 Not Qualified</t>
        </is>
      </c>
      <c r="P39" s="94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Franklin India Large Cap Fund-Growth</t>
        </is>
      </c>
      <c r="C40" s="86" t="inlineStr">
        <is>
          <t>Franklin Templeton Mutual Fund</t>
        </is>
      </c>
      <c r="D40" s="86" t="inlineStr">
        <is>
          <t>Large Cap Fund</t>
        </is>
      </c>
      <c r="E40" s="87" t="n">
        <v>-2.72</v>
      </c>
      <c r="F40" s="87" t="n">
        <v>-1.51</v>
      </c>
      <c r="G40" s="87" t="n">
        <v>-10.5</v>
      </c>
      <c r="H40" s="87" t="n">
        <v>-6.16</v>
      </c>
      <c r="I40" s="88" t="n">
        <v>1.301530097032599</v>
      </c>
      <c r="J40" s="88" t="n">
        <v>33.27</v>
      </c>
      <c r="K40" s="78" t="n">
        <v>31.5</v>
      </c>
      <c r="L40" s="18" t="n">
        <v>0</v>
      </c>
      <c r="M40" s="19" t="n">
        <v>17.3</v>
      </c>
      <c r="N40" s="89" t="inlineStr">
        <is>
          <t>📉 Weak</t>
        </is>
      </c>
      <c r="O40" s="89" t="inlineStr">
        <is>
          <t>🔴 Not Qualified</t>
        </is>
      </c>
      <c r="P40" s="89" t="inlineStr">
        <is>
          <t>🔴 Avoid</t>
        </is>
      </c>
      <c r="Q40" s="68" t="inlineStr">
        <is>
          <t>FULL</t>
        </is>
      </c>
    </row>
    <row r="41" ht="16" customHeight="1">
      <c r="A41" s="90" t="n">
        <v>37</v>
      </c>
      <c r="B41" s="91" t="inlineStr">
        <is>
          <t>Aditya Birla Sun Life Large Cap Fund-Growth</t>
        </is>
      </c>
      <c r="C41" s="91" t="inlineStr">
        <is>
          <t>Aditya Birla Sun Life Mutual Fund</t>
        </is>
      </c>
      <c r="D41" s="91" t="inlineStr">
        <is>
          <t>Large Cap Fund</t>
        </is>
      </c>
      <c r="E41" s="92" t="n">
        <v>-2.83</v>
      </c>
      <c r="F41" s="92" t="n">
        <v>-0.82</v>
      </c>
      <c r="G41" s="92" t="n">
        <v>-10.61</v>
      </c>
      <c r="H41" s="92" t="n">
        <v>-7.27</v>
      </c>
      <c r="I41" s="93" t="n">
        <v>0.5286028948975341</v>
      </c>
      <c r="J41" s="93" t="n">
        <v>33.81</v>
      </c>
      <c r="K41" s="78" t="n">
        <v>28.1</v>
      </c>
      <c r="L41" s="18" t="n">
        <v>0</v>
      </c>
      <c r="M41" s="19" t="n">
        <v>15.5</v>
      </c>
      <c r="N41" s="94" t="inlineStr">
        <is>
          <t>📉 Weak</t>
        </is>
      </c>
      <c r="O41" s="94" t="inlineStr">
        <is>
          <t>🔴 Not Qualified</t>
        </is>
      </c>
      <c r="P41" s="94" t="inlineStr">
        <is>
          <t>🔴 Avoid</t>
        </is>
      </c>
      <c r="Q41" s="68" t="inlineStr">
        <is>
          <t>FULL</t>
        </is>
      </c>
    </row>
    <row r="42" ht="16" customHeight="1">
      <c r="A42" s="85" t="n">
        <v>38</v>
      </c>
      <c r="B42" s="86" t="inlineStr">
        <is>
          <t>CANARA ROBECO LARGE CAP FUND - REGULAR PLAN - GROWTH OPTION</t>
        </is>
      </c>
      <c r="C42" s="86" t="inlineStr">
        <is>
          <t>Canara Robeco Mutual Fund</t>
        </is>
      </c>
      <c r="D42" s="86" t="inlineStr">
        <is>
          <t>Large Cap Fund</t>
        </is>
      </c>
      <c r="E42" s="87" t="n">
        <v>-2.92</v>
      </c>
      <c r="F42" s="87" t="n">
        <v>-1.14</v>
      </c>
      <c r="G42" s="87" t="n">
        <v>-10.14</v>
      </c>
      <c r="H42" s="87" t="n">
        <v>-7.83</v>
      </c>
      <c r="I42" s="88" t="n">
        <v>0.8265837961398015</v>
      </c>
      <c r="J42" s="88" t="n">
        <v>32.78</v>
      </c>
      <c r="K42" s="78" t="n">
        <v>24.3</v>
      </c>
      <c r="L42" s="18" t="n">
        <v>0</v>
      </c>
      <c r="M42" s="19" t="n">
        <v>13.4</v>
      </c>
      <c r="N42" s="89" t="inlineStr">
        <is>
          <t>📉 Weak</t>
        </is>
      </c>
      <c r="O42" s="89" t="inlineStr">
        <is>
          <t>🔴 Not Qualified</t>
        </is>
      </c>
      <c r="P42" s="89" t="inlineStr">
        <is>
          <t>🔴 Avoid</t>
        </is>
      </c>
      <c r="Q42" s="68" t="inlineStr">
        <is>
          <t>FULL</t>
        </is>
      </c>
    </row>
    <row r="43" ht="16" customHeight="1">
      <c r="A43" s="90" t="n">
        <v>39</v>
      </c>
      <c r="B43" s="91" t="inlineStr">
        <is>
          <t>DSP Large Cap Fund - Regular Plan - Growth</t>
        </is>
      </c>
      <c r="C43" s="91" t="inlineStr">
        <is>
          <t>DSP Mutual Fund</t>
        </is>
      </c>
      <c r="D43" s="91" t="inlineStr">
        <is>
          <t>Large Cap Fund</t>
        </is>
      </c>
      <c r="E43" s="92" t="n">
        <v>-2.66</v>
      </c>
      <c r="F43" s="92" t="n">
        <v>-1.92</v>
      </c>
      <c r="G43" s="92" t="n">
        <v>-9.960000000000001</v>
      </c>
      <c r="H43" s="92" t="n">
        <v>-7.93</v>
      </c>
      <c r="I43" s="93" t="n">
        <v>2.107786186950511</v>
      </c>
      <c r="J43" s="93" t="n">
        <v>41.27</v>
      </c>
      <c r="K43" s="78" t="n">
        <v>23.2</v>
      </c>
      <c r="L43" s="18" t="n">
        <v>0</v>
      </c>
      <c r="M43" s="19" t="n">
        <v>12.8</v>
      </c>
      <c r="N43" s="94" t="inlineStr">
        <is>
          <t>📉 Weak</t>
        </is>
      </c>
      <c r="O43" s="94" t="inlineStr">
        <is>
          <t>🔴 Not Qualified</t>
        </is>
      </c>
      <c r="P43" s="94" t="inlineStr">
        <is>
          <t>🔴 Avoid</t>
        </is>
      </c>
      <c r="Q43" s="68" t="inlineStr">
        <is>
          <t>FULL</t>
        </is>
      </c>
    </row>
    <row r="44" ht="16" customHeight="1">
      <c r="A44" s="85" t="n">
        <v>40</v>
      </c>
      <c r="B44" s="86" t="inlineStr">
        <is>
          <t>UTI Large Cap Fund - Regular Plan - Growth Option</t>
        </is>
      </c>
      <c r="C44" s="86" t="inlineStr">
        <is>
          <t>UTI Mutual Fund</t>
        </is>
      </c>
      <c r="D44" s="86" t="inlineStr">
        <is>
          <t>Large Cap Fund</t>
        </is>
      </c>
      <c r="E44" s="87" t="n">
        <v>-2.91</v>
      </c>
      <c r="F44" s="87" t="n">
        <v>-1.13</v>
      </c>
      <c r="G44" s="87" t="n">
        <v>-11.28</v>
      </c>
      <c r="H44" s="87" t="n">
        <v>-8.539999999999999</v>
      </c>
      <c r="I44" s="87" t="n">
        <v>-0.9898995051515036</v>
      </c>
      <c r="J44" s="88" t="n">
        <v>25.82</v>
      </c>
      <c r="K44" s="78" t="n">
        <v>19.8</v>
      </c>
      <c r="L44" s="18" t="n">
        <v>0</v>
      </c>
      <c r="M44" s="19" t="n">
        <v>10.9</v>
      </c>
      <c r="N44" s="89" t="inlineStr">
        <is>
          <t>📉 Weak</t>
        </is>
      </c>
      <c r="O44" s="89" t="inlineStr">
        <is>
          <t>🔴 Not Qualified</t>
        </is>
      </c>
      <c r="P44" s="89" t="inlineStr">
        <is>
          <t>🔴 Avoid</t>
        </is>
      </c>
      <c r="Q44" s="68" t="inlineStr">
        <is>
          <t>FULL</t>
        </is>
      </c>
    </row>
    <row r="45" ht="16" customHeight="1">
      <c r="A45" s="90" t="n">
        <v>41</v>
      </c>
      <c r="B45" s="91" t="inlineStr">
        <is>
          <t>LIC MF Large Cap Fund-Regular Plan-Growth</t>
        </is>
      </c>
      <c r="C45" s="91" t="inlineStr">
        <is>
          <t>LIC Mutual Fund</t>
        </is>
      </c>
      <c r="D45" s="91" t="inlineStr">
        <is>
          <t>Large Cap Fund</t>
        </is>
      </c>
      <c r="E45" s="92" t="n">
        <v>-2.91</v>
      </c>
      <c r="F45" s="92" t="n">
        <v>-1.98</v>
      </c>
      <c r="G45" s="92" t="n">
        <v>-11.51</v>
      </c>
      <c r="H45" s="92" t="n">
        <v>-10.92</v>
      </c>
      <c r="I45" s="92" t="n">
        <v>-1.623173460412941</v>
      </c>
      <c r="J45" s="93" t="n">
        <v>22.57</v>
      </c>
      <c r="K45" s="78" t="n">
        <v>9</v>
      </c>
      <c r="L45" s="18" t="n">
        <v>0</v>
      </c>
      <c r="M45" s="19" t="n">
        <v>4.9</v>
      </c>
      <c r="N45" s="94" t="inlineStr">
        <is>
          <t>📉 Weak</t>
        </is>
      </c>
      <c r="O45" s="94" t="inlineStr">
        <is>
          <t>🔴 Not Qualified</t>
        </is>
      </c>
      <c r="P45" s="94" t="inlineStr">
        <is>
          <t>🔴 Avoid</t>
        </is>
      </c>
      <c r="Q45" s="68" t="inlineStr">
        <is>
          <t>FULL</t>
        </is>
      </c>
    </row>
    <row r="46" ht="16" customHeight="1">
      <c r="A46" s="85" t="n">
        <v>42</v>
      </c>
      <c r="B46" s="86" t="inlineStr">
        <is>
          <t>Mahindra Manulife Large Cap Fund - Regular Plan - Growth</t>
        </is>
      </c>
      <c r="C46" s="86" t="inlineStr">
        <is>
          <t>Mahindra Manulife Mutual Fund</t>
        </is>
      </c>
      <c r="D46" s="86" t="inlineStr">
        <is>
          <t>Large Cap Fund</t>
        </is>
      </c>
      <c r="E46" s="87" t="n">
        <v>-2.91</v>
      </c>
      <c r="F46" s="87" t="n">
        <v>-2.98</v>
      </c>
      <c r="G46" s="87" t="n">
        <v>-11.26</v>
      </c>
      <c r="H46" s="87" t="n">
        <v>-8.949999999999999</v>
      </c>
      <c r="I46" s="87" t="n">
        <v>-1.141515285737871</v>
      </c>
      <c r="J46" s="88" t="n">
        <v>29.45</v>
      </c>
      <c r="K46" s="78" t="n">
        <v>5.1</v>
      </c>
      <c r="L46" s="18" t="n">
        <v>0</v>
      </c>
      <c r="M46" s="19" t="n">
        <v>2.8</v>
      </c>
      <c r="N46" s="89" t="inlineStr">
        <is>
          <t>📉 Weak</t>
        </is>
      </c>
      <c r="O46" s="89" t="inlineStr">
        <is>
          <t>🔴 Not Qualified</t>
        </is>
      </c>
      <c r="P46" s="89" t="inlineStr">
        <is>
          <t>🔴 Avoid</t>
        </is>
      </c>
      <c r="Q46" s="68" t="inlineStr">
        <is>
          <t>FULL</t>
        </is>
      </c>
    </row>
    <row r="47" ht="16" customHeight="1">
      <c r="A47" s="80" t="n">
        <v>0</v>
      </c>
      <c r="B47" s="81" t="inlineStr">
        <is>
          <t>Parag Parikh Large Cap Fund - Regular Plan - Growth</t>
        </is>
      </c>
      <c r="C47" s="81" t="inlineStr">
        <is>
          <t>PPFAS Mutual Fund</t>
        </is>
      </c>
      <c r="D47" s="81" t="inlineStr">
        <is>
          <t>Large Cap Fund</t>
        </is>
      </c>
      <c r="E47" s="101" t="n">
        <v>-2.6</v>
      </c>
      <c r="F47" s="101" t="n">
        <v>-1.02</v>
      </c>
      <c r="G47" s="82" t="n">
        <v>0</v>
      </c>
      <c r="H47" s="82" t="n">
        <v>0</v>
      </c>
      <c r="I47" s="82" t="n">
        <v>0</v>
      </c>
      <c r="J47" s="82" t="n">
        <v>0</v>
      </c>
      <c r="K47" s="78" t="n">
        <v>0</v>
      </c>
      <c r="L47" s="18" t="n">
        <v>0</v>
      </c>
      <c r="M47" s="19" t="n">
        <v>0</v>
      </c>
      <c r="N47" s="83" t="inlineStr">
        <is>
          <t>❌ N/A</t>
        </is>
      </c>
      <c r="O47" s="83" t="inlineStr">
        <is>
          <t>❌ N/A</t>
        </is>
      </c>
      <c r="P47" s="83" t="inlineStr">
        <is>
          <t>❌ Missing Data</t>
        </is>
      </c>
      <c r="Q47" s="84" t="inlineStr">
        <is>
          <t>MISSING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MID CAP FUND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HSBC Midcap Fund - Regular Growth</t>
        </is>
      </c>
      <c r="C5" s="65" t="inlineStr">
        <is>
          <t>HSBC Mutual Fund</t>
        </is>
      </c>
      <c r="D5" s="65" t="inlineStr">
        <is>
          <t>Mid Cap Fund</t>
        </is>
      </c>
      <c r="E5" s="66" t="n">
        <v>-0.49</v>
      </c>
      <c r="F5" s="67" t="n">
        <v>12.92</v>
      </c>
      <c r="G5" s="67" t="n">
        <v>7.94</v>
      </c>
      <c r="H5" s="67" t="n">
        <v>11.36</v>
      </c>
      <c r="I5" s="67" t="n">
        <v>10.66164647247936</v>
      </c>
      <c r="J5" s="67" t="n">
        <v>95.65000000000001</v>
      </c>
      <c r="K5" s="17" t="n">
        <v>100</v>
      </c>
      <c r="L5" s="22" t="n">
        <v>70</v>
      </c>
      <c r="M5" s="23" t="n">
        <v>86.5</v>
      </c>
      <c r="N5" s="20" t="inlineStr">
        <is>
          <t>🔥 Hot</t>
        </is>
      </c>
      <c r="O5" s="20" t="inlineStr">
        <is>
          <t>🏛️ Solid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WhiteOak Capital Mid Cap Fund Regular Plan Growth</t>
        </is>
      </c>
      <c r="C6" s="70" t="inlineStr">
        <is>
          <t>WhiteOak Capital Mutual Fund</t>
        </is>
      </c>
      <c r="D6" s="70" t="inlineStr">
        <is>
          <t>Mid Cap Fund</t>
        </is>
      </c>
      <c r="E6" s="71" t="n">
        <v>-1.77</v>
      </c>
      <c r="F6" s="72" t="n">
        <v>8.15</v>
      </c>
      <c r="G6" s="72" t="n">
        <v>0.23</v>
      </c>
      <c r="H6" s="72" t="n">
        <v>5.57</v>
      </c>
      <c r="I6" s="72" t="n">
        <v>10.94142598686929</v>
      </c>
      <c r="J6" s="72" t="n">
        <v>84.34</v>
      </c>
      <c r="K6" s="17" t="n">
        <v>83.8</v>
      </c>
      <c r="L6" s="18" t="n">
        <v>42.5</v>
      </c>
      <c r="M6" s="21" t="n">
        <v>65.2</v>
      </c>
      <c r="N6" s="28" t="inlineStr">
        <is>
          <t>⭐ Strong</t>
        </is>
      </c>
      <c r="O6" s="28" t="inlineStr">
        <is>
          <t>➡️ Average</t>
        </is>
      </c>
      <c r="P6" s="28" t="inlineStr">
        <is>
          <t>📈 Momentum Play</t>
        </is>
      </c>
      <c r="Q6" s="68" t="inlineStr">
        <is>
          <t>FULL</t>
        </is>
      </c>
    </row>
    <row r="7" ht="16" customHeight="1">
      <c r="A7" s="74" t="n">
        <v>3</v>
      </c>
      <c r="B7" s="75" t="inlineStr">
        <is>
          <t>JM Midcap Fund (Regular) - Growth</t>
        </is>
      </c>
      <c r="C7" s="75" t="inlineStr">
        <is>
          <t>JM Financial Mutual Fund</t>
        </is>
      </c>
      <c r="D7" s="75" t="inlineStr">
        <is>
          <t>Mid Cap Fund</t>
        </is>
      </c>
      <c r="E7" s="76" t="n">
        <v>-1.53</v>
      </c>
      <c r="F7" s="77" t="n">
        <v>10.83</v>
      </c>
      <c r="G7" s="77" t="n">
        <v>3.03</v>
      </c>
      <c r="H7" s="77" t="n">
        <v>2.03</v>
      </c>
      <c r="I7" s="77" t="n">
        <v>3.571231526906149</v>
      </c>
      <c r="J7" s="77" t="n">
        <v>78.76000000000001</v>
      </c>
      <c r="K7" s="17" t="n">
        <v>91.90000000000001</v>
      </c>
      <c r="L7" s="18" t="n">
        <v>0</v>
      </c>
      <c r="M7" s="21" t="n">
        <v>50.6</v>
      </c>
      <c r="N7" s="79" t="inlineStr">
        <is>
          <t>🔥 Hot</t>
        </is>
      </c>
      <c r="O7" s="79" t="inlineStr">
        <is>
          <t>🔴 Not Qualified</t>
        </is>
      </c>
      <c r="P7" s="79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Invesco India Midcap Fund - Regular Plan - Growth Option</t>
        </is>
      </c>
      <c r="C8" s="86" t="inlineStr">
        <is>
          <t>Invesco Mutual Fund</t>
        </is>
      </c>
      <c r="D8" s="86" t="inlineStr">
        <is>
          <t>Mid Cap Fund</t>
        </is>
      </c>
      <c r="E8" s="87" t="n">
        <v>-3.23</v>
      </c>
      <c r="F8" s="88" t="n">
        <v>7.61</v>
      </c>
      <c r="G8" s="87" t="n">
        <v>-2.92</v>
      </c>
      <c r="H8" s="88" t="n">
        <v>1.09</v>
      </c>
      <c r="I8" s="88" t="n">
        <v>10.89634800118533</v>
      </c>
      <c r="J8" s="88" t="n">
        <v>85.93000000000001</v>
      </c>
      <c r="K8" s="73" t="n">
        <v>58.1</v>
      </c>
      <c r="L8" s="18" t="n">
        <v>37.5</v>
      </c>
      <c r="M8" s="19" t="n">
        <v>48.8</v>
      </c>
      <c r="N8" s="89" t="inlineStr">
        <is>
          <t>➡️ Neutral</t>
        </is>
      </c>
      <c r="O8" s="89" t="inlineStr">
        <is>
          <t>⚠️ Below Avg</t>
        </is>
      </c>
      <c r="P8" s="89" t="inlineStr">
        <is>
          <t>⚠️ Watch</t>
        </is>
      </c>
      <c r="Q8" s="68" t="inlineStr">
        <is>
          <t>FULL</t>
        </is>
      </c>
    </row>
    <row r="9" ht="16" customHeight="1">
      <c r="A9" s="90" t="n">
        <v>5</v>
      </c>
      <c r="B9" s="91" t="inlineStr">
        <is>
          <t>Mahindra Manulife Mid Cap Fund - Regular Plan - Growth</t>
        </is>
      </c>
      <c r="C9" s="91" t="inlineStr">
        <is>
          <t>Mahindra Manulife Mutual Fund</t>
        </is>
      </c>
      <c r="D9" s="91" t="inlineStr">
        <is>
          <t>Mid Cap Fund</t>
        </is>
      </c>
      <c r="E9" s="92" t="n">
        <v>-2.29</v>
      </c>
      <c r="F9" s="93" t="n">
        <v>5.63</v>
      </c>
      <c r="G9" s="93" t="n">
        <v>3.36</v>
      </c>
      <c r="H9" s="93" t="n">
        <v>3.32</v>
      </c>
      <c r="I9" s="93" t="n">
        <v>5.437185091408803</v>
      </c>
      <c r="J9" s="93" t="n">
        <v>77.52</v>
      </c>
      <c r="K9" s="17" t="n">
        <v>87.40000000000001</v>
      </c>
      <c r="L9" s="18" t="n">
        <v>0</v>
      </c>
      <c r="M9" s="19" t="n">
        <v>48</v>
      </c>
      <c r="N9" s="94" t="inlineStr">
        <is>
          <t>⭐ Strong</t>
        </is>
      </c>
      <c r="O9" s="94" t="inlineStr">
        <is>
          <t>🔴 Not Qualified</t>
        </is>
      </c>
      <c r="P9" s="94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BANDHAN MIDCAP FUND - GROWTH - REGULAR PLAN</t>
        </is>
      </c>
      <c r="C10" s="86" t="inlineStr">
        <is>
          <t>Bandhan Mutual Fund</t>
        </is>
      </c>
      <c r="D10" s="86" t="inlineStr">
        <is>
          <t>Mid Cap Fund</t>
        </is>
      </c>
      <c r="E10" s="87" t="n">
        <v>-1.69</v>
      </c>
      <c r="F10" s="88" t="n">
        <v>8.4</v>
      </c>
      <c r="G10" s="88" t="n">
        <v>0.95</v>
      </c>
      <c r="H10" s="88" t="n">
        <v>1.66</v>
      </c>
      <c r="I10" s="88" t="n">
        <v>5.199809885759765</v>
      </c>
      <c r="J10" s="88" t="n">
        <v>64.28</v>
      </c>
      <c r="K10" s="17" t="n">
        <v>86.2</v>
      </c>
      <c r="L10" s="18" t="n">
        <v>0</v>
      </c>
      <c r="M10" s="19" t="n">
        <v>47.4</v>
      </c>
      <c r="N10" s="89" t="inlineStr">
        <is>
          <t>⭐ Strong</t>
        </is>
      </c>
      <c r="O10" s="89" t="inlineStr">
        <is>
          <t>🔴 Not Qualified</t>
        </is>
      </c>
      <c r="P10" s="89" t="inlineStr">
        <is>
          <t>⚠️ Watch</t>
        </is>
      </c>
      <c r="Q10" s="68" t="inlineStr">
        <is>
          <t>FULL</t>
        </is>
      </c>
    </row>
    <row r="11" ht="16" customHeight="1">
      <c r="A11" s="95" t="n">
        <v>7</v>
      </c>
      <c r="B11" s="96" t="inlineStr">
        <is>
          <t>Helios Mid Cap Fund - Regular Plan - Growth Plan</t>
        </is>
      </c>
      <c r="C11" s="96" t="inlineStr">
        <is>
          <t>Helios Mutual Fund</t>
        </is>
      </c>
      <c r="D11" s="96" t="inlineStr">
        <is>
          <t>Mid Cap Fund</t>
        </is>
      </c>
      <c r="E11" s="97" t="n">
        <v>-2.64</v>
      </c>
      <c r="F11" s="98" t="n">
        <v>9.890000000000001</v>
      </c>
      <c r="G11" s="97" t="n">
        <v>-1.26</v>
      </c>
      <c r="H11" s="98" t="n">
        <v>7.08</v>
      </c>
      <c r="I11" s="98" t="n">
        <v>0</v>
      </c>
      <c r="J11" s="98" t="n">
        <v>0</v>
      </c>
      <c r="K11" s="17" t="n">
        <v>77.59999999999999</v>
      </c>
      <c r="L11" s="18" t="n">
        <v>0</v>
      </c>
      <c r="M11" s="19" t="n">
        <v>42.7</v>
      </c>
      <c r="N11" s="99" t="inlineStr">
        <is>
          <t>⭐ Strong</t>
        </is>
      </c>
      <c r="O11" s="99" t="inlineStr">
        <is>
          <t>⏳ New Fund</t>
        </is>
      </c>
      <c r="P11" s="99" t="inlineStr">
        <is>
          <t>📈 Momentum Only</t>
        </is>
      </c>
      <c r="Q11" s="100" t="inlineStr">
        <is>
          <t>MOMENTUM_ONLY</t>
        </is>
      </c>
    </row>
    <row r="12" ht="16" customHeight="1">
      <c r="A12" s="85" t="n">
        <v>8</v>
      </c>
      <c r="B12" s="86" t="inlineStr">
        <is>
          <t>Kotak Midcap Fund - Regular Plan - Growth</t>
        </is>
      </c>
      <c r="C12" s="86" t="inlineStr">
        <is>
          <t>Kotak Mahindra Mutual Fund</t>
        </is>
      </c>
      <c r="D12" s="86" t="inlineStr">
        <is>
          <t>Mid Cap Fund</t>
        </is>
      </c>
      <c r="E12" s="87" t="n">
        <v>-2.41</v>
      </c>
      <c r="F12" s="88" t="n">
        <v>5.3</v>
      </c>
      <c r="G12" s="88" t="n">
        <v>0.48</v>
      </c>
      <c r="H12" s="88" t="n">
        <v>2.18</v>
      </c>
      <c r="I12" s="88" t="n">
        <v>6.630202100530602</v>
      </c>
      <c r="J12" s="88" t="n">
        <v>68.69</v>
      </c>
      <c r="K12" s="17" t="n">
        <v>77.59999999999999</v>
      </c>
      <c r="L12" s="18" t="n">
        <v>0</v>
      </c>
      <c r="M12" s="19" t="n">
        <v>42.7</v>
      </c>
      <c r="N12" s="89" t="inlineStr">
        <is>
          <t>⭐ Strong</t>
        </is>
      </c>
      <c r="O12" s="89" t="inlineStr">
        <is>
          <t>🔴 Not Qualified</t>
        </is>
      </c>
      <c r="P12" s="89" t="inlineStr">
        <is>
          <t>⚠️ Watch</t>
        </is>
      </c>
      <c r="Q12" s="68" t="inlineStr">
        <is>
          <t>FULL</t>
        </is>
      </c>
    </row>
    <row r="13" ht="16" customHeight="1">
      <c r="A13" s="90" t="n">
        <v>9</v>
      </c>
      <c r="B13" s="91" t="inlineStr">
        <is>
          <t>ICICI Prudential MidCap Fund - Growth</t>
        </is>
      </c>
      <c r="C13" s="91" t="inlineStr">
        <is>
          <t>ICICI Prudential Mutual Fund</t>
        </is>
      </c>
      <c r="D13" s="91" t="inlineStr">
        <is>
          <t>Mid Cap Fund</t>
        </is>
      </c>
      <c r="E13" s="92" t="n">
        <v>-3.78</v>
      </c>
      <c r="F13" s="93" t="n">
        <v>5.51</v>
      </c>
      <c r="G13" s="93" t="n">
        <v>4.22</v>
      </c>
      <c r="H13" s="93" t="n">
        <v>7.12</v>
      </c>
      <c r="I13" s="93" t="n">
        <v>8.097178501568681</v>
      </c>
      <c r="J13" s="93" t="n">
        <v>87.53</v>
      </c>
      <c r="K13" s="17" t="n">
        <v>75.90000000000001</v>
      </c>
      <c r="L13" s="18" t="n">
        <v>0</v>
      </c>
      <c r="M13" s="19" t="n">
        <v>41.7</v>
      </c>
      <c r="N13" s="94" t="inlineStr">
        <is>
          <t>⭐ Strong</t>
        </is>
      </c>
      <c r="O13" s="94" t="inlineStr">
        <is>
          <t>🔴 Not Qualified</t>
        </is>
      </c>
      <c r="P13" s="94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quant Mid Cap Fund - Growth Option - Regular Plan</t>
        </is>
      </c>
      <c r="C14" s="86" t="inlineStr">
        <is>
          <t>quant Mutual Fund</t>
        </is>
      </c>
      <c r="D14" s="86" t="inlineStr">
        <is>
          <t>Mid Cap Fund</t>
        </is>
      </c>
      <c r="E14" s="87" t="n">
        <v>-0.97</v>
      </c>
      <c r="F14" s="88" t="n">
        <v>10.67</v>
      </c>
      <c r="G14" s="88" t="n">
        <v>0.53</v>
      </c>
      <c r="H14" s="87" t="n">
        <v>-4.37</v>
      </c>
      <c r="I14" s="87" t="n">
        <v>-5.638991103316404</v>
      </c>
      <c r="J14" s="88" t="n">
        <v>54.6</v>
      </c>
      <c r="K14" s="73" t="n">
        <v>74.40000000000001</v>
      </c>
      <c r="L14" s="18" t="n">
        <v>0</v>
      </c>
      <c r="M14" s="19" t="n">
        <v>40.9</v>
      </c>
      <c r="N14" s="89" t="inlineStr">
        <is>
          <t>📈 Good</t>
        </is>
      </c>
      <c r="O14" s="89" t="inlineStr">
        <is>
          <t>🔴 Not Qualified</t>
        </is>
      </c>
      <c r="P14" s="89" t="inlineStr">
        <is>
          <t>⚠️ Watch</t>
        </is>
      </c>
      <c r="Q14" s="68" t="inlineStr">
        <is>
          <t>FULL</t>
        </is>
      </c>
    </row>
    <row r="15" ht="16" customHeight="1">
      <c r="A15" s="90" t="n">
        <v>11</v>
      </c>
      <c r="B15" s="91" t="inlineStr">
        <is>
          <t>Union Midcap Fund - Regular Plan - Growth Option</t>
        </is>
      </c>
      <c r="C15" s="91" t="inlineStr">
        <is>
          <t>Union Mutual Fund</t>
        </is>
      </c>
      <c r="D15" s="91" t="inlineStr">
        <is>
          <t>Mid Cap Fund</t>
        </is>
      </c>
      <c r="E15" s="92" t="n">
        <v>-3.14</v>
      </c>
      <c r="F15" s="93" t="n">
        <v>4.81</v>
      </c>
      <c r="G15" s="93" t="n">
        <v>0.08</v>
      </c>
      <c r="H15" s="93" t="n">
        <v>1.66</v>
      </c>
      <c r="I15" s="93" t="n">
        <v>5.844225161319039</v>
      </c>
      <c r="J15" s="93" t="n">
        <v>60.62</v>
      </c>
      <c r="K15" s="73" t="n">
        <v>66</v>
      </c>
      <c r="L15" s="18" t="n">
        <v>0</v>
      </c>
      <c r="M15" s="19" t="n">
        <v>36.3</v>
      </c>
      <c r="N15" s="94" t="inlineStr">
        <is>
          <t>📈 Good</t>
        </is>
      </c>
      <c r="O15" s="94" t="inlineStr">
        <is>
          <t>🔴 Not Qualified</t>
        </is>
      </c>
      <c r="P15" s="94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Axis Midcap Fund - Regular Plan - Growth</t>
        </is>
      </c>
      <c r="C16" s="86" t="inlineStr">
        <is>
          <t>Axis Mutual Fund</t>
        </is>
      </c>
      <c r="D16" s="86" t="inlineStr">
        <is>
          <t>Mid Cap Fund</t>
        </is>
      </c>
      <c r="E16" s="87" t="n">
        <v>-2.52</v>
      </c>
      <c r="F16" s="88" t="n">
        <v>4.87</v>
      </c>
      <c r="G16" s="88" t="n">
        <v>0.32</v>
      </c>
      <c r="H16" s="87" t="n">
        <v>-0.04</v>
      </c>
      <c r="I16" s="88" t="n">
        <v>4.704345659576137</v>
      </c>
      <c r="J16" s="88" t="n">
        <v>57.71</v>
      </c>
      <c r="K16" s="73" t="n">
        <v>64</v>
      </c>
      <c r="L16" s="18" t="n">
        <v>0</v>
      </c>
      <c r="M16" s="19" t="n">
        <v>35.2</v>
      </c>
      <c r="N16" s="89" t="inlineStr">
        <is>
          <t>📈 Good</t>
        </is>
      </c>
      <c r="O16" s="89" t="inlineStr">
        <is>
          <t>🔴 Not Qualified</t>
        </is>
      </c>
      <c r="P16" s="89" t="inlineStr">
        <is>
          <t>🔴 Avoid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LIC MF Mid Cap Fund-Regular Plan-Growth</t>
        </is>
      </c>
      <c r="C17" s="96" t="inlineStr">
        <is>
          <t>LIC Mutual Fund</t>
        </is>
      </c>
      <c r="D17" s="96" t="inlineStr">
        <is>
          <t>Mid Cap Fund</t>
        </is>
      </c>
      <c r="E17" s="97" t="n">
        <v>-2.93</v>
      </c>
      <c r="F17" s="98" t="n">
        <v>6.64</v>
      </c>
      <c r="G17" s="97" t="n">
        <v>-1.06</v>
      </c>
      <c r="H17" s="97" t="n">
        <v>-3.88</v>
      </c>
      <c r="I17" s="98" t="n">
        <v>2.156742312977067</v>
      </c>
      <c r="J17" s="98" t="n">
        <v>0</v>
      </c>
      <c r="K17" s="73" t="n">
        <v>60.1</v>
      </c>
      <c r="L17" s="18" t="n">
        <v>0</v>
      </c>
      <c r="M17" s="19" t="n">
        <v>33.1</v>
      </c>
      <c r="N17" s="99" t="inlineStr">
        <is>
          <t>📈 Good</t>
        </is>
      </c>
      <c r="O17" s="99" t="inlineStr">
        <is>
          <t>⏳ New Fund</t>
        </is>
      </c>
      <c r="P17" s="99" t="inlineStr">
        <is>
          <t>📈 Momentum Only</t>
        </is>
      </c>
      <c r="Q17" s="100" t="inlineStr">
        <is>
          <t>MOMENTUM_ONLY</t>
        </is>
      </c>
    </row>
    <row r="18" ht="16" customHeight="1">
      <c r="A18" s="85" t="n">
        <v>14</v>
      </c>
      <c r="B18" s="86" t="inlineStr">
        <is>
          <t>BARODA BNP PARIBAS Mid Cap Fund - Regular Plan - Growth Option</t>
        </is>
      </c>
      <c r="C18" s="86" t="inlineStr">
        <is>
          <t>Baroda BNP Paribas Mutual Fund</t>
        </is>
      </c>
      <c r="D18" s="86" t="inlineStr">
        <is>
          <t>Mid Cap Fund</t>
        </is>
      </c>
      <c r="E18" s="87" t="n">
        <v>-3.84</v>
      </c>
      <c r="F18" s="88" t="n">
        <v>4.2</v>
      </c>
      <c r="G18" s="88" t="n">
        <v>0.5</v>
      </c>
      <c r="H18" s="88" t="n">
        <v>4.12</v>
      </c>
      <c r="I18" s="88" t="n">
        <v>5.047608254543334</v>
      </c>
      <c r="J18" s="88" t="n">
        <v>67.01000000000001</v>
      </c>
      <c r="K18" s="73" t="n">
        <v>59.9</v>
      </c>
      <c r="L18" s="18" t="n">
        <v>0</v>
      </c>
      <c r="M18" s="19" t="n">
        <v>32.9</v>
      </c>
      <c r="N18" s="89" t="inlineStr">
        <is>
          <t>➡️ Neutral</t>
        </is>
      </c>
      <c r="O18" s="89" t="inlineStr">
        <is>
          <t>🔴 Not Qualified</t>
        </is>
      </c>
      <c r="P18" s="89" t="inlineStr">
        <is>
          <t>🔴 Avoid</t>
        </is>
      </c>
      <c r="Q18" s="68" t="inlineStr">
        <is>
          <t>FULL</t>
        </is>
      </c>
    </row>
    <row r="19" ht="16" customHeight="1">
      <c r="A19" s="90" t="n">
        <v>15</v>
      </c>
      <c r="B19" s="91" t="inlineStr">
        <is>
          <t>Nippon India Growth Mid Cap Fund-Growth Plan-Growth Option</t>
        </is>
      </c>
      <c r="C19" s="91" t="inlineStr">
        <is>
          <t>Nippon India Mutual Fund</t>
        </is>
      </c>
      <c r="D19" s="91" t="inlineStr">
        <is>
          <t>Mid Cap Fund</t>
        </is>
      </c>
      <c r="E19" s="92" t="n">
        <v>-3.36</v>
      </c>
      <c r="F19" s="93" t="n">
        <v>3.73</v>
      </c>
      <c r="G19" s="93" t="n">
        <v>0.85</v>
      </c>
      <c r="H19" s="93" t="n">
        <v>1.16</v>
      </c>
      <c r="I19" s="93" t="n">
        <v>6.737996983267402</v>
      </c>
      <c r="J19" s="93" t="n">
        <v>80.45999999999999</v>
      </c>
      <c r="K19" s="73" t="n">
        <v>57.9</v>
      </c>
      <c r="L19" s="18" t="n">
        <v>0</v>
      </c>
      <c r="M19" s="19" t="n">
        <v>31.9</v>
      </c>
      <c r="N19" s="94" t="inlineStr">
        <is>
          <t>➡️ Neutral</t>
        </is>
      </c>
      <c r="O19" s="94" t="inlineStr">
        <is>
          <t>🔴 Not Qualified</t>
        </is>
      </c>
      <c r="P19" s="94" t="inlineStr">
        <is>
          <t>🔴 Avoid</t>
        </is>
      </c>
      <c r="Q19" s="68" t="inlineStr">
        <is>
          <t>FULL</t>
        </is>
      </c>
    </row>
    <row r="20" ht="16" customHeight="1">
      <c r="A20" s="85" t="n">
        <v>15</v>
      </c>
      <c r="B20" s="86" t="inlineStr">
        <is>
          <t>Nippon India Growth Mid Cap Fund-Growth Plan-Bonus Option</t>
        </is>
      </c>
      <c r="C20" s="86" t="inlineStr">
        <is>
          <t>Nippon India Mutual Fund</t>
        </is>
      </c>
      <c r="D20" s="86" t="inlineStr">
        <is>
          <t>Mid Cap Fund</t>
        </is>
      </c>
      <c r="E20" s="87" t="n">
        <v>-3.36</v>
      </c>
      <c r="F20" s="88" t="n">
        <v>3.73</v>
      </c>
      <c r="G20" s="88" t="n">
        <v>0.85</v>
      </c>
      <c r="H20" s="88" t="n">
        <v>1.16</v>
      </c>
      <c r="I20" s="88" t="n">
        <v>6.737996983267402</v>
      </c>
      <c r="J20" s="88" t="n">
        <v>80.45999999999999</v>
      </c>
      <c r="K20" s="73" t="n">
        <v>57.9</v>
      </c>
      <c r="L20" s="18" t="n">
        <v>0</v>
      </c>
      <c r="M20" s="19" t="n">
        <v>31.9</v>
      </c>
      <c r="N20" s="89" t="inlineStr">
        <is>
          <t>➡️ Neutral</t>
        </is>
      </c>
      <c r="O20" s="89" t="inlineStr">
        <is>
          <t>🔴 Not Qualified</t>
        </is>
      </c>
      <c r="P20" s="89" t="inlineStr">
        <is>
          <t>🔴 Avoid</t>
        </is>
      </c>
      <c r="Q20" s="68" t="inlineStr">
        <is>
          <t>FULL</t>
        </is>
      </c>
    </row>
    <row r="21" ht="16" customHeight="1">
      <c r="A21" s="90" t="n">
        <v>17</v>
      </c>
      <c r="B21" s="91" t="inlineStr">
        <is>
          <t>Aditya Birla Sun Life MIDCAP Fund-Growth</t>
        </is>
      </c>
      <c r="C21" s="91" t="inlineStr">
        <is>
          <t>Aditya Birla Sun Life Mutual Fund</t>
        </is>
      </c>
      <c r="D21" s="91" t="inlineStr">
        <is>
          <t>Mid Cap Fund</t>
        </is>
      </c>
      <c r="E21" s="92" t="n">
        <v>-3.24</v>
      </c>
      <c r="F21" s="93" t="n">
        <v>6.63</v>
      </c>
      <c r="G21" s="92" t="n">
        <v>-1.16</v>
      </c>
      <c r="H21" s="92" t="n">
        <v>-0.78</v>
      </c>
      <c r="I21" s="93" t="n">
        <v>4.403065089105507</v>
      </c>
      <c r="J21" s="93" t="n">
        <v>61.59</v>
      </c>
      <c r="K21" s="73" t="n">
        <v>57.2</v>
      </c>
      <c r="L21" s="18" t="n">
        <v>0</v>
      </c>
      <c r="M21" s="19" t="n">
        <v>31.5</v>
      </c>
      <c r="N21" s="94" t="inlineStr">
        <is>
          <t>➡️ Neutral</t>
        </is>
      </c>
      <c r="O21" s="94" t="inlineStr">
        <is>
          <t>🔴 Not Qualified</t>
        </is>
      </c>
      <c r="P21" s="94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Mirae Asset Midcap Fund - Regular Plan-Growth Option</t>
        </is>
      </c>
      <c r="C22" s="86" t="inlineStr">
        <is>
          <t>Mirae Asset Mutual Fund</t>
        </is>
      </c>
      <c r="D22" s="86" t="inlineStr">
        <is>
          <t>Mid Cap Fund</t>
        </is>
      </c>
      <c r="E22" s="87" t="n">
        <v>-3.03</v>
      </c>
      <c r="F22" s="88" t="n">
        <v>4.66</v>
      </c>
      <c r="G22" s="87" t="n">
        <v>-3.3</v>
      </c>
      <c r="H22" s="88" t="n">
        <v>2.15</v>
      </c>
      <c r="I22" s="88" t="n">
        <v>4.904718673661201</v>
      </c>
      <c r="J22" s="88" t="n">
        <v>63.98</v>
      </c>
      <c r="K22" s="73" t="n">
        <v>56.9</v>
      </c>
      <c r="L22" s="18" t="n">
        <v>0</v>
      </c>
      <c r="M22" s="19" t="n">
        <v>31.3</v>
      </c>
      <c r="N22" s="89" t="inlineStr">
        <is>
          <t>➡️ Neutral</t>
        </is>
      </c>
      <c r="O22" s="89" t="inlineStr">
        <is>
          <t>🔴 Not Qualified</t>
        </is>
      </c>
      <c r="P22" s="89" t="inlineStr">
        <is>
          <t>🔴 Avoid</t>
        </is>
      </c>
      <c r="Q22" s="68" t="inlineStr">
        <is>
          <t>FULL</t>
        </is>
      </c>
    </row>
    <row r="23" ht="16" customHeight="1">
      <c r="A23" s="95" t="n">
        <v>19</v>
      </c>
      <c r="B23" s="96" t="inlineStr">
        <is>
          <t>Bank of India Mid Cap Fund - Regular Plan Growth</t>
        </is>
      </c>
      <c r="C23" s="96" t="inlineStr">
        <is>
          <t>Bank of India Mutual Fund</t>
        </is>
      </c>
      <c r="D23" s="96" t="inlineStr">
        <is>
          <t>Mid Cap Fund</t>
        </is>
      </c>
      <c r="E23" s="97" t="n">
        <v>-4.03</v>
      </c>
      <c r="F23" s="98" t="n">
        <v>5.05</v>
      </c>
      <c r="G23" s="98" t="n">
        <v>1.03</v>
      </c>
      <c r="H23" s="98" t="n">
        <v>0</v>
      </c>
      <c r="I23" s="98" t="n">
        <v>0</v>
      </c>
      <c r="J23" s="98" t="n">
        <v>0</v>
      </c>
      <c r="K23" s="73" t="n">
        <v>56.6</v>
      </c>
      <c r="L23" s="18" t="n">
        <v>0</v>
      </c>
      <c r="M23" s="19" t="n">
        <v>31.1</v>
      </c>
      <c r="N23" s="99" t="inlineStr">
        <is>
          <t>➡️ Neutral</t>
        </is>
      </c>
      <c r="O23" s="99" t="inlineStr">
        <is>
          <t>⏳ New Fund</t>
        </is>
      </c>
      <c r="P23" s="99" t="inlineStr">
        <is>
          <t>⏳ New Fund</t>
        </is>
      </c>
      <c r="Q23" s="100" t="inlineStr">
        <is>
          <t>MOMENTUM_ONLY</t>
        </is>
      </c>
    </row>
    <row r="24" ht="16" customHeight="1">
      <c r="A24" s="85" t="n">
        <v>20</v>
      </c>
      <c r="B24" s="86" t="inlineStr">
        <is>
          <t>ITI Mid Cap Fund - Regular Plan - Growth Option</t>
        </is>
      </c>
      <c r="C24" s="86" t="inlineStr">
        <is>
          <t>ITI Mutual Fund</t>
        </is>
      </c>
      <c r="D24" s="86" t="inlineStr">
        <is>
          <t>Mid Cap Fund</t>
        </is>
      </c>
      <c r="E24" s="87" t="n">
        <v>-3.17</v>
      </c>
      <c r="F24" s="88" t="n">
        <v>3.95</v>
      </c>
      <c r="G24" s="87" t="n">
        <v>-0.57</v>
      </c>
      <c r="H24" s="88" t="n">
        <v>0.65</v>
      </c>
      <c r="I24" s="88" t="n">
        <v>2.4987804805501</v>
      </c>
      <c r="J24" s="88" t="n">
        <v>76.48</v>
      </c>
      <c r="K24" s="73" t="n">
        <v>55.7</v>
      </c>
      <c r="L24" s="18" t="n">
        <v>0</v>
      </c>
      <c r="M24" s="19" t="n">
        <v>30.7</v>
      </c>
      <c r="N24" s="89" t="inlineStr">
        <is>
          <t>➡️ Neutral</t>
        </is>
      </c>
      <c r="O24" s="89" t="inlineStr">
        <is>
          <t>🔴 Not Qualified</t>
        </is>
      </c>
      <c r="P24" s="89" t="inlineStr">
        <is>
          <t>🔴 Avoid</t>
        </is>
      </c>
      <c r="Q24" s="68" t="inlineStr">
        <is>
          <t>FULL</t>
        </is>
      </c>
    </row>
    <row r="25" ht="16" customHeight="1">
      <c r="A25" s="90" t="n">
        <v>21</v>
      </c>
      <c r="B25" s="91" t="inlineStr">
        <is>
          <t>HDFC Mid Cap Fund - Growth Plan</t>
        </is>
      </c>
      <c r="C25" s="91" t="inlineStr">
        <is>
          <t>HDFC Mutual Fund</t>
        </is>
      </c>
      <c r="D25" s="91" t="inlineStr">
        <is>
          <t>Mid Cap Fund</t>
        </is>
      </c>
      <c r="E25" s="92" t="n">
        <v>-2.06</v>
      </c>
      <c r="F25" s="93" t="n">
        <v>2.38</v>
      </c>
      <c r="G25" s="92" t="n">
        <v>-3.24</v>
      </c>
      <c r="H25" s="93" t="n">
        <v>1.1</v>
      </c>
      <c r="I25" s="93" t="n">
        <v>6.367288204597932</v>
      </c>
      <c r="J25" s="93" t="n">
        <v>72.55</v>
      </c>
      <c r="K25" s="78" t="n">
        <v>49.6</v>
      </c>
      <c r="L25" s="18" t="n">
        <v>0</v>
      </c>
      <c r="M25" s="19" t="n">
        <v>27.3</v>
      </c>
      <c r="N25" s="94" t="inlineStr">
        <is>
          <t>➡️ Neutral</t>
        </is>
      </c>
      <c r="O25" s="94" t="inlineStr">
        <is>
          <t>🔴 Not Qualified</t>
        </is>
      </c>
      <c r="P25" s="94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Edelweiss Mid Cap Fund - Regular Plan - Growth Option</t>
        </is>
      </c>
      <c r="C26" s="86" t="inlineStr">
        <is>
          <t>Edelweiss Mutual Fund</t>
        </is>
      </c>
      <c r="D26" s="86" t="inlineStr">
        <is>
          <t>Mid Cap Fund</t>
        </is>
      </c>
      <c r="E26" s="87" t="n">
        <v>-3.31</v>
      </c>
      <c r="F26" s="88" t="n">
        <v>3.98</v>
      </c>
      <c r="G26" s="87" t="n">
        <v>-1.55</v>
      </c>
      <c r="H26" s="88" t="n">
        <v>0.31</v>
      </c>
      <c r="I26" s="88" t="n">
        <v>8.471194332873466</v>
      </c>
      <c r="J26" s="88" t="n">
        <v>80.25</v>
      </c>
      <c r="K26" s="78" t="n">
        <v>49.1</v>
      </c>
      <c r="L26" s="18" t="n">
        <v>0</v>
      </c>
      <c r="M26" s="19" t="n">
        <v>27</v>
      </c>
      <c r="N26" s="89" t="inlineStr">
        <is>
          <t>➡️ Neutral</t>
        </is>
      </c>
      <c r="O26" s="89" t="inlineStr">
        <is>
          <t>🔴 Not Qualified</t>
        </is>
      </c>
      <c r="P26" s="89" t="inlineStr">
        <is>
          <t>🔴 Avoid</t>
        </is>
      </c>
      <c r="Q26" s="68" t="inlineStr">
        <is>
          <t>FULL</t>
        </is>
      </c>
    </row>
    <row r="27" ht="16" customHeight="1">
      <c r="A27" s="90" t="n">
        <v>23</v>
      </c>
      <c r="B27" s="91" t="inlineStr">
        <is>
          <t>Canara Robeco Mid Cap Fund- Regular Plan- Growth Option</t>
        </is>
      </c>
      <c r="C27" s="91" t="inlineStr">
        <is>
          <t>Canara Robeco Mutual Fund</t>
        </is>
      </c>
      <c r="D27" s="91" t="inlineStr">
        <is>
          <t>Mid Cap Fund</t>
        </is>
      </c>
      <c r="E27" s="92" t="n">
        <v>-3.8</v>
      </c>
      <c r="F27" s="93" t="n">
        <v>4.95</v>
      </c>
      <c r="G27" s="92" t="n">
        <v>-2.19</v>
      </c>
      <c r="H27" s="92" t="n">
        <v>-1.22</v>
      </c>
      <c r="I27" s="93" t="n">
        <v>5.247327757050435</v>
      </c>
      <c r="J27" s="93" t="n">
        <v>60.09</v>
      </c>
      <c r="K27" s="78" t="n">
        <v>41.3</v>
      </c>
      <c r="L27" s="18" t="n">
        <v>0</v>
      </c>
      <c r="M27" s="19" t="n">
        <v>22.7</v>
      </c>
      <c r="N27" s="94" t="inlineStr">
        <is>
          <t>➡️ Neutral</t>
        </is>
      </c>
      <c r="O27" s="94" t="inlineStr">
        <is>
          <t>🔴 Not Qualified</t>
        </is>
      </c>
      <c r="P27" s="94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Sundaram Mid Cap Fund Regular Plan - Growth</t>
        </is>
      </c>
      <c r="C28" s="86" t="inlineStr">
        <is>
          <t>Sundaram Mutual Fund</t>
        </is>
      </c>
      <c r="D28" s="86" t="inlineStr">
        <is>
          <t>Mid Cap Fund</t>
        </is>
      </c>
      <c r="E28" s="87" t="n">
        <v>-3.58</v>
      </c>
      <c r="F28" s="88" t="n">
        <v>3.72</v>
      </c>
      <c r="G28" s="87" t="n">
        <v>-2.25</v>
      </c>
      <c r="H28" s="88" t="n">
        <v>0.88</v>
      </c>
      <c r="I28" s="88" t="n">
        <v>6.686456497532989</v>
      </c>
      <c r="J28" s="88" t="n">
        <v>77.59</v>
      </c>
      <c r="K28" s="78" t="n">
        <v>40.7</v>
      </c>
      <c r="L28" s="18" t="n">
        <v>0</v>
      </c>
      <c r="M28" s="19" t="n">
        <v>22.4</v>
      </c>
      <c r="N28" s="89" t="inlineStr">
        <is>
          <t>➡️ Neutral</t>
        </is>
      </c>
      <c r="O28" s="89" t="inlineStr">
        <is>
          <t>🔴 Not Qualified</t>
        </is>
      </c>
      <c r="P28" s="89" t="inlineStr">
        <is>
          <t>🔴 Avoid</t>
        </is>
      </c>
      <c r="Q28" s="68" t="inlineStr">
        <is>
          <t>FULL</t>
        </is>
      </c>
    </row>
    <row r="29" ht="16" customHeight="1">
      <c r="A29" s="90" t="n">
        <v>25</v>
      </c>
      <c r="B29" s="91" t="inlineStr">
        <is>
          <t>DSP Midcap Fund - Regular Plan - Growth</t>
        </is>
      </c>
      <c r="C29" s="91" t="inlineStr">
        <is>
          <t>DSP Mutual Fund</t>
        </is>
      </c>
      <c r="D29" s="91" t="inlineStr">
        <is>
          <t>Mid Cap Fund</t>
        </is>
      </c>
      <c r="E29" s="92" t="n">
        <v>-3.4</v>
      </c>
      <c r="F29" s="93" t="n">
        <v>3.25</v>
      </c>
      <c r="G29" s="92" t="n">
        <v>-2.6</v>
      </c>
      <c r="H29" s="92" t="n">
        <v>-0.9399999999999999</v>
      </c>
      <c r="I29" s="93" t="n">
        <v>3.25696102442683</v>
      </c>
      <c r="J29" s="93" t="n">
        <v>59.61</v>
      </c>
      <c r="K29" s="78" t="n">
        <v>36.3</v>
      </c>
      <c r="L29" s="18" t="n">
        <v>0</v>
      </c>
      <c r="M29" s="19" t="n">
        <v>20</v>
      </c>
      <c r="N29" s="94" t="inlineStr">
        <is>
          <t>📉 Weak</t>
        </is>
      </c>
      <c r="O29" s="94" t="inlineStr">
        <is>
          <t>🔴 Not Qualified</t>
        </is>
      </c>
      <c r="P29" s="94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NIPPON INDIA GROWTH MID CAP FUND - INSTITUTIONAL Plan - IDCW Option</t>
        </is>
      </c>
      <c r="C30" s="86" t="inlineStr">
        <is>
          <t>Nippon India Mutual Fund</t>
        </is>
      </c>
      <c r="D30" s="86" t="inlineStr">
        <is>
          <t>Mid Cap Fund</t>
        </is>
      </c>
      <c r="E30" s="87" t="n">
        <v>-3.3</v>
      </c>
      <c r="F30" s="88" t="n">
        <v>4.43</v>
      </c>
      <c r="G30" s="87" t="n">
        <v>-4.79</v>
      </c>
      <c r="H30" s="87" t="n">
        <v>-4.33</v>
      </c>
      <c r="I30" s="88" t="n">
        <v>0.2247474429344587</v>
      </c>
      <c r="J30" s="88" t="n">
        <v>58.24</v>
      </c>
      <c r="K30" s="78" t="n">
        <v>36.2</v>
      </c>
      <c r="L30" s="18" t="n">
        <v>0</v>
      </c>
      <c r="M30" s="19" t="n">
        <v>19.9</v>
      </c>
      <c r="N30" s="89" t="inlineStr">
        <is>
          <t>📉 Weak</t>
        </is>
      </c>
      <c r="O30" s="89" t="inlineStr">
        <is>
          <t>🔴 Not Qualified</t>
        </is>
      </c>
      <c r="P30" s="89" t="inlineStr">
        <is>
          <t>🔴 Avoid</t>
        </is>
      </c>
      <c r="Q30" s="68" t="inlineStr">
        <is>
          <t>FULL</t>
        </is>
      </c>
    </row>
    <row r="31" ht="16" customHeight="1">
      <c r="A31" s="90" t="n">
        <v>27</v>
      </c>
      <c r="B31" s="91" t="inlineStr">
        <is>
          <t>Tata Mid Cap Fund Regular Plan- Growth Option</t>
        </is>
      </c>
      <c r="C31" s="91" t="inlineStr">
        <is>
          <t>Tata Mutual Fund</t>
        </is>
      </c>
      <c r="D31" s="91" t="inlineStr">
        <is>
          <t>Mid Cap Fund</t>
        </is>
      </c>
      <c r="E31" s="92" t="n">
        <v>-4.13</v>
      </c>
      <c r="F31" s="93" t="n">
        <v>2.38</v>
      </c>
      <c r="G31" s="92" t="n">
        <v>-3.08</v>
      </c>
      <c r="H31" s="93" t="n">
        <v>0.88</v>
      </c>
      <c r="I31" s="93" t="n">
        <v>1.710373118969533</v>
      </c>
      <c r="J31" s="93" t="n">
        <v>60.45</v>
      </c>
      <c r="K31" s="78" t="n">
        <v>29.9</v>
      </c>
      <c r="L31" s="18" t="n">
        <v>0</v>
      </c>
      <c r="M31" s="19" t="n">
        <v>16.4</v>
      </c>
      <c r="N31" s="94" t="inlineStr">
        <is>
          <t>📉 Weak</t>
        </is>
      </c>
      <c r="O31" s="94" t="inlineStr">
        <is>
          <t>🔴 Not Qualified</t>
        </is>
      </c>
      <c r="P31" s="94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PGIM India Midcap Fund - Regular Plan - Growth Option</t>
        </is>
      </c>
      <c r="C32" s="86" t="inlineStr">
        <is>
          <t>PGIM India Mutual Fund</t>
        </is>
      </c>
      <c r="D32" s="86" t="inlineStr">
        <is>
          <t>Mid Cap Fund</t>
        </is>
      </c>
      <c r="E32" s="87" t="n">
        <v>-3.33</v>
      </c>
      <c r="F32" s="88" t="n">
        <v>3.17</v>
      </c>
      <c r="G32" s="87" t="n">
        <v>-3.8</v>
      </c>
      <c r="H32" s="87" t="n">
        <v>-5.16</v>
      </c>
      <c r="I32" s="88" t="n">
        <v>1.803732740995301</v>
      </c>
      <c r="J32" s="88" t="n">
        <v>36.61</v>
      </c>
      <c r="K32" s="78" t="n">
        <v>27.4</v>
      </c>
      <c r="L32" s="18" t="n">
        <v>0</v>
      </c>
      <c r="M32" s="19" t="n">
        <v>15</v>
      </c>
      <c r="N32" s="89" t="inlineStr">
        <is>
          <t>📉 Weak</t>
        </is>
      </c>
      <c r="O32" s="89" t="inlineStr">
        <is>
          <t>🔴 Not Qualified</t>
        </is>
      </c>
      <c r="P32" s="89" t="inlineStr">
        <is>
          <t>🔴 Avoid</t>
        </is>
      </c>
      <c r="Q32" s="68" t="inlineStr">
        <is>
          <t>FULL</t>
        </is>
      </c>
    </row>
    <row r="33" ht="16" customHeight="1">
      <c r="A33" s="90" t="n">
        <v>29</v>
      </c>
      <c r="B33" s="91" t="inlineStr">
        <is>
          <t>UTI Mid Cap Fund-Growth Option</t>
        </is>
      </c>
      <c r="C33" s="91" t="inlineStr">
        <is>
          <t>UTI Mutual Fund</t>
        </is>
      </c>
      <c r="D33" s="91" t="inlineStr">
        <is>
          <t>Mid Cap Fund</t>
        </is>
      </c>
      <c r="E33" s="92" t="n">
        <v>-3.48</v>
      </c>
      <c r="F33" s="93" t="n">
        <v>2.65</v>
      </c>
      <c r="G33" s="92" t="n">
        <v>-3.66</v>
      </c>
      <c r="H33" s="92" t="n">
        <v>-4.5</v>
      </c>
      <c r="I33" s="93" t="n">
        <v>1.34594219799824</v>
      </c>
      <c r="J33" s="93" t="n">
        <v>45.44</v>
      </c>
      <c r="K33" s="78" t="n">
        <v>25.4</v>
      </c>
      <c r="L33" s="18" t="n">
        <v>0</v>
      </c>
      <c r="M33" s="19" t="n">
        <v>14</v>
      </c>
      <c r="N33" s="94" t="inlineStr">
        <is>
          <t>📉 Weak</t>
        </is>
      </c>
      <c r="O33" s="94" t="inlineStr">
        <is>
          <t>🔴 Not Qualified</t>
        </is>
      </c>
      <c r="P33" s="94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NIPPON INDIA GROWTH MID CAP FUND - IDCW Option</t>
        </is>
      </c>
      <c r="C34" s="86" t="inlineStr">
        <is>
          <t>Nippon India Mutual Fund</t>
        </is>
      </c>
      <c r="D34" s="86" t="inlineStr">
        <is>
          <t>Mid Cap Fund</t>
        </is>
      </c>
      <c r="E34" s="87" t="n">
        <v>-3.36</v>
      </c>
      <c r="F34" s="88" t="n">
        <v>3.73</v>
      </c>
      <c r="G34" s="87" t="n">
        <v>-6.63</v>
      </c>
      <c r="H34" s="87" t="n">
        <v>-6.34</v>
      </c>
      <c r="I34" s="87" t="n">
        <v>-1.379515312486923</v>
      </c>
      <c r="J34" s="88" t="n">
        <v>40.4</v>
      </c>
      <c r="K34" s="78" t="n">
        <v>22.8</v>
      </c>
      <c r="L34" s="18" t="n">
        <v>0</v>
      </c>
      <c r="M34" s="19" t="n">
        <v>12.5</v>
      </c>
      <c r="N34" s="89" t="inlineStr">
        <is>
          <t>📉 Weak</t>
        </is>
      </c>
      <c r="O34" s="89" t="inlineStr">
        <is>
          <t>🔴 Not Qualified</t>
        </is>
      </c>
      <c r="P34" s="89" t="inlineStr">
        <is>
          <t>🔴 Avoid</t>
        </is>
      </c>
      <c r="Q34" s="68" t="inlineStr">
        <is>
          <t>FULL</t>
        </is>
      </c>
    </row>
    <row r="35" ht="16" customHeight="1">
      <c r="A35" s="90" t="n">
        <v>31</v>
      </c>
      <c r="B35" s="91" t="inlineStr">
        <is>
          <t>SBI MIDCAP FUND - REGULAR PLAN - GROWTH</t>
        </is>
      </c>
      <c r="C35" s="91" t="inlineStr">
        <is>
          <t>SBI Mutual Fund</t>
        </is>
      </c>
      <c r="D35" s="91" t="inlineStr">
        <is>
          <t>Mid Cap Fund</t>
        </is>
      </c>
      <c r="E35" s="92" t="n">
        <v>-4.43</v>
      </c>
      <c r="F35" s="93" t="n">
        <v>1.8</v>
      </c>
      <c r="G35" s="92" t="n">
        <v>-2.66</v>
      </c>
      <c r="H35" s="92" t="n">
        <v>-4.64</v>
      </c>
      <c r="I35" s="93" t="n">
        <v>0.8117056695302605</v>
      </c>
      <c r="J35" s="93" t="n">
        <v>38.92</v>
      </c>
      <c r="K35" s="78" t="n">
        <v>21.5</v>
      </c>
      <c r="L35" s="18" t="n">
        <v>0</v>
      </c>
      <c r="M35" s="19" t="n">
        <v>11.8</v>
      </c>
      <c r="N35" s="94" t="inlineStr">
        <is>
          <t>📉 Weak</t>
        </is>
      </c>
      <c r="O35" s="94" t="inlineStr">
        <is>
          <t>🔴 Not Qualified</t>
        </is>
      </c>
      <c r="P35" s="94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Franklin India Mid Cap Fund-Growth</t>
        </is>
      </c>
      <c r="C36" s="86" t="inlineStr">
        <is>
          <t>Franklin Templeton Mutual Fund</t>
        </is>
      </c>
      <c r="D36" s="86" t="inlineStr">
        <is>
          <t>Mid Cap Fund</t>
        </is>
      </c>
      <c r="E36" s="87" t="n">
        <v>-3.63</v>
      </c>
      <c r="F36" s="88" t="n">
        <v>1.69</v>
      </c>
      <c r="G36" s="87" t="n">
        <v>-6.53</v>
      </c>
      <c r="H36" s="87" t="n">
        <v>-6.07</v>
      </c>
      <c r="I36" s="88" t="n">
        <v>2.176318195558413</v>
      </c>
      <c r="J36" s="88" t="n">
        <v>59.2</v>
      </c>
      <c r="K36" s="78" t="n">
        <v>16.8</v>
      </c>
      <c r="L36" s="18" t="n">
        <v>0</v>
      </c>
      <c r="M36" s="19" t="n">
        <v>9.199999999999999</v>
      </c>
      <c r="N36" s="89" t="inlineStr">
        <is>
          <t>📉 Weak</t>
        </is>
      </c>
      <c r="O36" s="89" t="inlineStr">
        <is>
          <t>🔴 Not Qualified</t>
        </is>
      </c>
      <c r="P36" s="89" t="inlineStr">
        <is>
          <t>🔴 Avoid</t>
        </is>
      </c>
      <c r="Q36" s="68" t="inlineStr">
        <is>
          <t>FULL</t>
        </is>
      </c>
    </row>
    <row r="37" ht="16" customHeight="1">
      <c r="A37" s="90" t="n">
        <v>33</v>
      </c>
      <c r="B37" s="91" t="inlineStr">
        <is>
          <t>Motilal Oswal Midcap Fund-Regular Plan-Growth Option</t>
        </is>
      </c>
      <c r="C37" s="91" t="inlineStr">
        <is>
          <t>Motilal Oswal Mutual Fund</t>
        </is>
      </c>
      <c r="D37" s="91" t="inlineStr">
        <is>
          <t>Mid Cap Fund</t>
        </is>
      </c>
      <c r="E37" s="92" t="n">
        <v>-4.71</v>
      </c>
      <c r="F37" s="93" t="n">
        <v>4.63</v>
      </c>
      <c r="G37" s="92" t="n">
        <v>-12.17</v>
      </c>
      <c r="H37" s="92" t="n">
        <v>-13.23</v>
      </c>
      <c r="I37" s="93" t="n">
        <v>0.02999550134950013</v>
      </c>
      <c r="J37" s="93" t="n">
        <v>55.66</v>
      </c>
      <c r="K37" s="78" t="n">
        <v>14</v>
      </c>
      <c r="L37" s="18" t="n">
        <v>0</v>
      </c>
      <c r="M37" s="19" t="n">
        <v>7.7</v>
      </c>
      <c r="N37" s="94" t="inlineStr">
        <is>
          <t>📉 Weak</t>
        </is>
      </c>
      <c r="O37" s="94" t="inlineStr">
        <is>
          <t>🔴 Not Qualified</t>
        </is>
      </c>
      <c r="P37" s="94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Taurus Mid Cap Fund - Regular Plan - Payout of Income Distribution cum Capital Withdrawal option</t>
        </is>
      </c>
      <c r="C38" s="86" t="inlineStr">
        <is>
          <t>Taurus Mutual Fund</t>
        </is>
      </c>
      <c r="D38" s="86" t="inlineStr">
        <is>
          <t>Mid Cap Fund</t>
        </is>
      </c>
      <c r="E38" s="87" t="n">
        <v>-5.14</v>
      </c>
      <c r="F38" s="88" t="n">
        <v>1.65</v>
      </c>
      <c r="G38" s="87" t="n">
        <v>-6.71</v>
      </c>
      <c r="H38" s="87" t="n">
        <v>-8.539999999999999</v>
      </c>
      <c r="I38" s="87" t="n">
        <v>-3.02577662079474</v>
      </c>
      <c r="J38" s="88" t="n">
        <v>35.95</v>
      </c>
      <c r="K38" s="78" t="n">
        <v>5</v>
      </c>
      <c r="L38" s="18" t="n">
        <v>0</v>
      </c>
      <c r="M38" s="19" t="n">
        <v>2.8</v>
      </c>
      <c r="N38" s="89" t="inlineStr">
        <is>
          <t>📉 Weak</t>
        </is>
      </c>
      <c r="O38" s="89" t="inlineStr">
        <is>
          <t>🔴 Not Qualified</t>
        </is>
      </c>
      <c r="P38" s="89" t="inlineStr">
        <is>
          <t>🔴 Avoid</t>
        </is>
      </c>
      <c r="Q38" s="68" t="inlineStr">
        <is>
          <t>FULL</t>
        </is>
      </c>
    </row>
    <row r="39" ht="16" customHeight="1">
      <c r="A39" s="90" t="n">
        <v>35</v>
      </c>
      <c r="B39" s="91" t="inlineStr">
        <is>
          <t>Taurus Mid Cap Fund - Regular Plan - Growth</t>
        </is>
      </c>
      <c r="C39" s="91" t="inlineStr">
        <is>
          <t>Taurus Mutual Fund</t>
        </is>
      </c>
      <c r="D39" s="91" t="inlineStr">
        <is>
          <t>Mid Cap Fund</t>
        </is>
      </c>
      <c r="E39" s="92" t="n">
        <v>-5.13</v>
      </c>
      <c r="F39" s="93" t="n">
        <v>1.65</v>
      </c>
      <c r="G39" s="92" t="n">
        <v>-6.72</v>
      </c>
      <c r="H39" s="92" t="n">
        <v>-8.539999999999999</v>
      </c>
      <c r="I39" s="92" t="n">
        <v>-3.02577662079474</v>
      </c>
      <c r="J39" s="93" t="n">
        <v>35.95</v>
      </c>
      <c r="K39" s="78" t="n">
        <v>4.9</v>
      </c>
      <c r="L39" s="18" t="n">
        <v>0</v>
      </c>
      <c r="M39" s="19" t="n">
        <v>2.7</v>
      </c>
      <c r="N39" s="94" t="inlineStr">
        <is>
          <t>📉 Weak</t>
        </is>
      </c>
      <c r="O39" s="94" t="inlineStr">
        <is>
          <t>🔴 Not Qualified</t>
        </is>
      </c>
      <c r="P39" s="94" t="inlineStr">
        <is>
          <t>🔴 Avoid</t>
        </is>
      </c>
      <c r="Q39" s="68" t="inlineStr">
        <is>
          <t>FULL</t>
        </is>
      </c>
    </row>
    <row r="40" ht="16" customHeight="1">
      <c r="A40" s="80" t="n">
        <v>0</v>
      </c>
      <c r="B40" s="81" t="inlineStr">
        <is>
          <t>Samco Mid Cap Fund - Regular Plan</t>
        </is>
      </c>
      <c r="C40" s="81" t="inlineStr">
        <is>
          <t>Samco Mutual Fund</t>
        </is>
      </c>
      <c r="D40" s="81" t="inlineStr">
        <is>
          <t>Mid Cap Fund</t>
        </is>
      </c>
      <c r="E40" s="101" t="n">
        <v>-2.63</v>
      </c>
      <c r="F40" s="82" t="n">
        <v>1.69</v>
      </c>
      <c r="G40" s="82" t="n">
        <v>0</v>
      </c>
      <c r="H40" s="82" t="n">
        <v>0</v>
      </c>
      <c r="I40" s="82" t="n">
        <v>0</v>
      </c>
      <c r="J40" s="82" t="n">
        <v>0</v>
      </c>
      <c r="K40" s="78" t="n">
        <v>0</v>
      </c>
      <c r="L40" s="18" t="n">
        <v>0</v>
      </c>
      <c r="M40" s="19" t="n">
        <v>0</v>
      </c>
      <c r="N40" s="83" t="inlineStr">
        <is>
          <t>❌ N/A</t>
        </is>
      </c>
      <c r="O40" s="83" t="inlineStr">
        <is>
          <t>❌ N/A</t>
        </is>
      </c>
      <c r="P40" s="83" t="inlineStr">
        <is>
          <t>❌ Missing Data</t>
        </is>
      </c>
      <c r="Q40" s="84" t="inlineStr">
        <is>
          <t>MISSING</t>
        </is>
      </c>
    </row>
    <row r="41" ht="16" customHeight="1">
      <c r="A41" s="80" t="n">
        <v>0</v>
      </c>
      <c r="B41" s="81" t="inlineStr">
        <is>
          <t>TRUSTMF MID CAP FUND -REGULAR-GROWTH</t>
        </is>
      </c>
      <c r="C41" s="81" t="inlineStr">
        <is>
          <t>Trust Mutual Fund</t>
        </is>
      </c>
      <c r="D41" s="81" t="inlineStr">
        <is>
          <t>Mid Cap Fund</t>
        </is>
      </c>
      <c r="E41" s="101" t="n">
        <v>-0.72</v>
      </c>
      <c r="F41" s="82" t="n">
        <v>0</v>
      </c>
      <c r="G41" s="82" t="n">
        <v>0</v>
      </c>
      <c r="H41" s="82" t="n">
        <v>0</v>
      </c>
      <c r="I41" s="82" t="n">
        <v>0</v>
      </c>
      <c r="J41" s="82" t="n">
        <v>0</v>
      </c>
      <c r="K41" s="78" t="n">
        <v>0</v>
      </c>
      <c r="L41" s="18" t="n">
        <v>0</v>
      </c>
      <c r="M41" s="19" t="n">
        <v>0</v>
      </c>
      <c r="N41" s="83" t="inlineStr">
        <is>
          <t>❌ N/A</t>
        </is>
      </c>
      <c r="O41" s="83" t="inlineStr">
        <is>
          <t>❌ N/A</t>
        </is>
      </c>
      <c r="P41" s="83" t="inlineStr">
        <is>
          <t>❌ Missing Data</t>
        </is>
      </c>
      <c r="Q41" s="84" t="inlineStr">
        <is>
          <t>MISSING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MULTI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ITI Multi Cap Fund - Regular Plan - Growth Option</t>
        </is>
      </c>
      <c r="C5" s="65" t="inlineStr">
        <is>
          <t>ITI Mutual Fund</t>
        </is>
      </c>
      <c r="D5" s="65" t="inlineStr">
        <is>
          <t>Multi Cap Fund</t>
        </is>
      </c>
      <c r="E5" s="66" t="n">
        <v>-1.33</v>
      </c>
      <c r="F5" s="67" t="n">
        <v>6.43</v>
      </c>
      <c r="G5" s="67" t="n">
        <v>1.19</v>
      </c>
      <c r="H5" s="67" t="n">
        <v>1.46</v>
      </c>
      <c r="I5" s="67" t="n">
        <v>2.547549946354155</v>
      </c>
      <c r="J5" s="67" t="n">
        <v>60.34</v>
      </c>
      <c r="K5" s="17" t="n">
        <v>92.7</v>
      </c>
      <c r="L5" s="18" t="n">
        <v>0</v>
      </c>
      <c r="M5" s="21" t="n">
        <v>51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95" t="n">
        <v>2</v>
      </c>
      <c r="B6" s="96" t="inlineStr">
        <is>
          <t>TRUSTMF MULTI CAP FUND -REGULAR PLAN-GROWTH</t>
        </is>
      </c>
      <c r="C6" s="96" t="inlineStr">
        <is>
          <t>Trust Mutual Fund</t>
        </is>
      </c>
      <c r="D6" s="96" t="inlineStr">
        <is>
          <t>Multi Cap Fund</t>
        </is>
      </c>
      <c r="E6" s="97" t="n">
        <v>-0.19</v>
      </c>
      <c r="F6" s="98" t="n">
        <v>9.300000000000001</v>
      </c>
      <c r="G6" s="98" t="n">
        <v>2.99</v>
      </c>
      <c r="H6" s="98" t="n">
        <v>0</v>
      </c>
      <c r="I6" s="98" t="n">
        <v>0</v>
      </c>
      <c r="J6" s="98" t="n">
        <v>0</v>
      </c>
      <c r="K6" s="17" t="n">
        <v>92.3</v>
      </c>
      <c r="L6" s="18" t="n">
        <v>0</v>
      </c>
      <c r="M6" s="21" t="n">
        <v>50.8</v>
      </c>
      <c r="N6" s="99" t="inlineStr">
        <is>
          <t>🔥 Hot</t>
        </is>
      </c>
      <c r="O6" s="99" t="inlineStr">
        <is>
          <t>⏳ New Fund</t>
        </is>
      </c>
      <c r="P6" s="99" t="inlineStr">
        <is>
          <t>🔥 Hot Momentum</t>
        </is>
      </c>
      <c r="Q6" s="100" t="inlineStr">
        <is>
          <t>MOMENTUM_ONLY</t>
        </is>
      </c>
    </row>
    <row r="7" ht="16" customHeight="1">
      <c r="A7" s="95" t="n">
        <v>3</v>
      </c>
      <c r="B7" s="96" t="inlineStr">
        <is>
          <t>Groww Multicap Fund - Regular - Growth</t>
        </is>
      </c>
      <c r="C7" s="96" t="inlineStr">
        <is>
          <t>Groww Mutual Fund</t>
        </is>
      </c>
      <c r="D7" s="96" t="inlineStr">
        <is>
          <t>Multi Cap Fund</t>
        </is>
      </c>
      <c r="E7" s="97" t="n">
        <v>-2.14</v>
      </c>
      <c r="F7" s="98" t="n">
        <v>9.970000000000001</v>
      </c>
      <c r="G7" s="98" t="n">
        <v>2.64</v>
      </c>
      <c r="H7" s="98" t="n">
        <v>7.32</v>
      </c>
      <c r="I7" s="98" t="n">
        <v>0</v>
      </c>
      <c r="J7" s="98" t="n">
        <v>0</v>
      </c>
      <c r="K7" s="17" t="n">
        <v>91.3</v>
      </c>
      <c r="L7" s="18" t="n">
        <v>0</v>
      </c>
      <c r="M7" s="21" t="n">
        <v>50.2</v>
      </c>
      <c r="N7" s="99" t="inlineStr">
        <is>
          <t>🔥 Hot</t>
        </is>
      </c>
      <c r="O7" s="99" t="inlineStr">
        <is>
          <t>⏳ New Fund</t>
        </is>
      </c>
      <c r="P7" s="99" t="inlineStr">
        <is>
          <t>🔥 Hot Momentum</t>
        </is>
      </c>
      <c r="Q7" s="100" t="inlineStr">
        <is>
          <t>MOMENTUM_ONLY</t>
        </is>
      </c>
    </row>
    <row r="8" ht="16" customHeight="1">
      <c r="A8" s="85" t="n">
        <v>4</v>
      </c>
      <c r="B8" s="86" t="inlineStr">
        <is>
          <t>Tata Multicap Fund - Regular Plan - Growth</t>
        </is>
      </c>
      <c r="C8" s="86" t="inlineStr">
        <is>
          <t>Tata Mutual Fund</t>
        </is>
      </c>
      <c r="D8" s="86" t="inlineStr">
        <is>
          <t>Multi Cap Fund</t>
        </is>
      </c>
      <c r="E8" s="87" t="n">
        <v>-1.7</v>
      </c>
      <c r="F8" s="88" t="n">
        <v>5.95</v>
      </c>
      <c r="G8" s="87" t="n">
        <v>-0.62</v>
      </c>
      <c r="H8" s="88" t="n">
        <v>2.82</v>
      </c>
      <c r="I8" s="88" t="n">
        <v>2.542674043541515</v>
      </c>
      <c r="J8" s="88" t="n">
        <v>37.54</v>
      </c>
      <c r="K8" s="17" t="n">
        <v>84.90000000000001</v>
      </c>
      <c r="L8" s="18" t="n">
        <v>0</v>
      </c>
      <c r="M8" s="19" t="n">
        <v>46.7</v>
      </c>
      <c r="N8" s="89" t="inlineStr">
        <is>
          <t>⭐ Strong</t>
        </is>
      </c>
      <c r="O8" s="89" t="inlineStr">
        <is>
          <t>🔴 Not Qualified</t>
        </is>
      </c>
      <c r="P8" s="89" t="inlineStr">
        <is>
          <t>⚠️ Watch</t>
        </is>
      </c>
      <c r="Q8" s="68" t="inlineStr">
        <is>
          <t>FULL</t>
        </is>
      </c>
    </row>
    <row r="9" ht="16" customHeight="1">
      <c r="A9" s="90" t="n">
        <v>5</v>
      </c>
      <c r="B9" s="91" t="inlineStr">
        <is>
          <t>quant Multi Cap Fund-GROWTH OPTION - Regular Plan</t>
        </is>
      </c>
      <c r="C9" s="91" t="inlineStr">
        <is>
          <t>quant Mutual Fund</t>
        </is>
      </c>
      <c r="D9" s="91" t="inlineStr">
        <is>
          <t>Multi Cap Fund</t>
        </is>
      </c>
      <c r="E9" s="92" t="n">
        <v>-1.47</v>
      </c>
      <c r="F9" s="93" t="n">
        <v>10.64</v>
      </c>
      <c r="G9" s="93" t="n">
        <v>2.25</v>
      </c>
      <c r="H9" s="92" t="n">
        <v>-1.89</v>
      </c>
      <c r="I9" s="92" t="n">
        <v>-4.527490867789597</v>
      </c>
      <c r="J9" s="93" t="n">
        <v>38.98</v>
      </c>
      <c r="K9" s="17" t="n">
        <v>84</v>
      </c>
      <c r="L9" s="18" t="n">
        <v>0</v>
      </c>
      <c r="M9" s="19" t="n">
        <v>46.2</v>
      </c>
      <c r="N9" s="94" t="inlineStr">
        <is>
          <t>⭐ Strong</t>
        </is>
      </c>
      <c r="O9" s="94" t="inlineStr">
        <is>
          <t>🔴 Not Qualified</t>
        </is>
      </c>
      <c r="P9" s="94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Union Multicap Fund - Regular Plan - Growth Option</t>
        </is>
      </c>
      <c r="C10" s="86" t="inlineStr">
        <is>
          <t>Union Mutual Fund</t>
        </is>
      </c>
      <c r="D10" s="86" t="inlineStr">
        <is>
          <t>Multi Cap Fund</t>
        </is>
      </c>
      <c r="E10" s="87" t="n">
        <v>-2.01</v>
      </c>
      <c r="F10" s="88" t="n">
        <v>5.45</v>
      </c>
      <c r="G10" s="87" t="n">
        <v>-0.5600000000000001</v>
      </c>
      <c r="H10" s="88" t="n">
        <v>2.62</v>
      </c>
      <c r="I10" s="88" t="n">
        <v>4.699570199690895</v>
      </c>
      <c r="J10" s="88" t="n">
        <v>52.66</v>
      </c>
      <c r="K10" s="17" t="n">
        <v>80.40000000000001</v>
      </c>
      <c r="L10" s="18" t="n">
        <v>0</v>
      </c>
      <c r="M10" s="19" t="n">
        <v>44.2</v>
      </c>
      <c r="N10" s="89" t="inlineStr">
        <is>
          <t>⭐ Strong</t>
        </is>
      </c>
      <c r="O10" s="89" t="inlineStr">
        <is>
          <t>🔴 Not Qualified</t>
        </is>
      </c>
      <c r="P10" s="89" t="inlineStr">
        <is>
          <t>⚠️ Watch</t>
        </is>
      </c>
      <c r="Q10" s="68" t="inlineStr">
        <is>
          <t>FULL</t>
        </is>
      </c>
    </row>
    <row r="11" ht="16" customHeight="1">
      <c r="A11" s="90" t="n">
        <v>7</v>
      </c>
      <c r="B11" s="91" t="inlineStr">
        <is>
          <t>LIC MF Multi Cap Fund-Regular Plan-Growth</t>
        </is>
      </c>
      <c r="C11" s="91" t="inlineStr">
        <is>
          <t>LIC Mutual Fund</t>
        </is>
      </c>
      <c r="D11" s="91" t="inlineStr">
        <is>
          <t>Multi Cap Fund</t>
        </is>
      </c>
      <c r="E11" s="92" t="n">
        <v>-1.42</v>
      </c>
      <c r="F11" s="93" t="n">
        <v>6</v>
      </c>
      <c r="G11" s="92" t="n">
        <v>-1.4</v>
      </c>
      <c r="H11" s="92" t="n">
        <v>-0.19</v>
      </c>
      <c r="I11" s="93" t="n">
        <v>5.475115548644927</v>
      </c>
      <c r="J11" s="93" t="n">
        <v>62.5</v>
      </c>
      <c r="K11" s="17" t="n">
        <v>78.40000000000001</v>
      </c>
      <c r="L11" s="18" t="n">
        <v>0</v>
      </c>
      <c r="M11" s="19" t="n">
        <v>43.1</v>
      </c>
      <c r="N11" s="94" t="inlineStr">
        <is>
          <t>⭐ Strong</t>
        </is>
      </c>
      <c r="O11" s="94" t="inlineStr">
        <is>
          <t>🔴 Not Qualified</t>
        </is>
      </c>
      <c r="P11" s="94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Bank of India Multi Cap Fund Regular Plan - Growth</t>
        </is>
      </c>
      <c r="C12" s="86" t="inlineStr">
        <is>
          <t>Bank of India Mutual Fund</t>
        </is>
      </c>
      <c r="D12" s="86" t="inlineStr">
        <is>
          <t>Multi Cap Fund</t>
        </is>
      </c>
      <c r="E12" s="87" t="n">
        <v>-2.28</v>
      </c>
      <c r="F12" s="88" t="n">
        <v>5.26</v>
      </c>
      <c r="G12" s="87" t="n">
        <v>-0.05</v>
      </c>
      <c r="H12" s="88" t="n">
        <v>3.43</v>
      </c>
      <c r="I12" s="88" t="n">
        <v>5.437185091408803</v>
      </c>
      <c r="J12" s="88" t="n">
        <v>65.70999999999999</v>
      </c>
      <c r="K12" s="17" t="n">
        <v>78</v>
      </c>
      <c r="L12" s="18" t="n">
        <v>0</v>
      </c>
      <c r="M12" s="19" t="n">
        <v>42.9</v>
      </c>
      <c r="N12" s="89" t="inlineStr">
        <is>
          <t>⭐ Strong</t>
        </is>
      </c>
      <c r="O12" s="89" t="inlineStr">
        <is>
          <t>🔴 Not Qualified</t>
        </is>
      </c>
      <c r="P12" s="89" t="inlineStr">
        <is>
          <t>⚠️ Watch</t>
        </is>
      </c>
      <c r="Q12" s="68" t="inlineStr">
        <is>
          <t>FULL</t>
        </is>
      </c>
    </row>
    <row r="13" ht="16" customHeight="1">
      <c r="A13" s="95" t="n">
        <v>9</v>
      </c>
      <c r="B13" s="96" t="inlineStr">
        <is>
          <t>BAJAJ FINSERV MULTI CAP FUND - REGULAR - GROWTH</t>
        </is>
      </c>
      <c r="C13" s="96" t="inlineStr">
        <is>
          <t>Bajaj Finserv Mutual Fund</t>
        </is>
      </c>
      <c r="D13" s="96" t="inlineStr">
        <is>
          <t>Multi Cap Fund</t>
        </is>
      </c>
      <c r="E13" s="97" t="n">
        <v>-1.98</v>
      </c>
      <c r="F13" s="98" t="n">
        <v>6.05</v>
      </c>
      <c r="G13" s="97" t="n">
        <v>-1.02</v>
      </c>
      <c r="H13" s="97" t="n">
        <v>-0.68</v>
      </c>
      <c r="I13" s="98" t="n">
        <v>0</v>
      </c>
      <c r="J13" s="98" t="n">
        <v>0</v>
      </c>
      <c r="K13" s="17" t="n">
        <v>75.40000000000001</v>
      </c>
      <c r="L13" s="18" t="n">
        <v>0</v>
      </c>
      <c r="M13" s="19" t="n">
        <v>41.5</v>
      </c>
      <c r="N13" s="99" t="inlineStr">
        <is>
          <t>⭐ Strong</t>
        </is>
      </c>
      <c r="O13" s="99" t="inlineStr">
        <is>
          <t>⏳ New Fund</t>
        </is>
      </c>
      <c r="P13" s="99" t="inlineStr">
        <is>
          <t>📈 Momentum Only</t>
        </is>
      </c>
      <c r="Q13" s="100" t="inlineStr">
        <is>
          <t>MOMENTUM_ONLY</t>
        </is>
      </c>
    </row>
    <row r="14" ht="16" customHeight="1">
      <c r="A14" s="85" t="n">
        <v>10</v>
      </c>
      <c r="B14" s="86" t="inlineStr">
        <is>
          <t>ICICI Prudential Multicap Fund - Growth</t>
        </is>
      </c>
      <c r="C14" s="86" t="inlineStr">
        <is>
          <t>ICICI Prudential Mutual Fund</t>
        </is>
      </c>
      <c r="D14" s="86" t="inlineStr">
        <is>
          <t>Multi Cap Fund</t>
        </is>
      </c>
      <c r="E14" s="87" t="n">
        <v>-3.09</v>
      </c>
      <c r="F14" s="88" t="n">
        <v>5.49</v>
      </c>
      <c r="G14" s="88" t="n">
        <v>1.65</v>
      </c>
      <c r="H14" s="88" t="n">
        <v>0.98</v>
      </c>
      <c r="I14" s="88" t="n">
        <v>5.176042899512057</v>
      </c>
      <c r="J14" s="88" t="n">
        <v>61.99</v>
      </c>
      <c r="K14" s="73" t="n">
        <v>72.5</v>
      </c>
      <c r="L14" s="18" t="n">
        <v>0</v>
      </c>
      <c r="M14" s="19" t="n">
        <v>39.9</v>
      </c>
      <c r="N14" s="89" t="inlineStr">
        <is>
          <t>📈 Good</t>
        </is>
      </c>
      <c r="O14" s="89" t="inlineStr">
        <is>
          <t>🔴 Not Qualified</t>
        </is>
      </c>
      <c r="P14" s="89" t="inlineStr">
        <is>
          <t>🔴 Avoid</t>
        </is>
      </c>
      <c r="Q14" s="68" t="inlineStr">
        <is>
          <t>FULL</t>
        </is>
      </c>
    </row>
    <row r="15" ht="16" customHeight="1">
      <c r="A15" s="95" t="n">
        <v>11</v>
      </c>
      <c r="B15" s="96" t="inlineStr">
        <is>
          <t>WhiteOak Capital Multi Cap Fund Regular Plan Growth</t>
        </is>
      </c>
      <c r="C15" s="96" t="inlineStr">
        <is>
          <t>WhiteOak Capital Mutual Fund</t>
        </is>
      </c>
      <c r="D15" s="96" t="inlineStr">
        <is>
          <t>Multi Cap Fund</t>
        </is>
      </c>
      <c r="E15" s="97" t="n">
        <v>-1.94</v>
      </c>
      <c r="F15" s="98" t="n">
        <v>5.44</v>
      </c>
      <c r="G15" s="97" t="n">
        <v>-3.65</v>
      </c>
      <c r="H15" s="98" t="n">
        <v>0.24</v>
      </c>
      <c r="I15" s="98" t="n">
        <v>7.531390765673618</v>
      </c>
      <c r="J15" s="98" t="n">
        <v>0</v>
      </c>
      <c r="K15" s="73" t="n">
        <v>67.5</v>
      </c>
      <c r="L15" s="18" t="n">
        <v>0</v>
      </c>
      <c r="M15" s="19" t="n">
        <v>37.1</v>
      </c>
      <c r="N15" s="99" t="inlineStr">
        <is>
          <t>📈 Good</t>
        </is>
      </c>
      <c r="O15" s="99" t="inlineStr">
        <is>
          <t>⏳ New Fund</t>
        </is>
      </c>
      <c r="P15" s="99" t="inlineStr">
        <is>
          <t>📈 Momentum Only</t>
        </is>
      </c>
      <c r="Q15" s="100" t="inlineStr">
        <is>
          <t>MOMENTUM_ONLY</t>
        </is>
      </c>
    </row>
    <row r="16" ht="16" customHeight="1">
      <c r="A16" s="85" t="n">
        <v>12</v>
      </c>
      <c r="B16" s="86" t="inlineStr">
        <is>
          <t>Mahindra Manulife Multi Cap Fund - Regular Plan - Growth</t>
        </is>
      </c>
      <c r="C16" s="86" t="inlineStr">
        <is>
          <t>Mahindra Manulife Mutual Fund</t>
        </is>
      </c>
      <c r="D16" s="86" t="inlineStr">
        <is>
          <t>Multi Cap Fund</t>
        </is>
      </c>
      <c r="E16" s="87" t="n">
        <v>-2.81</v>
      </c>
      <c r="F16" s="88" t="n">
        <v>4.7</v>
      </c>
      <c r="G16" s="87" t="n">
        <v>-0.07000000000000001</v>
      </c>
      <c r="H16" s="88" t="n">
        <v>0.91</v>
      </c>
      <c r="I16" s="88" t="n">
        <v>4.742541500576536</v>
      </c>
      <c r="J16" s="88" t="n">
        <v>62.1</v>
      </c>
      <c r="K16" s="73" t="n">
        <v>66.90000000000001</v>
      </c>
      <c r="L16" s="18" t="n">
        <v>0</v>
      </c>
      <c r="M16" s="19" t="n">
        <v>36.8</v>
      </c>
      <c r="N16" s="89" t="inlineStr">
        <is>
          <t>📈 Good</t>
        </is>
      </c>
      <c r="O16" s="89" t="inlineStr">
        <is>
          <t>🔴 Not Qualified</t>
        </is>
      </c>
      <c r="P16" s="89" t="inlineStr">
        <is>
          <t>🔴 Avoid</t>
        </is>
      </c>
      <c r="Q16" s="68" t="inlineStr">
        <is>
          <t>FULL</t>
        </is>
      </c>
    </row>
    <row r="17" ht="16" customHeight="1">
      <c r="A17" s="90" t="n">
        <v>13</v>
      </c>
      <c r="B17" s="91" t="inlineStr">
        <is>
          <t>Axis Multicap Fund - Regular Plan - Growth</t>
        </is>
      </c>
      <c r="C17" s="91" t="inlineStr">
        <is>
          <t>Axis Mutual Fund</t>
        </is>
      </c>
      <c r="D17" s="91" t="inlineStr">
        <is>
          <t>Multi Cap Fund</t>
        </is>
      </c>
      <c r="E17" s="92" t="n">
        <v>-1.67</v>
      </c>
      <c r="F17" s="93" t="n">
        <v>4.63</v>
      </c>
      <c r="G17" s="92" t="n">
        <v>-2</v>
      </c>
      <c r="H17" s="92" t="n">
        <v>-1.01</v>
      </c>
      <c r="I17" s="93" t="n">
        <v>5.494075663043763</v>
      </c>
      <c r="J17" s="93" t="n">
        <v>66.89</v>
      </c>
      <c r="K17" s="73" t="n">
        <v>66.09999999999999</v>
      </c>
      <c r="L17" s="18" t="n">
        <v>0</v>
      </c>
      <c r="M17" s="19" t="n">
        <v>36.4</v>
      </c>
      <c r="N17" s="94" t="inlineStr">
        <is>
          <t>📈 Good</t>
        </is>
      </c>
      <c r="O17" s="94" t="inlineStr">
        <is>
          <t>🔴 Not Qualified</t>
        </is>
      </c>
      <c r="P17" s="94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Aditya Birla Sun Life Multi-Cap Fund-Regular Growth</t>
        </is>
      </c>
      <c r="C18" s="86" t="inlineStr">
        <is>
          <t>Aditya Birla Sun Life Mutual Fund</t>
        </is>
      </c>
      <c r="D18" s="86" t="inlineStr">
        <is>
          <t>Multi Cap Fund</t>
        </is>
      </c>
      <c r="E18" s="87" t="n">
        <v>-2.07</v>
      </c>
      <c r="F18" s="88" t="n">
        <v>5.78</v>
      </c>
      <c r="G18" s="87" t="n">
        <v>-2.42</v>
      </c>
      <c r="H18" s="87" t="n">
        <v>-1.07</v>
      </c>
      <c r="I18" s="88" t="n">
        <v>3.101891350256025</v>
      </c>
      <c r="J18" s="88" t="n">
        <v>46.56</v>
      </c>
      <c r="K18" s="73" t="n">
        <v>65.2</v>
      </c>
      <c r="L18" s="18" t="n">
        <v>0</v>
      </c>
      <c r="M18" s="19" t="n">
        <v>35.9</v>
      </c>
      <c r="N18" s="89" t="inlineStr">
        <is>
          <t>📈 Good</t>
        </is>
      </c>
      <c r="O18" s="89" t="inlineStr">
        <is>
          <t>🔴 Not Qualified</t>
        </is>
      </c>
      <c r="P18" s="89" t="inlineStr">
        <is>
          <t>🔴 Avoid</t>
        </is>
      </c>
      <c r="Q18" s="68" t="inlineStr">
        <is>
          <t>FULL</t>
        </is>
      </c>
    </row>
    <row r="19" ht="16" customHeight="1">
      <c r="A19" s="90" t="n">
        <v>15</v>
      </c>
      <c r="B19" s="91" t="inlineStr">
        <is>
          <t>HSBC Multi Cap Fund - Regular - Growth</t>
        </is>
      </c>
      <c r="C19" s="91" t="inlineStr">
        <is>
          <t>HSBC Mutual Fund</t>
        </is>
      </c>
      <c r="D19" s="91" t="inlineStr">
        <is>
          <t>Multi Cap Fund</t>
        </is>
      </c>
      <c r="E19" s="92" t="n">
        <v>-2.49</v>
      </c>
      <c r="F19" s="93" t="n">
        <v>5.67</v>
      </c>
      <c r="G19" s="92" t="n">
        <v>-1.51</v>
      </c>
      <c r="H19" s="93" t="n">
        <v>0.12</v>
      </c>
      <c r="I19" s="93" t="n">
        <v>3.687029082716031</v>
      </c>
      <c r="J19" s="93" t="n">
        <v>68.84</v>
      </c>
      <c r="K19" s="73" t="n">
        <v>65.09999999999999</v>
      </c>
      <c r="L19" s="18" t="n">
        <v>0</v>
      </c>
      <c r="M19" s="19" t="n">
        <v>35.8</v>
      </c>
      <c r="N19" s="94" t="inlineStr">
        <is>
          <t>📈 Good</t>
        </is>
      </c>
      <c r="O19" s="94" t="inlineStr">
        <is>
          <t>🔴 Not Qualified</t>
        </is>
      </c>
      <c r="P19" s="94" t="inlineStr">
        <is>
          <t>🔴 Avoid</t>
        </is>
      </c>
      <c r="Q19" s="68" t="inlineStr">
        <is>
          <t>FULL</t>
        </is>
      </c>
    </row>
    <row r="20" ht="16" customHeight="1">
      <c r="A20" s="95" t="n">
        <v>16</v>
      </c>
      <c r="B20" s="96" t="inlineStr">
        <is>
          <t>PGIM India Multi Cap Fund - Regular Plan - Growth Option</t>
        </is>
      </c>
      <c r="C20" s="96" t="inlineStr">
        <is>
          <t>PGIM India Mutual Fund</t>
        </is>
      </c>
      <c r="D20" s="96" t="inlineStr">
        <is>
          <t>Multi Cap Fund</t>
        </is>
      </c>
      <c r="E20" s="97" t="n">
        <v>-2.31</v>
      </c>
      <c r="F20" s="98" t="n">
        <v>4.52</v>
      </c>
      <c r="G20" s="97" t="n">
        <v>-2.41</v>
      </c>
      <c r="H20" s="98" t="n">
        <v>0.31</v>
      </c>
      <c r="I20" s="98" t="n">
        <v>0</v>
      </c>
      <c r="J20" s="98" t="n">
        <v>0</v>
      </c>
      <c r="K20" s="73" t="n">
        <v>62.3</v>
      </c>
      <c r="L20" s="18" t="n">
        <v>0</v>
      </c>
      <c r="M20" s="19" t="n">
        <v>34.3</v>
      </c>
      <c r="N20" s="99" t="inlineStr">
        <is>
          <t>📈 Good</t>
        </is>
      </c>
      <c r="O20" s="99" t="inlineStr">
        <is>
          <t>⏳ New Fund</t>
        </is>
      </c>
      <c r="P20" s="99" t="inlineStr">
        <is>
          <t>📈 Momentum Only</t>
        </is>
      </c>
      <c r="Q20" s="100" t="inlineStr">
        <is>
          <t>MOMENTUM_ONLY</t>
        </is>
      </c>
    </row>
    <row r="21" ht="16" customHeight="1">
      <c r="A21" s="95" t="n">
        <v>17</v>
      </c>
      <c r="B21" s="96" t="inlineStr">
        <is>
          <t>Franklin India Multi Cap Fund - Growth</t>
        </is>
      </c>
      <c r="C21" s="96" t="inlineStr">
        <is>
          <t>Franklin Templeton Mutual Fund</t>
        </is>
      </c>
      <c r="D21" s="96" t="inlineStr">
        <is>
          <t>Multi Cap Fund</t>
        </is>
      </c>
      <c r="E21" s="97" t="n">
        <v>-2.24</v>
      </c>
      <c r="F21" s="98" t="n">
        <v>4.36</v>
      </c>
      <c r="G21" s="97" t="n">
        <v>-4.88</v>
      </c>
      <c r="H21" s="97" t="n">
        <v>-0.8100000000000001</v>
      </c>
      <c r="I21" s="98" t="n">
        <v>0</v>
      </c>
      <c r="J21" s="98" t="n">
        <v>0</v>
      </c>
      <c r="K21" s="78" t="n">
        <v>48.9</v>
      </c>
      <c r="L21" s="18" t="n">
        <v>0</v>
      </c>
      <c r="M21" s="19" t="n">
        <v>26.9</v>
      </c>
      <c r="N21" s="99" t="inlineStr">
        <is>
          <t>➡️ Neutral</t>
        </is>
      </c>
      <c r="O21" s="99" t="inlineStr">
        <is>
          <t>⏳ New Fund</t>
        </is>
      </c>
      <c r="P21" s="99" t="inlineStr">
        <is>
          <t>⏳ New Fund</t>
        </is>
      </c>
      <c r="Q21" s="100" t="inlineStr">
        <is>
          <t>MOMENTUM_ONLY</t>
        </is>
      </c>
    </row>
    <row r="22" ht="16" customHeight="1">
      <c r="A22" s="95" t="n">
        <v>18</v>
      </c>
      <c r="B22" s="96" t="inlineStr">
        <is>
          <t>Motilal Oswal Multi Cap Fund Regular Plan Growth</t>
        </is>
      </c>
      <c r="C22" s="96" t="inlineStr">
        <is>
          <t>Motilal Oswal Mutual Fund</t>
        </is>
      </c>
      <c r="D22" s="96" t="inlineStr">
        <is>
          <t>Multi Cap Fund</t>
        </is>
      </c>
      <c r="E22" s="97" t="n">
        <v>-1.36</v>
      </c>
      <c r="F22" s="98" t="n">
        <v>10.45</v>
      </c>
      <c r="G22" s="97" t="n">
        <v>-7.77</v>
      </c>
      <c r="H22" s="97" t="n">
        <v>-7.52</v>
      </c>
      <c r="I22" s="98" t="n">
        <v>0</v>
      </c>
      <c r="J22" s="98" t="n">
        <v>0</v>
      </c>
      <c r="K22" s="78" t="n">
        <v>48.6</v>
      </c>
      <c r="L22" s="18" t="n">
        <v>0</v>
      </c>
      <c r="M22" s="19" t="n">
        <v>26.7</v>
      </c>
      <c r="N22" s="99" t="inlineStr">
        <is>
          <t>➡️ Neutral</t>
        </is>
      </c>
      <c r="O22" s="99" t="inlineStr">
        <is>
          <t>⏳ New Fund</t>
        </is>
      </c>
      <c r="P22" s="99" t="inlineStr">
        <is>
          <t>⏳ New Fund</t>
        </is>
      </c>
      <c r="Q22" s="100" t="inlineStr">
        <is>
          <t>MOMENTUM_ONLY</t>
        </is>
      </c>
    </row>
    <row r="23" ht="16" customHeight="1">
      <c r="A23" s="95" t="n">
        <v>19</v>
      </c>
      <c r="B23" s="96" t="inlineStr">
        <is>
          <t>DSP Multicap Fund - Regular - Growth</t>
        </is>
      </c>
      <c r="C23" s="96" t="inlineStr">
        <is>
          <t>DSP Mutual Fund</t>
        </is>
      </c>
      <c r="D23" s="96" t="inlineStr">
        <is>
          <t>Multi Cap Fund</t>
        </is>
      </c>
      <c r="E23" s="97" t="n">
        <v>-2.39</v>
      </c>
      <c r="F23" s="98" t="n">
        <v>5.22</v>
      </c>
      <c r="G23" s="97" t="n">
        <v>-3.54</v>
      </c>
      <c r="H23" s="97" t="n">
        <v>-3.95</v>
      </c>
      <c r="I23" s="98" t="n">
        <v>1.331140327147207</v>
      </c>
      <c r="J23" s="98" t="n">
        <v>0</v>
      </c>
      <c r="K23" s="78" t="n">
        <v>48.4</v>
      </c>
      <c r="L23" s="18" t="n">
        <v>0</v>
      </c>
      <c r="M23" s="19" t="n">
        <v>26.6</v>
      </c>
      <c r="N23" s="99" t="inlineStr">
        <is>
          <t>➡️ Neutral</t>
        </is>
      </c>
      <c r="O23" s="99" t="inlineStr">
        <is>
          <t>⏳ New Fund</t>
        </is>
      </c>
      <c r="P23" s="99" t="inlineStr">
        <is>
          <t>⏳ New Fund</t>
        </is>
      </c>
      <c r="Q23" s="100" t="inlineStr">
        <is>
          <t>MOMENTUM_ONLY</t>
        </is>
      </c>
    </row>
    <row r="24" ht="16" customHeight="1">
      <c r="A24" s="95" t="n">
        <v>20</v>
      </c>
      <c r="B24" s="96" t="inlineStr">
        <is>
          <t>Edelweiss Multi Cap Fund - Regular Plan - Growth</t>
        </is>
      </c>
      <c r="C24" s="96" t="inlineStr">
        <is>
          <t>Edelweiss Mutual Fund</t>
        </is>
      </c>
      <c r="D24" s="96" t="inlineStr">
        <is>
          <t>Multi Cap Fund</t>
        </is>
      </c>
      <c r="E24" s="97" t="n">
        <v>-3.13</v>
      </c>
      <c r="F24" s="98" t="n">
        <v>2.62</v>
      </c>
      <c r="G24" s="97" t="n">
        <v>-3.3</v>
      </c>
      <c r="H24" s="97" t="n">
        <v>-1.65</v>
      </c>
      <c r="I24" s="98" t="n">
        <v>3.749698794743495</v>
      </c>
      <c r="J24" s="98" t="n">
        <v>0</v>
      </c>
      <c r="K24" s="78" t="n">
        <v>44.5</v>
      </c>
      <c r="L24" s="18" t="n">
        <v>0</v>
      </c>
      <c r="M24" s="19" t="n">
        <v>24.5</v>
      </c>
      <c r="N24" s="99" t="inlineStr">
        <is>
          <t>➡️ Neutral</t>
        </is>
      </c>
      <c r="O24" s="99" t="inlineStr">
        <is>
          <t>⏳ New Fund</t>
        </is>
      </c>
      <c r="P24" s="99" t="inlineStr">
        <is>
          <t>⏳ New Fund</t>
        </is>
      </c>
      <c r="Q24" s="100" t="inlineStr">
        <is>
          <t>MOMENTUM_ONLY</t>
        </is>
      </c>
    </row>
    <row r="25" ht="16" customHeight="1">
      <c r="A25" s="90" t="n">
        <v>21</v>
      </c>
      <c r="B25" s="91" t="inlineStr">
        <is>
          <t>Kotak Multicap Fund-Regular Plan-Growth</t>
        </is>
      </c>
      <c r="C25" s="91" t="inlineStr">
        <is>
          <t>Kotak Mahindra Mutual Fund</t>
        </is>
      </c>
      <c r="D25" s="91" t="inlineStr">
        <is>
          <t>Multi Cap Fund</t>
        </is>
      </c>
      <c r="E25" s="92" t="n">
        <v>-3.34</v>
      </c>
      <c r="F25" s="93" t="n">
        <v>1.48</v>
      </c>
      <c r="G25" s="92" t="n">
        <v>-4.8</v>
      </c>
      <c r="H25" s="93" t="n">
        <v>0.16</v>
      </c>
      <c r="I25" s="93" t="n">
        <v>2.859126964990333</v>
      </c>
      <c r="J25" s="93" t="n">
        <v>68.78</v>
      </c>
      <c r="K25" s="78" t="n">
        <v>41.1</v>
      </c>
      <c r="L25" s="18" t="n">
        <v>0</v>
      </c>
      <c r="M25" s="19" t="n">
        <v>22.6</v>
      </c>
      <c r="N25" s="94" t="inlineStr">
        <is>
          <t>➡️ Neutral</t>
        </is>
      </c>
      <c r="O25" s="94" t="inlineStr">
        <is>
          <t>🔴 Not Qualified</t>
        </is>
      </c>
      <c r="P25" s="94" t="inlineStr">
        <is>
          <t>🔴 Avoid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Mirae Asset Multicap Fund - Regular Plan - Growth</t>
        </is>
      </c>
      <c r="C26" s="96" t="inlineStr">
        <is>
          <t>Mirae Asset Mutual Fund</t>
        </is>
      </c>
      <c r="D26" s="96" t="inlineStr">
        <is>
          <t>Multi Cap Fund</t>
        </is>
      </c>
      <c r="E26" s="97" t="n">
        <v>-2.17</v>
      </c>
      <c r="F26" s="98" t="n">
        <v>2.54</v>
      </c>
      <c r="G26" s="97" t="n">
        <v>-6.12</v>
      </c>
      <c r="H26" s="97" t="n">
        <v>-3.27</v>
      </c>
      <c r="I26" s="98" t="n">
        <v>3.363436475380399</v>
      </c>
      <c r="J26" s="98" t="n">
        <v>0</v>
      </c>
      <c r="K26" s="78" t="n">
        <v>40.1</v>
      </c>
      <c r="L26" s="18" t="n">
        <v>0</v>
      </c>
      <c r="M26" s="19" t="n">
        <v>22</v>
      </c>
      <c r="N26" s="99" t="inlineStr">
        <is>
          <t>➡️ Neutral</t>
        </is>
      </c>
      <c r="O26" s="99" t="inlineStr">
        <is>
          <t>⏳ New Fund</t>
        </is>
      </c>
      <c r="P26" s="99" t="inlineStr">
        <is>
          <t>⏳ New Fund</t>
        </is>
      </c>
      <c r="Q26" s="100" t="inlineStr">
        <is>
          <t>MOMENTUM_ONLY</t>
        </is>
      </c>
    </row>
    <row r="27" ht="16" customHeight="1">
      <c r="A27" s="90" t="n">
        <v>23</v>
      </c>
      <c r="B27" s="91" t="inlineStr">
        <is>
          <t>SBI Multicap Fund- Regular Plan- Growth Option</t>
        </is>
      </c>
      <c r="C27" s="91" t="inlineStr">
        <is>
          <t>SBI Mutual Fund</t>
        </is>
      </c>
      <c r="D27" s="91" t="inlineStr">
        <is>
          <t>Multi Cap Fund</t>
        </is>
      </c>
      <c r="E27" s="92" t="n">
        <v>-2.1</v>
      </c>
      <c r="F27" s="93" t="n">
        <v>2.65</v>
      </c>
      <c r="G27" s="92" t="n">
        <v>-4.89</v>
      </c>
      <c r="H27" s="92" t="n">
        <v>-4.69</v>
      </c>
      <c r="I27" s="93" t="n">
        <v>3.508453761033437</v>
      </c>
      <c r="J27" s="93" t="n">
        <v>45.7</v>
      </c>
      <c r="K27" s="78" t="n">
        <v>39.9</v>
      </c>
      <c r="L27" s="18" t="n">
        <v>0</v>
      </c>
      <c r="M27" s="19" t="n">
        <v>22</v>
      </c>
      <c r="N27" s="94" t="inlineStr">
        <is>
          <t>📉 Weak</t>
        </is>
      </c>
      <c r="O27" s="94" t="inlineStr">
        <is>
          <t>🔴 Not Qualified</t>
        </is>
      </c>
      <c r="P27" s="94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BANDHAN MULTI CAP FUND - GROWTH - REGULAR PLAN</t>
        </is>
      </c>
      <c r="C28" s="86" t="inlineStr">
        <is>
          <t>Bandhan Mutual Fund</t>
        </is>
      </c>
      <c r="D28" s="86" t="inlineStr">
        <is>
          <t>Multi Cap Fund</t>
        </is>
      </c>
      <c r="E28" s="87" t="n">
        <v>-2.85</v>
      </c>
      <c r="F28" s="88" t="n">
        <v>2.19</v>
      </c>
      <c r="G28" s="87" t="n">
        <v>-4.86</v>
      </c>
      <c r="H28" s="87" t="n">
        <v>-3.15</v>
      </c>
      <c r="I28" s="88" t="n">
        <v>1.557865278864545</v>
      </c>
      <c r="J28" s="88" t="n">
        <v>45.95</v>
      </c>
      <c r="K28" s="78" t="n">
        <v>36.1</v>
      </c>
      <c r="L28" s="18" t="n">
        <v>0</v>
      </c>
      <c r="M28" s="19" t="n">
        <v>19.9</v>
      </c>
      <c r="N28" s="89" t="inlineStr">
        <is>
          <t>📉 Weak</t>
        </is>
      </c>
      <c r="O28" s="89" t="inlineStr">
        <is>
          <t>🔴 Not Qualified</t>
        </is>
      </c>
      <c r="P28" s="89" t="inlineStr">
        <is>
          <t>🔴 Avoid</t>
        </is>
      </c>
      <c r="Q28" s="68" t="inlineStr">
        <is>
          <t>FULL</t>
        </is>
      </c>
    </row>
    <row r="29" ht="16" customHeight="1">
      <c r="A29" s="90" t="n">
        <v>25</v>
      </c>
      <c r="B29" s="91" t="inlineStr">
        <is>
          <t>Baroda BNP Paribas MULTI CAP FUND - Regular Plan - Growth Option</t>
        </is>
      </c>
      <c r="C29" s="91" t="inlineStr">
        <is>
          <t>Baroda BNP Paribas Mutual Fund</t>
        </is>
      </c>
      <c r="D29" s="91" t="inlineStr">
        <is>
          <t>Multi Cap Fund</t>
        </is>
      </c>
      <c r="E29" s="92" t="n">
        <v>-3.59</v>
      </c>
      <c r="F29" s="93" t="n">
        <v>4.18</v>
      </c>
      <c r="G29" s="92" t="n">
        <v>-3.59</v>
      </c>
      <c r="H29" s="92" t="n">
        <v>-2.54</v>
      </c>
      <c r="I29" s="93" t="n">
        <v>1.921538449927263</v>
      </c>
      <c r="J29" s="93" t="n">
        <v>52.05</v>
      </c>
      <c r="K29" s="78" t="n">
        <v>35.5</v>
      </c>
      <c r="L29" s="18" t="n">
        <v>0</v>
      </c>
      <c r="M29" s="19" t="n">
        <v>19.5</v>
      </c>
      <c r="N29" s="94" t="inlineStr">
        <is>
          <t>📉 Weak</t>
        </is>
      </c>
      <c r="O29" s="94" t="inlineStr">
        <is>
          <t>🔴 Not Qualified</t>
        </is>
      </c>
      <c r="P29" s="94" t="inlineStr">
        <is>
          <t>🔴 Avoid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UTI Multi Cap Fund - Regular Plan - Growth Option</t>
        </is>
      </c>
      <c r="C30" s="96" t="inlineStr">
        <is>
          <t>UTI Mutual Fund</t>
        </is>
      </c>
      <c r="D30" s="96" t="inlineStr">
        <is>
          <t>Multi Cap Fund</t>
        </is>
      </c>
      <c r="E30" s="97" t="n">
        <v>-2.54</v>
      </c>
      <c r="F30" s="98" t="n">
        <v>1.3</v>
      </c>
      <c r="G30" s="97" t="n">
        <v>-6.62</v>
      </c>
      <c r="H30" s="97" t="n">
        <v>-3.76</v>
      </c>
      <c r="I30" s="98" t="n">
        <v>0</v>
      </c>
      <c r="J30" s="98" t="n">
        <v>0</v>
      </c>
      <c r="K30" s="78" t="n">
        <v>28.9</v>
      </c>
      <c r="L30" s="18" t="n">
        <v>0</v>
      </c>
      <c r="M30" s="19" t="n">
        <v>15.9</v>
      </c>
      <c r="N30" s="99" t="inlineStr">
        <is>
          <t>📉 Weak</t>
        </is>
      </c>
      <c r="O30" s="99" t="inlineStr">
        <is>
          <t>⏳ New Fund</t>
        </is>
      </c>
      <c r="P30" s="99" t="inlineStr">
        <is>
          <t>⏳ New Fund</t>
        </is>
      </c>
      <c r="Q30" s="100" t="inlineStr">
        <is>
          <t>MOMENTUM_ONLY</t>
        </is>
      </c>
    </row>
    <row r="31" ht="16" customHeight="1">
      <c r="A31" s="90" t="n">
        <v>27</v>
      </c>
      <c r="B31" s="91" t="inlineStr">
        <is>
          <t>Nippon India Multi Cap Fund-Growth Plan-Bonus Option</t>
        </is>
      </c>
      <c r="C31" s="91" t="inlineStr">
        <is>
          <t>Nippon India Mutual Fund</t>
        </is>
      </c>
      <c r="D31" s="91" t="inlineStr">
        <is>
          <t>Multi Cap Fund</t>
        </is>
      </c>
      <c r="E31" s="92" t="n">
        <v>-3.58</v>
      </c>
      <c r="F31" s="93" t="n">
        <v>1.43</v>
      </c>
      <c r="G31" s="92" t="n">
        <v>-4.66</v>
      </c>
      <c r="H31" s="92" t="n">
        <v>-4.41</v>
      </c>
      <c r="I31" s="93" t="n">
        <v>1.82828683622247</v>
      </c>
      <c r="J31" s="93" t="n">
        <v>57.88</v>
      </c>
      <c r="K31" s="78" t="n">
        <v>23.6</v>
      </c>
      <c r="L31" s="18" t="n">
        <v>0</v>
      </c>
      <c r="M31" s="19" t="n">
        <v>13</v>
      </c>
      <c r="N31" s="94" t="inlineStr">
        <is>
          <t>📉 Weak</t>
        </is>
      </c>
      <c r="O31" s="94" t="inlineStr">
        <is>
          <t>🔴 Not Qualified</t>
        </is>
      </c>
      <c r="P31" s="94" t="inlineStr">
        <is>
          <t>🔴 Avoid</t>
        </is>
      </c>
      <c r="Q31" s="68" t="inlineStr">
        <is>
          <t>FULL</t>
        </is>
      </c>
    </row>
    <row r="32" ht="16" customHeight="1">
      <c r="A32" s="85" t="n">
        <v>27</v>
      </c>
      <c r="B32" s="86" t="inlineStr">
        <is>
          <t>Nippon India Multi Cap Fund-Growth Plan-Growth Option</t>
        </is>
      </c>
      <c r="C32" s="86" t="inlineStr">
        <is>
          <t>Nippon India Mutual Fund</t>
        </is>
      </c>
      <c r="D32" s="86" t="inlineStr">
        <is>
          <t>Multi Cap Fund</t>
        </is>
      </c>
      <c r="E32" s="87" t="n">
        <v>-3.58</v>
      </c>
      <c r="F32" s="88" t="n">
        <v>1.43</v>
      </c>
      <c r="G32" s="87" t="n">
        <v>-4.66</v>
      </c>
      <c r="H32" s="87" t="n">
        <v>-4.41</v>
      </c>
      <c r="I32" s="88" t="n">
        <v>1.82828683622247</v>
      </c>
      <c r="J32" s="88" t="n">
        <v>57.88</v>
      </c>
      <c r="K32" s="78" t="n">
        <v>23.6</v>
      </c>
      <c r="L32" s="18" t="n">
        <v>0</v>
      </c>
      <c r="M32" s="19" t="n">
        <v>13</v>
      </c>
      <c r="N32" s="89" t="inlineStr">
        <is>
          <t>📉 Weak</t>
        </is>
      </c>
      <c r="O32" s="89" t="inlineStr">
        <is>
          <t>🔴 Not Qualified</t>
        </is>
      </c>
      <c r="P32" s="89" t="inlineStr">
        <is>
          <t>🔴 Avoid</t>
        </is>
      </c>
      <c r="Q32" s="68" t="inlineStr">
        <is>
          <t>FULL</t>
        </is>
      </c>
    </row>
    <row r="33" ht="16" customHeight="1">
      <c r="A33" s="90" t="n">
        <v>29</v>
      </c>
      <c r="B33" s="91" t="inlineStr">
        <is>
          <t>Invesco India Multicap Fund - Regular Plan - Growth Option</t>
        </is>
      </c>
      <c r="C33" s="91" t="inlineStr">
        <is>
          <t>Invesco Mutual Fund</t>
        </is>
      </c>
      <c r="D33" s="91" t="inlineStr">
        <is>
          <t>Multi Cap Fund</t>
        </is>
      </c>
      <c r="E33" s="92" t="n">
        <v>-3.54</v>
      </c>
      <c r="F33" s="93" t="n">
        <v>4.81</v>
      </c>
      <c r="G33" s="92" t="n">
        <v>-6.68</v>
      </c>
      <c r="H33" s="92" t="n">
        <v>-10.07</v>
      </c>
      <c r="I33" s="93" t="n">
        <v>0.2845950283491883</v>
      </c>
      <c r="J33" s="93" t="n">
        <v>43.1</v>
      </c>
      <c r="K33" s="78" t="n">
        <v>23.4</v>
      </c>
      <c r="L33" s="18" t="n">
        <v>0</v>
      </c>
      <c r="M33" s="19" t="n">
        <v>12.9</v>
      </c>
      <c r="N33" s="94" t="inlineStr">
        <is>
          <t>📉 Weak</t>
        </is>
      </c>
      <c r="O33" s="94" t="inlineStr">
        <is>
          <t>🔴 Not Qualified</t>
        </is>
      </c>
      <c r="P33" s="94" t="inlineStr">
        <is>
          <t>🔴 Avoid</t>
        </is>
      </c>
      <c r="Q33" s="68" t="inlineStr">
        <is>
          <t>FULL</t>
        </is>
      </c>
    </row>
    <row r="34" ht="16" customHeight="1">
      <c r="A34" s="95" t="n">
        <v>30</v>
      </c>
      <c r="B34" s="96" t="inlineStr">
        <is>
          <t>Samco Multi Cap Fund - Regular Plan - Growth</t>
        </is>
      </c>
      <c r="C34" s="96" t="inlineStr">
        <is>
          <t>Samco Mutual Fund</t>
        </is>
      </c>
      <c r="D34" s="96" t="inlineStr">
        <is>
          <t>Multi Cap Fund</t>
        </is>
      </c>
      <c r="E34" s="97" t="n">
        <v>-2.36</v>
      </c>
      <c r="F34" s="98" t="n">
        <v>1.47</v>
      </c>
      <c r="G34" s="97" t="n">
        <v>-6.75</v>
      </c>
      <c r="H34" s="97" t="n">
        <v>-14.71</v>
      </c>
      <c r="I34" s="98" t="n">
        <v>0</v>
      </c>
      <c r="J34" s="98" t="n">
        <v>0</v>
      </c>
      <c r="K34" s="78" t="n">
        <v>21.9</v>
      </c>
      <c r="L34" s="18" t="n">
        <v>0</v>
      </c>
      <c r="M34" s="19" t="n">
        <v>12</v>
      </c>
      <c r="N34" s="99" t="inlineStr">
        <is>
          <t>📉 Weak</t>
        </is>
      </c>
      <c r="O34" s="99" t="inlineStr">
        <is>
          <t>⏳ New Fund</t>
        </is>
      </c>
      <c r="P34" s="99" t="inlineStr">
        <is>
          <t>⏳ New Fund</t>
        </is>
      </c>
      <c r="Q34" s="100" t="inlineStr">
        <is>
          <t>MOMENTUM_ONLY</t>
        </is>
      </c>
    </row>
    <row r="35" ht="16" customHeight="1">
      <c r="A35" s="95" t="n">
        <v>31</v>
      </c>
      <c r="B35" s="96" t="inlineStr">
        <is>
          <t>Canara Robeco Multi Cap Fund - Regular Plan - Growth Option</t>
        </is>
      </c>
      <c r="C35" s="96" t="inlineStr">
        <is>
          <t>Canara Robeco Mutual Fund</t>
        </is>
      </c>
      <c r="D35" s="96" t="inlineStr">
        <is>
          <t>Multi Cap Fund</t>
        </is>
      </c>
      <c r="E35" s="97" t="n">
        <v>-3.56</v>
      </c>
      <c r="F35" s="98" t="n">
        <v>1.69</v>
      </c>
      <c r="G35" s="97" t="n">
        <v>-6.74</v>
      </c>
      <c r="H35" s="97" t="n">
        <v>-4.95</v>
      </c>
      <c r="I35" s="98" t="n">
        <v>2.244804268970069</v>
      </c>
      <c r="J35" s="98" t="n">
        <v>0</v>
      </c>
      <c r="K35" s="78" t="n">
        <v>18.7</v>
      </c>
      <c r="L35" s="18" t="n">
        <v>0</v>
      </c>
      <c r="M35" s="19" t="n">
        <v>10.3</v>
      </c>
      <c r="N35" s="99" t="inlineStr">
        <is>
          <t>📉 Weak</t>
        </is>
      </c>
      <c r="O35" s="99" t="inlineStr">
        <is>
          <t>⏳ New Fund</t>
        </is>
      </c>
      <c r="P35" s="99" t="inlineStr">
        <is>
          <t>⏳ New Fund</t>
        </is>
      </c>
      <c r="Q35" s="100" t="inlineStr">
        <is>
          <t>MOMENTUM_ONLY</t>
        </is>
      </c>
    </row>
    <row r="36" ht="16" customHeight="1">
      <c r="A36" s="85" t="n">
        <v>32</v>
      </c>
      <c r="B36" s="86" t="inlineStr">
        <is>
          <t>HDFC Multi Cap Fund - Growth Option</t>
        </is>
      </c>
      <c r="C36" s="86" t="inlineStr">
        <is>
          <t>HDFC Mutual Fund</t>
        </is>
      </c>
      <c r="D36" s="86" t="inlineStr">
        <is>
          <t>Multi Cap Fund</t>
        </is>
      </c>
      <c r="E36" s="87" t="n">
        <v>-3.31</v>
      </c>
      <c r="F36" s="88" t="n">
        <v>0.71</v>
      </c>
      <c r="G36" s="87" t="n">
        <v>-7.87</v>
      </c>
      <c r="H36" s="87" t="n">
        <v>-7.08</v>
      </c>
      <c r="I36" s="87" t="n">
        <v>-0.4761335156235003</v>
      </c>
      <c r="J36" s="88" t="n">
        <v>46.56</v>
      </c>
      <c r="K36" s="78" t="n">
        <v>12.8</v>
      </c>
      <c r="L36" s="18" t="n">
        <v>0</v>
      </c>
      <c r="M36" s="19" t="n">
        <v>7</v>
      </c>
      <c r="N36" s="89" t="inlineStr">
        <is>
          <t>📉 Weak</t>
        </is>
      </c>
      <c r="O36" s="89" t="inlineStr">
        <is>
          <t>🔴 Not Qualified</t>
        </is>
      </c>
      <c r="P36" s="89" t="inlineStr">
        <is>
          <t>🔴 Avoid</t>
        </is>
      </c>
      <c r="Q36" s="68" t="inlineStr">
        <is>
          <t>FULL</t>
        </is>
      </c>
    </row>
    <row r="37" ht="16" customHeight="1">
      <c r="A37" s="90" t="n">
        <v>33</v>
      </c>
      <c r="B37" s="91" t="inlineStr">
        <is>
          <t>Sundaram Multi Cap Fund (Formerly Known as Principal Multi Cap Growth Fund)-Growth Option</t>
        </is>
      </c>
      <c r="C37" s="91" t="inlineStr">
        <is>
          <t>Sundaram Mutual Fund</t>
        </is>
      </c>
      <c r="D37" s="91" t="inlineStr">
        <is>
          <t>Multi Cap Fund</t>
        </is>
      </c>
      <c r="E37" s="92" t="n">
        <v>-3.45</v>
      </c>
      <c r="F37" s="93" t="n">
        <v>0.62</v>
      </c>
      <c r="G37" s="92" t="n">
        <v>-7.58</v>
      </c>
      <c r="H37" s="92" t="n">
        <v>-5.4</v>
      </c>
      <c r="I37" s="93" t="n">
        <v>0.7819428270759321</v>
      </c>
      <c r="J37" s="93" t="n">
        <v>44.61</v>
      </c>
      <c r="K37" s="78" t="n">
        <v>11.9</v>
      </c>
      <c r="L37" s="18" t="n">
        <v>0</v>
      </c>
      <c r="M37" s="19" t="n">
        <v>6.5</v>
      </c>
      <c r="N37" s="94" t="inlineStr">
        <is>
          <t>📉 Weak</t>
        </is>
      </c>
      <c r="O37" s="94" t="inlineStr">
        <is>
          <t>🔴 Not Qualified</t>
        </is>
      </c>
      <c r="P37" s="94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Sundaram Multi Cap Fund (Formerly Known as Principal Multi Cap Growth Fund)- Income Distribution CUM Capital Withdrawal Option (IDCW)</t>
        </is>
      </c>
      <c r="C38" s="86" t="inlineStr">
        <is>
          <t>Sundaram Mutual Fund</t>
        </is>
      </c>
      <c r="D38" s="86" t="inlineStr">
        <is>
          <t>Multi Cap Fund</t>
        </is>
      </c>
      <c r="E38" s="87" t="n">
        <v>-3.45</v>
      </c>
      <c r="F38" s="88" t="n">
        <v>0.62</v>
      </c>
      <c r="G38" s="87" t="n">
        <v>-7.58</v>
      </c>
      <c r="H38" s="87" t="n">
        <v>-12</v>
      </c>
      <c r="I38" s="87" t="n">
        <v>-6.373080794036589</v>
      </c>
      <c r="J38" s="88" t="n">
        <v>16.13</v>
      </c>
      <c r="K38" s="78" t="n">
        <v>8.9</v>
      </c>
      <c r="L38" s="18" t="n">
        <v>0</v>
      </c>
      <c r="M38" s="19" t="n">
        <v>4.9</v>
      </c>
      <c r="N38" s="89" t="inlineStr">
        <is>
          <t>📉 Weak</t>
        </is>
      </c>
      <c r="O38" s="89" t="inlineStr">
        <is>
          <t>🔴 Not Qualified</t>
        </is>
      </c>
      <c r="P38" s="89" t="inlineStr">
        <is>
          <t>🔴 Avoid</t>
        </is>
      </c>
      <c r="Q38" s="68" t="inlineStr">
        <is>
          <t>FULL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SECTORAL/ THEMATIC  ✦</t>
        </is>
      </c>
    </row>
    <row r="2" ht="16" customHeight="1">
      <c r="A2" s="2">
        <f>"Dual Engine: 55% Momentum + 45% Quality | ✅ Full: "&amp;COUNTIF(Q5:Q283,"FULL")&amp;" | ⚠️ Momentum: "&amp;COUNTIF(Q5:Q283,"MOMENTUM_ONLY")&amp;" | ❌ Missing: "&amp;COUNTIF(Q5:Q283,"MISSING")&amp;" | Total: "&amp;COUNTA(B5:B283)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6" t="n">
        <v>-1.6</v>
      </c>
      <c r="F5" s="67" t="n">
        <v>47.46</v>
      </c>
      <c r="G5" s="67" t="n">
        <v>95.56</v>
      </c>
      <c r="H5" s="67" t="n">
        <v>191.16</v>
      </c>
      <c r="I5" s="67" t="n">
        <v>81.12702724883441</v>
      </c>
      <c r="J5" s="67" t="n">
        <v>310.19</v>
      </c>
      <c r="K5" s="17" t="n">
        <v>98.40000000000001</v>
      </c>
      <c r="L5" s="24" t="n">
        <v>100</v>
      </c>
      <c r="M5" s="23" t="n">
        <v>99.09999999999999</v>
      </c>
      <c r="N5" s="20" t="inlineStr">
        <is>
          <t>🔥 Hot</t>
        </is>
      </c>
      <c r="O5" s="20" t="inlineStr">
        <is>
          <t>🏆 Elite</t>
        </is>
      </c>
      <c r="P5" s="20" t="inlineStr">
        <is>
          <t>🚀 Strong Conviction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Franklin Asian Equity Fund - Growth Plan</t>
        </is>
      </c>
      <c r="C6" s="70" t="inlineStr">
        <is>
          <t>Franklin Templeton Mutual Fund</t>
        </is>
      </c>
      <c r="D6" s="70" t="inlineStr">
        <is>
          <t>Sectoral/ Thematic</t>
        </is>
      </c>
      <c r="E6" s="71" t="n">
        <v>-1.31</v>
      </c>
      <c r="F6" s="72" t="n">
        <v>15</v>
      </c>
      <c r="G6" s="72" t="n">
        <v>22.08</v>
      </c>
      <c r="H6" s="72" t="n">
        <v>43.26</v>
      </c>
      <c r="I6" s="72" t="n">
        <v>27.32242536175629</v>
      </c>
      <c r="J6" s="72" t="n">
        <v>68.17</v>
      </c>
      <c r="K6" s="17" t="n">
        <v>98.7</v>
      </c>
      <c r="L6" s="22" t="n">
        <v>68.09999999999999</v>
      </c>
      <c r="M6" s="23" t="n">
        <v>84.90000000000001</v>
      </c>
      <c r="N6" s="28" t="inlineStr">
        <is>
          <t>🔥 Hot</t>
        </is>
      </c>
      <c r="O6" s="28" t="inlineStr">
        <is>
          <t>🏛️ Solid</t>
        </is>
      </c>
      <c r="P6" s="28" t="inlineStr">
        <is>
          <t>⭐ Strong Buy</t>
        </is>
      </c>
      <c r="Q6" s="68" t="inlineStr">
        <is>
          <t>FULL</t>
        </is>
      </c>
    </row>
    <row r="7" ht="16" customHeight="1">
      <c r="A7" s="74" t="n">
        <v>3</v>
      </c>
      <c r="B7" s="75" t="inlineStr">
        <is>
          <t>UTI Healthcare Fund - Regular Plan - Growth Option</t>
        </is>
      </c>
      <c r="C7" s="75" t="inlineStr">
        <is>
          <t>UTI Mutual Fund</t>
        </is>
      </c>
      <c r="D7" s="75" t="inlineStr">
        <is>
          <t>Sectoral/ Thematic</t>
        </is>
      </c>
      <c r="E7" s="77" t="n">
        <v>1.88</v>
      </c>
      <c r="F7" s="77" t="n">
        <v>10.16</v>
      </c>
      <c r="G7" s="77" t="n">
        <v>8.140000000000001</v>
      </c>
      <c r="H7" s="77" t="n">
        <v>10.16</v>
      </c>
      <c r="I7" s="77" t="n">
        <v>15.43396380615196</v>
      </c>
      <c r="J7" s="77" t="n">
        <v>101.02</v>
      </c>
      <c r="K7" s="17" t="n">
        <v>95.3</v>
      </c>
      <c r="L7" s="22" t="n">
        <v>60.8</v>
      </c>
      <c r="M7" s="23" t="n">
        <v>79.8</v>
      </c>
      <c r="N7" s="79" t="inlineStr">
        <is>
          <t>🔥 Hot</t>
        </is>
      </c>
      <c r="O7" s="79" t="inlineStr">
        <is>
          <t>🏛️ Solid</t>
        </is>
      </c>
      <c r="P7" s="79" t="inlineStr">
        <is>
          <t>⭐ Strong Buy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SBI HEALTHCARE OPPORTUNITIES FUND - REGULAR PLAN -GROWTH</t>
        </is>
      </c>
      <c r="C8" s="86" t="inlineStr">
        <is>
          <t>SBI Mutual Fund</t>
        </is>
      </c>
      <c r="D8" s="86" t="inlineStr">
        <is>
          <t>Sectoral/ Thematic</t>
        </is>
      </c>
      <c r="E8" s="88" t="n">
        <v>1.36</v>
      </c>
      <c r="F8" s="88" t="n">
        <v>9.75</v>
      </c>
      <c r="G8" s="88" t="n">
        <v>10.12</v>
      </c>
      <c r="H8" s="88" t="n">
        <v>9.9</v>
      </c>
      <c r="I8" s="88" t="n">
        <v>15.19548602267364</v>
      </c>
      <c r="J8" s="88" t="n">
        <v>94.59</v>
      </c>
      <c r="K8" s="17" t="n">
        <v>98.5</v>
      </c>
      <c r="L8" s="22" t="n">
        <v>53.1</v>
      </c>
      <c r="M8" s="23" t="n">
        <v>78</v>
      </c>
      <c r="N8" s="89" t="inlineStr">
        <is>
          <t>🔥 Hot</t>
        </is>
      </c>
      <c r="O8" s="89" t="inlineStr">
        <is>
          <t>➡️ Average</t>
        </is>
      </c>
      <c r="P8" s="89" t="inlineStr">
        <is>
          <t>⭐ Strong Buy</t>
        </is>
      </c>
      <c r="Q8" s="68" t="inlineStr">
        <is>
          <t>FULL</t>
        </is>
      </c>
    </row>
    <row r="9" ht="16" customHeight="1">
      <c r="A9" s="90" t="n">
        <v>5</v>
      </c>
      <c r="B9" s="91" t="inlineStr">
        <is>
          <t>Mirae Asset Healthcare Fund -Regular Growth</t>
        </is>
      </c>
      <c r="C9" s="91" t="inlineStr">
        <is>
          <t>Mirae Asset Mutual Fund</t>
        </is>
      </c>
      <c r="D9" s="91" t="inlineStr">
        <is>
          <t>Sectoral/ Thematic</t>
        </is>
      </c>
      <c r="E9" s="93" t="n">
        <v>0.2</v>
      </c>
      <c r="F9" s="93" t="n">
        <v>6.92</v>
      </c>
      <c r="G9" s="93" t="n">
        <v>9.9</v>
      </c>
      <c r="H9" s="93" t="n">
        <v>11.95</v>
      </c>
      <c r="I9" s="93" t="n">
        <v>14.03946685248927</v>
      </c>
      <c r="J9" s="93" t="n">
        <v>93.7</v>
      </c>
      <c r="K9" s="17" t="n">
        <v>95.09999999999999</v>
      </c>
      <c r="L9" s="22" t="n">
        <v>55</v>
      </c>
      <c r="M9" s="23" t="n">
        <v>77</v>
      </c>
      <c r="N9" s="94" t="inlineStr">
        <is>
          <t>🔥 Hot</t>
        </is>
      </c>
      <c r="O9" s="94" t="inlineStr">
        <is>
          <t>➡️ Average</t>
        </is>
      </c>
      <c r="P9" s="94" t="inlineStr">
        <is>
          <t>⭐ Strong Buy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Nippon India Japan Equity Fund- Growth Plan- Bonus Option</t>
        </is>
      </c>
      <c r="C10" s="86" t="inlineStr">
        <is>
          <t>Nippon India Mutual Fund</t>
        </is>
      </c>
      <c r="D10" s="86" t="inlineStr">
        <is>
          <t>Sectoral/ Thematic</t>
        </is>
      </c>
      <c r="E10" s="87" t="n">
        <v>-0.02</v>
      </c>
      <c r="F10" s="88" t="n">
        <v>9.800000000000001</v>
      </c>
      <c r="G10" s="88" t="n">
        <v>16.99</v>
      </c>
      <c r="H10" s="88" t="n">
        <v>32.42</v>
      </c>
      <c r="I10" s="88" t="n">
        <v>22.12698309546504</v>
      </c>
      <c r="J10" s="88" t="n">
        <v>64.43000000000001</v>
      </c>
      <c r="K10" s="17" t="n">
        <v>99.59999999999999</v>
      </c>
      <c r="L10" s="18" t="n">
        <v>46.9</v>
      </c>
      <c r="M10" s="23" t="n">
        <v>75.90000000000001</v>
      </c>
      <c r="N10" s="89" t="inlineStr">
        <is>
          <t>🔥 Hot</t>
        </is>
      </c>
      <c r="O10" s="89" t="inlineStr">
        <is>
          <t>➡️ Average</t>
        </is>
      </c>
      <c r="P10" s="89" t="inlineStr">
        <is>
          <t>⭐ Strong Buy</t>
        </is>
      </c>
      <c r="Q10" s="68" t="inlineStr">
        <is>
          <t>FULL</t>
        </is>
      </c>
    </row>
    <row r="11" ht="16" customHeight="1">
      <c r="A11" s="90" t="n">
        <v>6</v>
      </c>
      <c r="B11" s="91" t="inlineStr">
        <is>
          <t>Nippon India Japan Equity Fund- Growth Plan- Growth Option</t>
        </is>
      </c>
      <c r="C11" s="91" t="inlineStr">
        <is>
          <t>Nippon India Mutual Fund</t>
        </is>
      </c>
      <c r="D11" s="91" t="inlineStr">
        <is>
          <t>Sectoral/ Thematic</t>
        </is>
      </c>
      <c r="E11" s="92" t="n">
        <v>-0.02</v>
      </c>
      <c r="F11" s="93" t="n">
        <v>9.800000000000001</v>
      </c>
      <c r="G11" s="93" t="n">
        <v>16.99</v>
      </c>
      <c r="H11" s="93" t="n">
        <v>32.42</v>
      </c>
      <c r="I11" s="93" t="n">
        <v>22.12698309546504</v>
      </c>
      <c r="J11" s="93" t="n">
        <v>64.43000000000001</v>
      </c>
      <c r="K11" s="17" t="n">
        <v>99.59999999999999</v>
      </c>
      <c r="L11" s="18" t="n">
        <v>46.9</v>
      </c>
      <c r="M11" s="23" t="n">
        <v>75.90000000000001</v>
      </c>
      <c r="N11" s="94" t="inlineStr">
        <is>
          <t>🔥 Hot</t>
        </is>
      </c>
      <c r="O11" s="94" t="inlineStr">
        <is>
          <t>➡️ Average</t>
        </is>
      </c>
      <c r="P11" s="94" t="inlineStr">
        <is>
          <t>⭐ Strong Buy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Aditya Birla Sun Life International Equity Fund - Growth - Regular Plan</t>
        </is>
      </c>
      <c r="C12" s="86" t="inlineStr">
        <is>
          <t>Aditya Birla Sun Life Mutual Fund</t>
        </is>
      </c>
      <c r="D12" s="86" t="inlineStr">
        <is>
          <t>Sectoral/ Thematic</t>
        </is>
      </c>
      <c r="E12" s="87" t="n">
        <v>-2.54</v>
      </c>
      <c r="F12" s="88" t="n">
        <v>9.65</v>
      </c>
      <c r="G12" s="88" t="n">
        <v>9.1</v>
      </c>
      <c r="H12" s="88" t="n">
        <v>25.86</v>
      </c>
      <c r="I12" s="88" t="n">
        <v>24.20547491958638</v>
      </c>
      <c r="J12" s="88" t="n">
        <v>65.16</v>
      </c>
      <c r="K12" s="17" t="n">
        <v>86.59999999999999</v>
      </c>
      <c r="L12" s="22" t="n">
        <v>56.5</v>
      </c>
      <c r="M12" s="21" t="n">
        <v>73.09999999999999</v>
      </c>
      <c r="N12" s="89" t="inlineStr">
        <is>
          <t>⭐ Strong</t>
        </is>
      </c>
      <c r="O12" s="89" t="inlineStr">
        <is>
          <t>➡️ Average</t>
        </is>
      </c>
      <c r="P12" s="89" t="inlineStr">
        <is>
          <t>📈 Momentum Play</t>
        </is>
      </c>
      <c r="Q12" s="68" t="inlineStr">
        <is>
          <t>FULL</t>
        </is>
      </c>
    </row>
    <row r="13" ht="16" customHeight="1">
      <c r="A13" s="90" t="n">
        <v>9</v>
      </c>
      <c r="B13" s="91" t="inlineStr">
        <is>
          <t>HDFC Defence Fund - Growth Option</t>
        </is>
      </c>
      <c r="C13" s="91" t="inlineStr">
        <is>
          <t>HDFC Mutual Fund</t>
        </is>
      </c>
      <c r="D13" s="91" t="inlineStr">
        <is>
          <t>Sectoral/ Thematic</t>
        </is>
      </c>
      <c r="E13" s="92" t="n">
        <v>-1.93</v>
      </c>
      <c r="F13" s="93" t="n">
        <v>10.18</v>
      </c>
      <c r="G13" s="93" t="n">
        <v>18.8</v>
      </c>
      <c r="H13" s="93" t="n">
        <v>5.32</v>
      </c>
      <c r="I13" s="93" t="n">
        <v>12.73420066687836</v>
      </c>
      <c r="J13" s="93" t="n">
        <v>169.06</v>
      </c>
      <c r="K13" s="17" t="n">
        <v>90.09999999999999</v>
      </c>
      <c r="L13" s="22" t="n">
        <v>50.4</v>
      </c>
      <c r="M13" s="21" t="n">
        <v>72.2</v>
      </c>
      <c r="N13" s="94" t="inlineStr">
        <is>
          <t>🔥 Hot</t>
        </is>
      </c>
      <c r="O13" s="94" t="inlineStr">
        <is>
          <t>➡️ Average</t>
        </is>
      </c>
      <c r="P13" s="94" t="inlineStr">
        <is>
          <t>📈 Momentum Play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ICICI Prudential Pharma Healthcare and Diagnostics (P.H.D) Fund - Cumulative Option</t>
        </is>
      </c>
      <c r="C14" s="86" t="inlineStr">
        <is>
          <t>ICICI Prudential Mutual Fund</t>
        </is>
      </c>
      <c r="D14" s="86" t="inlineStr">
        <is>
          <t>Sectoral/ Thematic</t>
        </is>
      </c>
      <c r="E14" s="87" t="n">
        <v>-0.89</v>
      </c>
      <c r="F14" s="88" t="n">
        <v>7.74</v>
      </c>
      <c r="G14" s="88" t="n">
        <v>2.74</v>
      </c>
      <c r="H14" s="88" t="n">
        <v>4.7</v>
      </c>
      <c r="I14" s="88" t="n">
        <v>13.64858116140297</v>
      </c>
      <c r="J14" s="88" t="n">
        <v>102.21</v>
      </c>
      <c r="K14" s="17" t="n">
        <v>81.2</v>
      </c>
      <c r="L14" s="18" t="n">
        <v>49.6</v>
      </c>
      <c r="M14" s="21" t="n">
        <v>67</v>
      </c>
      <c r="N14" s="89" t="inlineStr">
        <is>
          <t>⭐ Strong</t>
        </is>
      </c>
      <c r="O14" s="89" t="inlineStr">
        <is>
          <t>➡️ Average</t>
        </is>
      </c>
      <c r="P14" s="89" t="inlineStr">
        <is>
          <t>📈 Momentum Play</t>
        </is>
      </c>
      <c r="Q14" s="68" t="inlineStr">
        <is>
          <t>FULL</t>
        </is>
      </c>
    </row>
    <row r="15" ht="16" customHeight="1">
      <c r="A15" s="90" t="n">
        <v>11</v>
      </c>
      <c r="B15" s="91" t="inlineStr">
        <is>
          <t>Aditya Birla Sun Life Pharma and Healthcare Fund-Regular-Growth</t>
        </is>
      </c>
      <c r="C15" s="91" t="inlineStr">
        <is>
          <t>Aditya Birla Sun Life Mutual Fund</t>
        </is>
      </c>
      <c r="D15" s="91" t="inlineStr">
        <is>
          <t>Sectoral/ Thematic</t>
        </is>
      </c>
      <c r="E15" s="93" t="n">
        <v>0.21</v>
      </c>
      <c r="F15" s="93" t="n">
        <v>6.95</v>
      </c>
      <c r="G15" s="93" t="n">
        <v>8.58</v>
      </c>
      <c r="H15" s="93" t="n">
        <v>10.3</v>
      </c>
      <c r="I15" s="93" t="n">
        <v>10.66616465749592</v>
      </c>
      <c r="J15" s="93" t="n">
        <v>87.91</v>
      </c>
      <c r="K15" s="17" t="n">
        <v>93.7</v>
      </c>
      <c r="L15" s="18" t="n">
        <v>33.8</v>
      </c>
      <c r="M15" s="21" t="n">
        <v>66.8</v>
      </c>
      <c r="N15" s="94" t="inlineStr">
        <is>
          <t>🔥 Hot</t>
        </is>
      </c>
      <c r="O15" s="94" t="inlineStr">
        <is>
          <t>⚠️ Below Avg</t>
        </is>
      </c>
      <c r="P15" s="94" t="inlineStr">
        <is>
          <t>📈 Momentum Play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DSP Healthcare Fund - Regular Plan - Growth</t>
        </is>
      </c>
      <c r="C16" s="86" t="inlineStr">
        <is>
          <t>DSP Mutual Fund</t>
        </is>
      </c>
      <c r="D16" s="86" t="inlineStr">
        <is>
          <t>Sectoral/ Thematic</t>
        </is>
      </c>
      <c r="E16" s="88" t="n">
        <v>3.71</v>
      </c>
      <c r="F16" s="88" t="n">
        <v>12.25</v>
      </c>
      <c r="G16" s="88" t="n">
        <v>5.44</v>
      </c>
      <c r="H16" s="88" t="n">
        <v>7.51</v>
      </c>
      <c r="I16" s="88" t="n">
        <v>11.86152153444007</v>
      </c>
      <c r="J16" s="88" t="n">
        <v>82.90000000000001</v>
      </c>
      <c r="K16" s="17" t="n">
        <v>93.8</v>
      </c>
      <c r="L16" s="18" t="n">
        <v>29.2</v>
      </c>
      <c r="M16" s="21" t="n">
        <v>64.7</v>
      </c>
      <c r="N16" s="89" t="inlineStr">
        <is>
          <t>🔥 Hot</t>
        </is>
      </c>
      <c r="O16" s="89" t="inlineStr">
        <is>
          <t>⚠️ Below Avg</t>
        </is>
      </c>
      <c r="P16" s="89" t="inlineStr">
        <is>
          <t>📈 Momentum Play</t>
        </is>
      </c>
      <c r="Q16" s="68" t="inlineStr">
        <is>
          <t>FULL</t>
        </is>
      </c>
    </row>
    <row r="17" ht="16" customHeight="1">
      <c r="A17" s="90" t="n">
        <v>13</v>
      </c>
      <c r="B17" s="91" t="inlineStr">
        <is>
          <t>ICICI Prudential US Bluechip Equity Fund - Growth</t>
        </is>
      </c>
      <c r="C17" s="91" t="inlineStr">
        <is>
          <t>ICICI Prudential Mutual Fund</t>
        </is>
      </c>
      <c r="D17" s="91" t="inlineStr">
        <is>
          <t>Sectoral/ Thematic</t>
        </is>
      </c>
      <c r="E17" s="93" t="n">
        <v>0.92</v>
      </c>
      <c r="F17" s="93" t="n">
        <v>3.87</v>
      </c>
      <c r="G17" s="93" t="n">
        <v>0.6</v>
      </c>
      <c r="H17" s="93" t="n">
        <v>17.44</v>
      </c>
      <c r="I17" s="93" t="n">
        <v>12.88932633336069</v>
      </c>
      <c r="J17" s="93" t="n">
        <v>44.26</v>
      </c>
      <c r="K17" s="17" t="n">
        <v>82.09999999999999</v>
      </c>
      <c r="L17" s="18" t="n">
        <v>24.6</v>
      </c>
      <c r="M17" s="21" t="n">
        <v>56.3</v>
      </c>
      <c r="N17" s="94" t="inlineStr">
        <is>
          <t>⭐ Strong</t>
        </is>
      </c>
      <c r="O17" s="94" t="inlineStr">
        <is>
          <t>⚠️ Below Avg</t>
        </is>
      </c>
      <c r="P17" s="94" t="inlineStr">
        <is>
          <t>✅ Buy</t>
        </is>
      </c>
      <c r="Q17" s="68" t="inlineStr">
        <is>
          <t>FULL</t>
        </is>
      </c>
    </row>
    <row r="18" ht="16" customHeight="1">
      <c r="A18" s="95" t="n">
        <v>14</v>
      </c>
      <c r="B18" s="96" t="inlineStr">
        <is>
          <t>HDFC Pharma and Healthcare Fund - Growth Option</t>
        </is>
      </c>
      <c r="C18" s="96" t="inlineStr">
        <is>
          <t>HDFC Mutual Fund</t>
        </is>
      </c>
      <c r="D18" s="96" t="inlineStr">
        <is>
          <t>Sectoral/ Thematic</t>
        </is>
      </c>
      <c r="E18" s="98" t="n">
        <v>1.63</v>
      </c>
      <c r="F18" s="98" t="n">
        <v>11.46</v>
      </c>
      <c r="G18" s="98" t="n">
        <v>13.01</v>
      </c>
      <c r="H18" s="98" t="n">
        <v>18.38</v>
      </c>
      <c r="I18" s="98" t="n">
        <v>22.44998979175132</v>
      </c>
      <c r="J18" s="98" t="n">
        <v>0</v>
      </c>
      <c r="K18" s="17" t="n">
        <v>100</v>
      </c>
      <c r="L18" s="18" t="n">
        <v>0</v>
      </c>
      <c r="M18" s="21" t="n">
        <v>55</v>
      </c>
      <c r="N18" s="99" t="inlineStr">
        <is>
          <t>🔥 Hot</t>
        </is>
      </c>
      <c r="O18" s="99" t="inlineStr">
        <is>
          <t>⏳ New Fund</t>
        </is>
      </c>
      <c r="P18" s="99" t="inlineStr">
        <is>
          <t>🔥 Hot Momentum</t>
        </is>
      </c>
      <c r="Q18" s="100" t="inlineStr">
        <is>
          <t>MOMENTUM_ONLY</t>
        </is>
      </c>
    </row>
    <row r="19" ht="16" customHeight="1">
      <c r="A19" s="95" t="n">
        <v>14</v>
      </c>
      <c r="B19" s="96" t="inlineStr">
        <is>
          <t>Kotak Healthcare Fund - Regular Plan - Growth Option</t>
        </is>
      </c>
      <c r="C19" s="96" t="inlineStr">
        <is>
          <t>Kotak Mahindra Mutual Fund</t>
        </is>
      </c>
      <c r="D19" s="96" t="inlineStr">
        <is>
          <t>Sectoral/ Thematic</t>
        </is>
      </c>
      <c r="E19" s="98" t="n">
        <v>1.79</v>
      </c>
      <c r="F19" s="98" t="n">
        <v>11.28</v>
      </c>
      <c r="G19" s="98" t="n">
        <v>12.95</v>
      </c>
      <c r="H19" s="98" t="n">
        <v>14.85</v>
      </c>
      <c r="I19" s="98" t="n">
        <v>14.68652928744509</v>
      </c>
      <c r="J19" s="98" t="n">
        <v>0</v>
      </c>
      <c r="K19" s="17" t="n">
        <v>100</v>
      </c>
      <c r="L19" s="18" t="n">
        <v>0</v>
      </c>
      <c r="M19" s="21" t="n">
        <v>55</v>
      </c>
      <c r="N19" s="99" t="inlineStr">
        <is>
          <t>🔥 Hot</t>
        </is>
      </c>
      <c r="O19" s="99" t="inlineStr">
        <is>
          <t>⏳ New Fund</t>
        </is>
      </c>
      <c r="P19" s="99" t="inlineStr">
        <is>
          <t>🔥 Hot Momentum</t>
        </is>
      </c>
      <c r="Q19" s="100" t="inlineStr">
        <is>
          <t>MOMENTUM_ONLY</t>
        </is>
      </c>
    </row>
    <row r="20" ht="16" customHeight="1">
      <c r="A20" s="85" t="n">
        <v>16</v>
      </c>
      <c r="B20" s="86" t="inlineStr">
        <is>
          <t>Edelweiss Recently Listed IPO Fund Regular Plan Growth</t>
        </is>
      </c>
      <c r="C20" s="86" t="inlineStr">
        <is>
          <t>Edelweiss Mutual Fund</t>
        </is>
      </c>
      <c r="D20" s="86" t="inlineStr">
        <is>
          <t>Sectoral/ Thematic</t>
        </is>
      </c>
      <c r="E20" s="88" t="n">
        <v>2.4</v>
      </c>
      <c r="F20" s="88" t="n">
        <v>19.54</v>
      </c>
      <c r="G20" s="88" t="n">
        <v>10.72</v>
      </c>
      <c r="H20" s="88" t="n">
        <v>12.13</v>
      </c>
      <c r="I20" s="88" t="n">
        <v>9.370928495647313</v>
      </c>
      <c r="J20" s="88" t="n">
        <v>62.48</v>
      </c>
      <c r="K20" s="17" t="n">
        <v>99.8</v>
      </c>
      <c r="L20" s="18" t="n">
        <v>0</v>
      </c>
      <c r="M20" s="21" t="n">
        <v>54.9</v>
      </c>
      <c r="N20" s="89" t="inlineStr">
        <is>
          <t>🔥 Hot</t>
        </is>
      </c>
      <c r="O20" s="89" t="inlineStr">
        <is>
          <t>🔴 Not Qualified</t>
        </is>
      </c>
      <c r="P20" s="89" t="inlineStr">
        <is>
          <t>⚠️ Watch</t>
        </is>
      </c>
      <c r="Q20" s="68" t="inlineStr">
        <is>
          <t>FULL</t>
        </is>
      </c>
    </row>
    <row r="21" ht="16" customHeight="1">
      <c r="A21" s="95" t="n">
        <v>17</v>
      </c>
      <c r="B21" s="96" t="inlineStr">
        <is>
          <t>Motilal Oswal Active Momentum Fund- Regular- Growth</t>
        </is>
      </c>
      <c r="C21" s="96" t="inlineStr">
        <is>
          <t>Motilal Oswal Mutual Fund</t>
        </is>
      </c>
      <c r="D21" s="96" t="inlineStr">
        <is>
          <t>Sectoral/ Thematic</t>
        </is>
      </c>
      <c r="E21" s="98" t="n">
        <v>3.58</v>
      </c>
      <c r="F21" s="98" t="n">
        <v>16.95</v>
      </c>
      <c r="G21" s="98" t="n">
        <v>8.9</v>
      </c>
      <c r="H21" s="98" t="n">
        <v>18.84</v>
      </c>
      <c r="I21" s="98" t="n">
        <v>0</v>
      </c>
      <c r="J21" s="98" t="n">
        <v>0</v>
      </c>
      <c r="K21" s="17" t="n">
        <v>99.5</v>
      </c>
      <c r="L21" s="18" t="n">
        <v>0</v>
      </c>
      <c r="M21" s="21" t="n">
        <v>54.7</v>
      </c>
      <c r="N21" s="99" t="inlineStr">
        <is>
          <t>🔥 Hot</t>
        </is>
      </c>
      <c r="O21" s="99" t="inlineStr">
        <is>
          <t>⏳ New Fund</t>
        </is>
      </c>
      <c r="P21" s="99" t="inlineStr">
        <is>
          <t>🔥 Hot Momentum</t>
        </is>
      </c>
      <c r="Q21" s="100" t="inlineStr">
        <is>
          <t>MOMENTUM_ONLY</t>
        </is>
      </c>
    </row>
    <row r="22" ht="16" customHeight="1">
      <c r="A22" s="95" t="n">
        <v>18</v>
      </c>
      <c r="B22" s="96" t="inlineStr">
        <is>
          <t>PGIM India Healthcare Fund - Regular Plan - Growth Option</t>
        </is>
      </c>
      <c r="C22" s="96" t="inlineStr">
        <is>
          <t>PGIM India Mutual Fund</t>
        </is>
      </c>
      <c r="D22" s="96" t="inlineStr">
        <is>
          <t>Sectoral/ Thematic</t>
        </is>
      </c>
      <c r="E22" s="98" t="n">
        <v>1.4</v>
      </c>
      <c r="F22" s="98" t="n">
        <v>8.57</v>
      </c>
      <c r="G22" s="98" t="n">
        <v>9.880000000000001</v>
      </c>
      <c r="H22" s="98" t="n">
        <v>11.57</v>
      </c>
      <c r="I22" s="98" t="n">
        <v>0</v>
      </c>
      <c r="J22" s="98" t="n">
        <v>0</v>
      </c>
      <c r="K22" s="17" t="n">
        <v>98.09999999999999</v>
      </c>
      <c r="L22" s="18" t="n">
        <v>0</v>
      </c>
      <c r="M22" s="21" t="n">
        <v>53.9</v>
      </c>
      <c r="N22" s="99" t="inlineStr">
        <is>
          <t>🔥 Hot</t>
        </is>
      </c>
      <c r="O22" s="99" t="inlineStr">
        <is>
          <t>⏳ New Fund</t>
        </is>
      </c>
      <c r="P22" s="99" t="inlineStr">
        <is>
          <t>🔥 Hot Momentum</t>
        </is>
      </c>
      <c r="Q22" s="100" t="inlineStr">
        <is>
          <t>MOMENTUM_ONLY</t>
        </is>
      </c>
    </row>
    <row r="23" ht="16" customHeight="1">
      <c r="A23" s="90" t="n">
        <v>19</v>
      </c>
      <c r="B23" s="91" t="inlineStr">
        <is>
          <t>quant ESG Integration Strategy Fund - Growth Option - Regular Plan</t>
        </is>
      </c>
      <c r="C23" s="91" t="inlineStr">
        <is>
          <t>quant Mutual Fund</t>
        </is>
      </c>
      <c r="D23" s="91" t="inlineStr">
        <is>
          <t>Sectoral/ Thematic</t>
        </is>
      </c>
      <c r="E23" s="93" t="n">
        <v>3.03</v>
      </c>
      <c r="F23" s="93" t="n">
        <v>19.28</v>
      </c>
      <c r="G23" s="93" t="n">
        <v>9.210000000000001</v>
      </c>
      <c r="H23" s="93" t="n">
        <v>8.32</v>
      </c>
      <c r="I23" s="93" t="n">
        <v>4.129726783469478</v>
      </c>
      <c r="J23" s="93" t="n">
        <v>68</v>
      </c>
      <c r="K23" s="17" t="n">
        <v>97.59999999999999</v>
      </c>
      <c r="L23" s="18" t="n">
        <v>0</v>
      </c>
      <c r="M23" s="21" t="n">
        <v>53.7</v>
      </c>
      <c r="N23" s="94" t="inlineStr">
        <is>
          <t>🔥 Hot</t>
        </is>
      </c>
      <c r="O23" s="94" t="inlineStr">
        <is>
          <t>🔴 Not Qualified</t>
        </is>
      </c>
      <c r="P23" s="94" t="inlineStr">
        <is>
          <t>⚠️ Watch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WhiteOak Capital Pharma and Heathcare Fund Regular Plan Growth</t>
        </is>
      </c>
      <c r="C24" s="96" t="inlineStr">
        <is>
          <t>WhiteOak Capital Mutual Fund</t>
        </is>
      </c>
      <c r="D24" s="96" t="inlineStr">
        <is>
          <t>Sectoral/ Thematic</t>
        </is>
      </c>
      <c r="E24" s="98" t="n">
        <v>0.74</v>
      </c>
      <c r="F24" s="98" t="n">
        <v>9.76</v>
      </c>
      <c r="G24" s="98" t="n">
        <v>9.050000000000001</v>
      </c>
      <c r="H24" s="98" t="n">
        <v>14.53</v>
      </c>
      <c r="I24" s="98" t="n">
        <v>20.47406359876802</v>
      </c>
      <c r="J24" s="98" t="n">
        <v>0</v>
      </c>
      <c r="K24" s="17" t="n">
        <v>95.8</v>
      </c>
      <c r="L24" s="18" t="n">
        <v>0</v>
      </c>
      <c r="M24" s="21" t="n">
        <v>52.7</v>
      </c>
      <c r="N24" s="99" t="inlineStr">
        <is>
          <t>🔥 Hot</t>
        </is>
      </c>
      <c r="O24" s="99" t="inlineStr">
        <is>
          <t>⏳ New Fund</t>
        </is>
      </c>
      <c r="P24" s="99" t="inlineStr">
        <is>
          <t>🔥 Hot Momentum</t>
        </is>
      </c>
      <c r="Q24" s="100" t="inlineStr">
        <is>
          <t>MOMENTUM_ONLY</t>
        </is>
      </c>
    </row>
    <row r="25" ht="16" customHeight="1">
      <c r="A25" s="95" t="n">
        <v>21</v>
      </c>
      <c r="B25" s="96" t="inlineStr">
        <is>
          <t>Kotak MNC Fund-Regular Plan- Growth</t>
        </is>
      </c>
      <c r="C25" s="96" t="inlineStr">
        <is>
          <t>Kotak Mahindra Mutual Fund</t>
        </is>
      </c>
      <c r="D25" s="96" t="inlineStr">
        <is>
          <t>Sectoral/ Thematic</t>
        </is>
      </c>
      <c r="E25" s="97" t="n">
        <v>-0.76</v>
      </c>
      <c r="F25" s="98" t="n">
        <v>10.97</v>
      </c>
      <c r="G25" s="98" t="n">
        <v>9.56</v>
      </c>
      <c r="H25" s="98" t="n">
        <v>16.13</v>
      </c>
      <c r="I25" s="98" t="n">
        <v>0</v>
      </c>
      <c r="J25" s="98" t="n">
        <v>0</v>
      </c>
      <c r="K25" s="17" t="n">
        <v>95.2</v>
      </c>
      <c r="L25" s="18" t="n">
        <v>0</v>
      </c>
      <c r="M25" s="21" t="n">
        <v>52.3</v>
      </c>
      <c r="N25" s="99" t="inlineStr">
        <is>
          <t>🔥 Hot</t>
        </is>
      </c>
      <c r="O25" s="99" t="inlineStr">
        <is>
          <t>⏳ New Fund</t>
        </is>
      </c>
      <c r="P25" s="99" t="inlineStr">
        <is>
          <t>🔥 Hot Momentum</t>
        </is>
      </c>
      <c r="Q25" s="100" t="inlineStr">
        <is>
          <t>MOMENTUM_ONLY</t>
        </is>
      </c>
    </row>
    <row r="26" ht="16" customHeight="1">
      <c r="A26" s="85" t="n">
        <v>22</v>
      </c>
      <c r="B26" s="86" t="inlineStr">
        <is>
          <t>Nippon India US Equity Opportunities Fund- Growth Plan- Growth Option</t>
        </is>
      </c>
      <c r="C26" s="86" t="inlineStr">
        <is>
          <t>Nippon India Mutual Fund</t>
        </is>
      </c>
      <c r="D26" s="86" t="inlineStr">
        <is>
          <t>Sectoral/ Thematic</t>
        </is>
      </c>
      <c r="E26" s="87" t="n">
        <v>-1.99</v>
      </c>
      <c r="F26" s="88" t="n">
        <v>8.09</v>
      </c>
      <c r="G26" s="88" t="n">
        <v>2.07</v>
      </c>
      <c r="H26" s="88" t="n">
        <v>11.11</v>
      </c>
      <c r="I26" s="88" t="n">
        <v>11.68706281391771</v>
      </c>
      <c r="J26" s="88" t="n">
        <v>59.26</v>
      </c>
      <c r="K26" s="17" t="n">
        <v>79.7</v>
      </c>
      <c r="L26" s="18" t="n">
        <v>17.3</v>
      </c>
      <c r="M26" s="21" t="n">
        <v>51.6</v>
      </c>
      <c r="N26" s="89" t="inlineStr">
        <is>
          <t>⭐ Strong</t>
        </is>
      </c>
      <c r="O26" s="89" t="inlineStr">
        <is>
          <t>⚠️ Below Avg</t>
        </is>
      </c>
      <c r="P26" s="89" t="inlineStr">
        <is>
          <t>⚠️ Watch</t>
        </is>
      </c>
      <c r="Q26" s="68" t="inlineStr">
        <is>
          <t>FULL</t>
        </is>
      </c>
    </row>
    <row r="27" ht="16" customHeight="1">
      <c r="A27" s="95" t="n">
        <v>23</v>
      </c>
      <c r="B27" s="96" t="inlineStr">
        <is>
          <t>BAJAJ FINSERV HEALTHCARE FUND - REGULAR - GROWTH</t>
        </is>
      </c>
      <c r="C27" s="96" t="inlineStr">
        <is>
          <t>Bajaj Finserv Mutual Fund</t>
        </is>
      </c>
      <c r="D27" s="96" t="inlineStr">
        <is>
          <t>Sectoral/ Thematic</t>
        </is>
      </c>
      <c r="E27" s="98" t="n">
        <v>0.28</v>
      </c>
      <c r="F27" s="98" t="n">
        <v>10.98</v>
      </c>
      <c r="G27" s="98" t="n">
        <v>6.96</v>
      </c>
      <c r="H27" s="98" t="n">
        <v>8.359999999999999</v>
      </c>
      <c r="I27" s="98" t="n">
        <v>0</v>
      </c>
      <c r="J27" s="98" t="n">
        <v>0</v>
      </c>
      <c r="K27" s="17" t="n">
        <v>93.7</v>
      </c>
      <c r="L27" s="18" t="n">
        <v>0</v>
      </c>
      <c r="M27" s="21" t="n">
        <v>51.5</v>
      </c>
      <c r="N27" s="99" t="inlineStr">
        <is>
          <t>🔥 Hot</t>
        </is>
      </c>
      <c r="O27" s="99" t="inlineStr">
        <is>
          <t>⏳ New Fund</t>
        </is>
      </c>
      <c r="P27" s="99" t="inlineStr">
        <is>
          <t>🔥 Hot Momentum</t>
        </is>
      </c>
      <c r="Q27" s="100" t="inlineStr">
        <is>
          <t>MOMENTUM_ONLY</t>
        </is>
      </c>
    </row>
    <row r="28" ht="16" customHeight="1">
      <c r="A28" s="85" t="n">
        <v>24</v>
      </c>
      <c r="B28" s="86" t="inlineStr">
        <is>
          <t>DSP India T.I.G.E.R. Fund - Regular Plan - Growth</t>
        </is>
      </c>
      <c r="C28" s="86" t="inlineStr">
        <is>
          <t>DSP Mutual Fund</t>
        </is>
      </c>
      <c r="D28" s="86" t="inlineStr">
        <is>
          <t>Sectoral/ Thematic</t>
        </is>
      </c>
      <c r="E28" s="87" t="n">
        <v>-1.29</v>
      </c>
      <c r="F28" s="88" t="n">
        <v>9.460000000000001</v>
      </c>
      <c r="G28" s="88" t="n">
        <v>10.81</v>
      </c>
      <c r="H28" s="88" t="n">
        <v>9.699999999999999</v>
      </c>
      <c r="I28" s="88" t="n">
        <v>4.661358676447525</v>
      </c>
      <c r="J28" s="88" t="n">
        <v>91.16</v>
      </c>
      <c r="K28" s="17" t="n">
        <v>93.59999999999999</v>
      </c>
      <c r="L28" s="18" t="n">
        <v>0</v>
      </c>
      <c r="M28" s="21" t="n">
        <v>51.5</v>
      </c>
      <c r="N28" s="89" t="inlineStr">
        <is>
          <t>🔥 Hot</t>
        </is>
      </c>
      <c r="O28" s="89" t="inlineStr">
        <is>
          <t>🔴 Not Qualified</t>
        </is>
      </c>
      <c r="P28" s="89" t="inlineStr">
        <is>
          <t>⚠️ Watch</t>
        </is>
      </c>
      <c r="Q28" s="68" t="inlineStr">
        <is>
          <t>FULL</t>
        </is>
      </c>
    </row>
    <row r="29" ht="16" customHeight="1">
      <c r="A29" s="95" t="n">
        <v>25</v>
      </c>
      <c r="B29" s="96" t="inlineStr">
        <is>
          <t>quant Manufacturing Fund - Growth Option - Regular Plan</t>
        </is>
      </c>
      <c r="C29" s="96" t="inlineStr">
        <is>
          <t>quant Mutual Fund</t>
        </is>
      </c>
      <c r="D29" s="96" t="inlineStr">
        <is>
          <t>Sectoral/ Thematic</t>
        </is>
      </c>
      <c r="E29" s="98" t="n">
        <v>0.39</v>
      </c>
      <c r="F29" s="98" t="n">
        <v>18.21</v>
      </c>
      <c r="G29" s="98" t="n">
        <v>8.65</v>
      </c>
      <c r="H29" s="98" t="n">
        <v>4.17</v>
      </c>
      <c r="I29" s="97" t="n">
        <v>-1.166807195153308</v>
      </c>
      <c r="J29" s="98" t="n">
        <v>0</v>
      </c>
      <c r="K29" s="17" t="n">
        <v>92.2</v>
      </c>
      <c r="L29" s="18" t="n">
        <v>0</v>
      </c>
      <c r="M29" s="21" t="n">
        <v>50.7</v>
      </c>
      <c r="N29" s="99" t="inlineStr">
        <is>
          <t>🔥 Hot</t>
        </is>
      </c>
      <c r="O29" s="99" t="inlineStr">
        <is>
          <t>⏳ New Fund</t>
        </is>
      </c>
      <c r="P29" s="99" t="inlineStr">
        <is>
          <t>🔥 Hot Momentum</t>
        </is>
      </c>
      <c r="Q29" s="100" t="inlineStr">
        <is>
          <t>MOMENTUM_ONLY</t>
        </is>
      </c>
    </row>
    <row r="30" ht="16" customHeight="1">
      <c r="A30" s="95" t="n">
        <v>26</v>
      </c>
      <c r="B30" s="96" t="inlineStr">
        <is>
          <t>Union Active Momentum Fund - Regular Plan - Growth Option</t>
        </is>
      </c>
      <c r="C30" s="96" t="inlineStr">
        <is>
          <t>Union Mutual Fund</t>
        </is>
      </c>
      <c r="D30" s="96" t="inlineStr">
        <is>
          <t>Sectoral/ Thematic</t>
        </is>
      </c>
      <c r="E30" s="98" t="n">
        <v>2.03</v>
      </c>
      <c r="F30" s="98" t="n">
        <v>11.74</v>
      </c>
      <c r="G30" s="98" t="n">
        <v>7.49</v>
      </c>
      <c r="H30" s="98" t="n">
        <v>2.38</v>
      </c>
      <c r="I30" s="98" t="n">
        <v>0</v>
      </c>
      <c r="J30" s="98" t="n">
        <v>0</v>
      </c>
      <c r="K30" s="17" t="n">
        <v>91.2</v>
      </c>
      <c r="L30" s="18" t="n">
        <v>0</v>
      </c>
      <c r="M30" s="21" t="n">
        <v>50.2</v>
      </c>
      <c r="N30" s="99" t="inlineStr">
        <is>
          <t>🔥 Hot</t>
        </is>
      </c>
      <c r="O30" s="99" t="inlineStr">
        <is>
          <t>⏳ New Fund</t>
        </is>
      </c>
      <c r="P30" s="99" t="inlineStr">
        <is>
          <t>🔥 Hot Momentum</t>
        </is>
      </c>
      <c r="Q30" s="100" t="inlineStr">
        <is>
          <t>MOMENTUM_ONLY</t>
        </is>
      </c>
    </row>
    <row r="31" ht="16" customHeight="1">
      <c r="A31" s="95" t="n">
        <v>27</v>
      </c>
      <c r="B31" s="96" t="inlineStr">
        <is>
          <t>Canara Robeco Manufacturing Fund -Regular Plan - IDWC Option</t>
        </is>
      </c>
      <c r="C31" s="96" t="inlineStr">
        <is>
          <t>Canara Robeco Mutual Fund</t>
        </is>
      </c>
      <c r="D31" s="96" t="inlineStr">
        <is>
          <t>Sectoral/ Thematic</t>
        </is>
      </c>
      <c r="E31" s="97" t="n">
        <v>-0.97</v>
      </c>
      <c r="F31" s="98" t="n">
        <v>10.72</v>
      </c>
      <c r="G31" s="98" t="n">
        <v>6.79</v>
      </c>
      <c r="H31" s="98" t="n">
        <v>7.57</v>
      </c>
      <c r="I31" s="98" t="n">
        <v>6.070731118438144</v>
      </c>
      <c r="J31" s="98" t="n">
        <v>0</v>
      </c>
      <c r="K31" s="17" t="n">
        <v>90.59999999999999</v>
      </c>
      <c r="L31" s="18" t="n">
        <v>0</v>
      </c>
      <c r="M31" s="19" t="n">
        <v>49.8</v>
      </c>
      <c r="N31" s="99" t="inlineStr">
        <is>
          <t>🔥 Hot</t>
        </is>
      </c>
      <c r="O31" s="99" t="inlineStr">
        <is>
          <t>⏳ New Fund</t>
        </is>
      </c>
      <c r="P31" s="99" t="inlineStr">
        <is>
          <t>🔥 Hot Momentum</t>
        </is>
      </c>
      <c r="Q31" s="100" t="inlineStr">
        <is>
          <t>MOMENTUM_ONLY</t>
        </is>
      </c>
    </row>
    <row r="32" ht="16" customHeight="1">
      <c r="A32" s="95" t="n">
        <v>28</v>
      </c>
      <c r="B32" s="96" t="inlineStr">
        <is>
          <t>Canara Robeco Manufacturing Fund - Regular Plan - Growth Option</t>
        </is>
      </c>
      <c r="C32" s="96" t="inlineStr">
        <is>
          <t>Canara Robeco Mutual Fund</t>
        </is>
      </c>
      <c r="D32" s="96" t="inlineStr">
        <is>
          <t>Sectoral/ Thematic</t>
        </is>
      </c>
      <c r="E32" s="97" t="n">
        <v>-0.97</v>
      </c>
      <c r="F32" s="98" t="n">
        <v>10.8</v>
      </c>
      <c r="G32" s="98" t="n">
        <v>6.78</v>
      </c>
      <c r="H32" s="98" t="n">
        <v>7.56</v>
      </c>
      <c r="I32" s="98" t="n">
        <v>6.113147159058463</v>
      </c>
      <c r="J32" s="98" t="n">
        <v>0</v>
      </c>
      <c r="K32" s="17" t="n">
        <v>90.5</v>
      </c>
      <c r="L32" s="18" t="n">
        <v>0</v>
      </c>
      <c r="M32" s="19" t="n">
        <v>49.8</v>
      </c>
      <c r="N32" s="99" t="inlineStr">
        <is>
          <t>🔥 Hot</t>
        </is>
      </c>
      <c r="O32" s="99" t="inlineStr">
        <is>
          <t>⏳ New Fund</t>
        </is>
      </c>
      <c r="P32" s="99" t="inlineStr">
        <is>
          <t>🔥 Hot Momentum</t>
        </is>
      </c>
      <c r="Q32" s="100" t="inlineStr">
        <is>
          <t>MOMENTUM_ONLY</t>
        </is>
      </c>
    </row>
    <row r="33" ht="16" customHeight="1">
      <c r="A33" s="90" t="n">
        <v>29</v>
      </c>
      <c r="B33" s="91" t="inlineStr">
        <is>
          <t>quant Quantamental Fund - Growth Option - Regular Plan</t>
        </is>
      </c>
      <c r="C33" s="91" t="inlineStr">
        <is>
          <t>quant Mutual Fund</t>
        </is>
      </c>
      <c r="D33" s="91" t="inlineStr">
        <is>
          <t>Sectoral/ Thematic</t>
        </is>
      </c>
      <c r="E33" s="93" t="n">
        <v>0.43</v>
      </c>
      <c r="F33" s="93" t="n">
        <v>11.82</v>
      </c>
      <c r="G33" s="93" t="n">
        <v>4.12</v>
      </c>
      <c r="H33" s="93" t="n">
        <v>6.61</v>
      </c>
      <c r="I33" s="93" t="n">
        <v>0.5484957619953601</v>
      </c>
      <c r="J33" s="93" t="n">
        <v>66.27</v>
      </c>
      <c r="K33" s="17" t="n">
        <v>89.7</v>
      </c>
      <c r="L33" s="18" t="n">
        <v>0</v>
      </c>
      <c r="M33" s="19" t="n">
        <v>49.4</v>
      </c>
      <c r="N33" s="94" t="inlineStr">
        <is>
          <t>⭐ Strong</t>
        </is>
      </c>
      <c r="O33" s="94" t="inlineStr">
        <is>
          <t>🔴 Not Qualified</t>
        </is>
      </c>
      <c r="P33" s="94" t="inlineStr">
        <is>
          <t>⚠️ Watch</t>
        </is>
      </c>
      <c r="Q33" s="68" t="inlineStr">
        <is>
          <t>FULL</t>
        </is>
      </c>
    </row>
    <row r="34" ht="16" customHeight="1">
      <c r="A34" s="95" t="n">
        <v>30</v>
      </c>
      <c r="B34" s="96" t="inlineStr">
        <is>
          <t>quant Commodities Fund - Growth Option - Regular Plan</t>
        </is>
      </c>
      <c r="C34" s="96" t="inlineStr">
        <is>
          <t>quant Mutual Fund</t>
        </is>
      </c>
      <c r="D34" s="96" t="inlineStr">
        <is>
          <t>Sectoral/ Thematic</t>
        </is>
      </c>
      <c r="E34" s="97" t="n">
        <v>-2</v>
      </c>
      <c r="F34" s="98" t="n">
        <v>16.38</v>
      </c>
      <c r="G34" s="98" t="n">
        <v>9.279999999999999</v>
      </c>
      <c r="H34" s="98" t="n">
        <v>6.82</v>
      </c>
      <c r="I34" s="98" t="n">
        <v>5.631434715239947</v>
      </c>
      <c r="J34" s="98" t="n">
        <v>0</v>
      </c>
      <c r="K34" s="17" t="n">
        <v>88</v>
      </c>
      <c r="L34" s="18" t="n">
        <v>0</v>
      </c>
      <c r="M34" s="19" t="n">
        <v>48.4</v>
      </c>
      <c r="N34" s="99" t="inlineStr">
        <is>
          <t>⭐ Strong</t>
        </is>
      </c>
      <c r="O34" s="99" t="inlineStr">
        <is>
          <t>⏳ New Fund</t>
        </is>
      </c>
      <c r="P34" s="99" t="inlineStr">
        <is>
          <t>🔥 Hot Momentum</t>
        </is>
      </c>
      <c r="Q34" s="100" t="inlineStr">
        <is>
          <t>MOMENTUM_ONLY</t>
        </is>
      </c>
    </row>
    <row r="35" ht="16" customHeight="1">
      <c r="A35" s="90" t="n">
        <v>31</v>
      </c>
      <c r="B35" s="91" t="inlineStr">
        <is>
          <t>quant Infrastructure Fund - Growth Option</t>
        </is>
      </c>
      <c r="C35" s="91" t="inlineStr">
        <is>
          <t>quant Mutual Fund</t>
        </is>
      </c>
      <c r="D35" s="91" t="inlineStr">
        <is>
          <t>Sectoral/ Thematic</t>
        </is>
      </c>
      <c r="E35" s="92" t="n">
        <v>-0.72</v>
      </c>
      <c r="F35" s="93" t="n">
        <v>14.52</v>
      </c>
      <c r="G35" s="93" t="n">
        <v>4.88</v>
      </c>
      <c r="H35" s="93" t="n">
        <v>3.83</v>
      </c>
      <c r="I35" s="92" t="n">
        <v>-2.660388330341079</v>
      </c>
      <c r="J35" s="93" t="n">
        <v>70.2</v>
      </c>
      <c r="K35" s="17" t="n">
        <v>87.40000000000001</v>
      </c>
      <c r="L35" s="18" t="n">
        <v>0</v>
      </c>
      <c r="M35" s="19" t="n">
        <v>48.1</v>
      </c>
      <c r="N35" s="94" t="inlineStr">
        <is>
          <t>⭐ Strong</t>
        </is>
      </c>
      <c r="O35" s="94" t="inlineStr">
        <is>
          <t>🔴 Not Qualified</t>
        </is>
      </c>
      <c r="P35" s="94" t="inlineStr">
        <is>
          <t>⚠️ Watch</t>
        </is>
      </c>
      <c r="Q35" s="68" t="inlineStr">
        <is>
          <t>FULL</t>
        </is>
      </c>
    </row>
    <row r="36" ht="16" customHeight="1">
      <c r="A36" s="95" t="n">
        <v>32</v>
      </c>
      <c r="B36" s="96" t="inlineStr">
        <is>
          <t>LIC MF Healthcare Fund-Regular Plan-Growth</t>
        </is>
      </c>
      <c r="C36" s="96" t="inlineStr">
        <is>
          <t>LIC Mutual Fund</t>
        </is>
      </c>
      <c r="D36" s="96" t="inlineStr">
        <is>
          <t>Sectoral/ Thematic</t>
        </is>
      </c>
      <c r="E36" s="97" t="n">
        <v>-1.02</v>
      </c>
      <c r="F36" s="98" t="n">
        <v>8.460000000000001</v>
      </c>
      <c r="G36" s="98" t="n">
        <v>5.15</v>
      </c>
      <c r="H36" s="98" t="n">
        <v>7.2</v>
      </c>
      <c r="I36" s="98" t="n">
        <v>11.44505372604026</v>
      </c>
      <c r="J36" s="98" t="n">
        <v>0</v>
      </c>
      <c r="K36" s="17" t="n">
        <v>86.7</v>
      </c>
      <c r="L36" s="18" t="n">
        <v>0</v>
      </c>
      <c r="M36" s="19" t="n">
        <v>47.7</v>
      </c>
      <c r="N36" s="99" t="inlineStr">
        <is>
          <t>⭐ Strong</t>
        </is>
      </c>
      <c r="O36" s="99" t="inlineStr">
        <is>
          <t>⏳ New Fund</t>
        </is>
      </c>
      <c r="P36" s="99" t="inlineStr">
        <is>
          <t>🔥 Hot Momentum</t>
        </is>
      </c>
      <c r="Q36" s="100" t="inlineStr">
        <is>
          <t>MOMENTUM_ONLY</t>
        </is>
      </c>
    </row>
    <row r="37" ht="16" customHeight="1">
      <c r="A37" s="95" t="n">
        <v>33</v>
      </c>
      <c r="B37" s="96" t="inlineStr">
        <is>
          <t>Invesco India Business Cycle Fund - Regular Plan - Growth</t>
        </is>
      </c>
      <c r="C37" s="96" t="inlineStr">
        <is>
          <t>Invesco Mutual Fund</t>
        </is>
      </c>
      <c r="D37" s="96" t="inlineStr">
        <is>
          <t>Sectoral/ Thematic</t>
        </is>
      </c>
      <c r="E37" s="97" t="n">
        <v>-0.54</v>
      </c>
      <c r="F37" s="98" t="n">
        <v>12.18</v>
      </c>
      <c r="G37" s="98" t="n">
        <v>2.2</v>
      </c>
      <c r="H37" s="98" t="n">
        <v>6.91</v>
      </c>
      <c r="I37" s="98" t="n">
        <v>0</v>
      </c>
      <c r="J37" s="98" t="n">
        <v>0</v>
      </c>
      <c r="K37" s="17" t="n">
        <v>86.09999999999999</v>
      </c>
      <c r="L37" s="18" t="n">
        <v>0</v>
      </c>
      <c r="M37" s="19" t="n">
        <v>47.3</v>
      </c>
      <c r="N37" s="99" t="inlineStr">
        <is>
          <t>⭐ Strong</t>
        </is>
      </c>
      <c r="O37" s="99" t="inlineStr">
        <is>
          <t>⏳ New Fund</t>
        </is>
      </c>
      <c r="P37" s="99" t="inlineStr">
        <is>
          <t>🔥 Hot Momentum</t>
        </is>
      </c>
      <c r="Q37" s="100" t="inlineStr">
        <is>
          <t>MOMENTUM_ONLY</t>
        </is>
      </c>
    </row>
    <row r="38" ht="16" customHeight="1">
      <c r="A38" s="85" t="n">
        <v>34</v>
      </c>
      <c r="B38" s="86" t="inlineStr">
        <is>
          <t>Aditya Birla Sun Life Manufacturing Equity Fund - Regular Plan - Growth</t>
        </is>
      </c>
      <c r="C38" s="86" t="inlineStr">
        <is>
          <t>Aditya Birla Sun Life Mutual Fund</t>
        </is>
      </c>
      <c r="D38" s="86" t="inlineStr">
        <is>
          <t>Sectoral/ Thematic</t>
        </is>
      </c>
      <c r="E38" s="87" t="n">
        <v>-1.51</v>
      </c>
      <c r="F38" s="88" t="n">
        <v>7.33</v>
      </c>
      <c r="G38" s="88" t="n">
        <v>6.26</v>
      </c>
      <c r="H38" s="88" t="n">
        <v>10.63</v>
      </c>
      <c r="I38" s="88" t="n">
        <v>7.48023074035522</v>
      </c>
      <c r="J38" s="88" t="n">
        <v>72.31</v>
      </c>
      <c r="K38" s="17" t="n">
        <v>86</v>
      </c>
      <c r="L38" s="18" t="n">
        <v>0</v>
      </c>
      <c r="M38" s="19" t="n">
        <v>47.3</v>
      </c>
      <c r="N38" s="89" t="inlineStr">
        <is>
          <t>⭐ Strong</t>
        </is>
      </c>
      <c r="O38" s="89" t="inlineStr">
        <is>
          <t>🔴 Not Qualified</t>
        </is>
      </c>
      <c r="P38" s="89" t="inlineStr">
        <is>
          <t>⚠️ Watch</t>
        </is>
      </c>
      <c r="Q38" s="68" t="inlineStr">
        <is>
          <t>FULL</t>
        </is>
      </c>
    </row>
    <row r="39" ht="16" customHeight="1">
      <c r="A39" s="95" t="n">
        <v>35</v>
      </c>
      <c r="B39" s="96" t="inlineStr">
        <is>
          <t>quant Healthcare Fund - Growth Option - Regular Plan</t>
        </is>
      </c>
      <c r="C39" s="96" t="inlineStr">
        <is>
          <t>quant Mutual Fund</t>
        </is>
      </c>
      <c r="D39" s="96" t="inlineStr">
        <is>
          <t>Sectoral/ Thematic</t>
        </is>
      </c>
      <c r="E39" s="97" t="n">
        <v>-1.21</v>
      </c>
      <c r="F39" s="98" t="n">
        <v>9.99</v>
      </c>
      <c r="G39" s="98" t="n">
        <v>6.76</v>
      </c>
      <c r="H39" s="98" t="n">
        <v>3.76</v>
      </c>
      <c r="I39" s="98" t="n">
        <v>5.28057750601485</v>
      </c>
      <c r="J39" s="98" t="n">
        <v>0</v>
      </c>
      <c r="K39" s="17" t="n">
        <v>85.7</v>
      </c>
      <c r="L39" s="18" t="n">
        <v>0</v>
      </c>
      <c r="M39" s="19" t="n">
        <v>47.1</v>
      </c>
      <c r="N39" s="99" t="inlineStr">
        <is>
          <t>⭐ Strong</t>
        </is>
      </c>
      <c r="O39" s="99" t="inlineStr">
        <is>
          <t>⏳ New Fund</t>
        </is>
      </c>
      <c r="P39" s="99" t="inlineStr">
        <is>
          <t>🔥 Hot Momentum</t>
        </is>
      </c>
      <c r="Q39" s="100" t="inlineStr">
        <is>
          <t>MOMENTUM_ONLY</t>
        </is>
      </c>
    </row>
    <row r="40" ht="16" customHeight="1">
      <c r="A40" s="95" t="n">
        <v>36</v>
      </c>
      <c r="B40" s="96" t="inlineStr">
        <is>
          <t>Motilal Oswal Innovation Opportunities Fund- Regular Plan- Growth</t>
        </is>
      </c>
      <c r="C40" s="96" t="inlineStr">
        <is>
          <t>Motilal Oswal Mutual Fund</t>
        </is>
      </c>
      <c r="D40" s="96" t="inlineStr">
        <is>
          <t>Sectoral/ Thematic</t>
        </is>
      </c>
      <c r="E40" s="97" t="n">
        <v>-0.5600000000000001</v>
      </c>
      <c r="F40" s="98" t="n">
        <v>13.29</v>
      </c>
      <c r="G40" s="98" t="n">
        <v>2.15</v>
      </c>
      <c r="H40" s="98" t="n">
        <v>4.9</v>
      </c>
      <c r="I40" s="98" t="n">
        <v>0</v>
      </c>
      <c r="J40" s="98" t="n">
        <v>0</v>
      </c>
      <c r="K40" s="17" t="n">
        <v>84.90000000000001</v>
      </c>
      <c r="L40" s="18" t="n">
        <v>0</v>
      </c>
      <c r="M40" s="19" t="n">
        <v>46.7</v>
      </c>
      <c r="N40" s="99" t="inlineStr">
        <is>
          <t>⭐ Strong</t>
        </is>
      </c>
      <c r="O40" s="99" t="inlineStr">
        <is>
          <t>⏳ New Fund</t>
        </is>
      </c>
      <c r="P40" s="99" t="inlineStr">
        <is>
          <t>🔥 Hot Momentum</t>
        </is>
      </c>
      <c r="Q40" s="100" t="inlineStr">
        <is>
          <t>MOMENTUM_ONLY</t>
        </is>
      </c>
    </row>
    <row r="41" ht="16" customHeight="1">
      <c r="A41" s="95" t="n">
        <v>37</v>
      </c>
      <c r="B41" s="96" t="inlineStr">
        <is>
          <t>HSBC India Export Opportunities Fund - Regular Growth</t>
        </is>
      </c>
      <c r="C41" s="96" t="inlineStr">
        <is>
          <t>HSBC Mutual Fund</t>
        </is>
      </c>
      <c r="D41" s="96" t="inlineStr">
        <is>
          <t>Sectoral/ Thematic</t>
        </is>
      </c>
      <c r="E41" s="98" t="n">
        <v>0.34</v>
      </c>
      <c r="F41" s="98" t="n">
        <v>9.33</v>
      </c>
      <c r="G41" s="98" t="n">
        <v>1.8</v>
      </c>
      <c r="H41" s="98" t="n">
        <v>5.71</v>
      </c>
      <c r="I41" s="98" t="n">
        <v>0</v>
      </c>
      <c r="J41" s="98" t="n">
        <v>0</v>
      </c>
      <c r="K41" s="17" t="n">
        <v>84</v>
      </c>
      <c r="L41" s="18" t="n">
        <v>0</v>
      </c>
      <c r="M41" s="19" t="n">
        <v>46.2</v>
      </c>
      <c r="N41" s="99" t="inlineStr">
        <is>
          <t>⭐ Strong</t>
        </is>
      </c>
      <c r="O41" s="99" t="inlineStr">
        <is>
          <t>⏳ New Fund</t>
        </is>
      </c>
      <c r="P41" s="99" t="inlineStr">
        <is>
          <t>🔥 Hot Momentum</t>
        </is>
      </c>
      <c r="Q41" s="100" t="inlineStr">
        <is>
          <t>MOMENTUM_ONLY</t>
        </is>
      </c>
    </row>
    <row r="42" ht="16" customHeight="1">
      <c r="A42" s="85" t="n">
        <v>38</v>
      </c>
      <c r="B42" s="86" t="inlineStr">
        <is>
          <t>BANK OF INDIA Manufacturing &amp; Infrastructure Fund-Growth</t>
        </is>
      </c>
      <c r="C42" s="86" t="inlineStr">
        <is>
          <t>Bank of India Mutual Fund</t>
        </is>
      </c>
      <c r="D42" s="86" t="inlineStr">
        <is>
          <t>Sectoral/ Thematic</t>
        </is>
      </c>
      <c r="E42" s="87" t="n">
        <v>-2.03</v>
      </c>
      <c r="F42" s="88" t="n">
        <v>7.5</v>
      </c>
      <c r="G42" s="88" t="n">
        <v>6.25</v>
      </c>
      <c r="H42" s="88" t="n">
        <v>9.890000000000001</v>
      </c>
      <c r="I42" s="88" t="n">
        <v>7.046718772692895</v>
      </c>
      <c r="J42" s="88" t="n">
        <v>84.89</v>
      </c>
      <c r="K42" s="17" t="n">
        <v>83.40000000000001</v>
      </c>
      <c r="L42" s="18" t="n">
        <v>0</v>
      </c>
      <c r="M42" s="19" t="n">
        <v>45.9</v>
      </c>
      <c r="N42" s="89" t="inlineStr">
        <is>
          <t>⭐ Strong</t>
        </is>
      </c>
      <c r="O42" s="89" t="inlineStr">
        <is>
          <t>🔴 Not Qualified</t>
        </is>
      </c>
      <c r="P42" s="89" t="inlineStr">
        <is>
          <t>⚠️ Watch</t>
        </is>
      </c>
      <c r="Q42" s="68" t="inlineStr">
        <is>
          <t>FULL</t>
        </is>
      </c>
    </row>
    <row r="43" ht="16" customHeight="1">
      <c r="A43" s="90" t="n">
        <v>39</v>
      </c>
      <c r="B43" s="91" t="inlineStr">
        <is>
          <t>Aditya Birla Sun Life Special Opportunities Fund-Regular Plan-Growth</t>
        </is>
      </c>
      <c r="C43" s="91" t="inlineStr">
        <is>
          <t>Aditya Birla Sun Life Mutual Fund</t>
        </is>
      </c>
      <c r="D43" s="91" t="inlineStr">
        <is>
          <t>Sectoral/ Thematic</t>
        </is>
      </c>
      <c r="E43" s="93" t="n">
        <v>0.42</v>
      </c>
      <c r="F43" s="93" t="n">
        <v>7.17</v>
      </c>
      <c r="G43" s="93" t="n">
        <v>0</v>
      </c>
      <c r="H43" s="93" t="n">
        <v>8.09</v>
      </c>
      <c r="I43" s="93" t="n">
        <v>9.128364782030896</v>
      </c>
      <c r="J43" s="93" t="n">
        <v>69.98999999999999</v>
      </c>
      <c r="K43" s="17" t="n">
        <v>82.5</v>
      </c>
      <c r="L43" s="18" t="n">
        <v>0</v>
      </c>
      <c r="M43" s="19" t="n">
        <v>45.4</v>
      </c>
      <c r="N43" s="94" t="inlineStr">
        <is>
          <t>⭐ Strong</t>
        </is>
      </c>
      <c r="O43" s="94" t="inlineStr">
        <is>
          <t>🔴 Not Qualified</t>
        </is>
      </c>
      <c r="P43" s="94" t="inlineStr">
        <is>
          <t>⚠️ Watch</t>
        </is>
      </c>
      <c r="Q43" s="68" t="inlineStr">
        <is>
          <t>FULL</t>
        </is>
      </c>
    </row>
    <row r="44" ht="16" customHeight="1">
      <c r="A44" s="95" t="n">
        <v>40</v>
      </c>
      <c r="B44" s="96" t="inlineStr">
        <is>
          <t>Invesco India Manufacturing Fund - Regular Plan - Growth</t>
        </is>
      </c>
      <c r="C44" s="96" t="inlineStr">
        <is>
          <t>Invesco Mutual Fund</t>
        </is>
      </c>
      <c r="D44" s="96" t="inlineStr">
        <is>
          <t>Sectoral/ Thematic</t>
        </is>
      </c>
      <c r="E44" s="97" t="n">
        <v>-1.23</v>
      </c>
      <c r="F44" s="98" t="n">
        <v>8.08</v>
      </c>
      <c r="G44" s="98" t="n">
        <v>5.46</v>
      </c>
      <c r="H44" s="98" t="n">
        <v>2.76</v>
      </c>
      <c r="I44" s="98" t="n">
        <v>0</v>
      </c>
      <c r="J44" s="98" t="n">
        <v>0</v>
      </c>
      <c r="K44" s="17" t="n">
        <v>82.3</v>
      </c>
      <c r="L44" s="18" t="n">
        <v>0</v>
      </c>
      <c r="M44" s="19" t="n">
        <v>45.3</v>
      </c>
      <c r="N44" s="99" t="inlineStr">
        <is>
          <t>⭐ Strong</t>
        </is>
      </c>
      <c r="O44" s="99" t="inlineStr">
        <is>
          <t>⏳ New Fund</t>
        </is>
      </c>
      <c r="P44" s="99" t="inlineStr">
        <is>
          <t>🔥 Hot Momentum</t>
        </is>
      </c>
      <c r="Q44" s="100" t="inlineStr">
        <is>
          <t>MOMENTUM_ONLY</t>
        </is>
      </c>
    </row>
    <row r="45" ht="16" customHeight="1">
      <c r="A45" s="90" t="n">
        <v>41</v>
      </c>
      <c r="B45" s="91" t="inlineStr">
        <is>
          <t>ITI Pharma and Healthcare Fund - Regular Plan - Growth Option</t>
        </is>
      </c>
      <c r="C45" s="91" t="inlineStr">
        <is>
          <t>ITI Mutual Fund</t>
        </is>
      </c>
      <c r="D45" s="91" t="inlineStr">
        <is>
          <t>Sectoral/ Thematic</t>
        </is>
      </c>
      <c r="E45" s="92" t="n">
        <v>-0.83</v>
      </c>
      <c r="F45" s="93" t="n">
        <v>7.79</v>
      </c>
      <c r="G45" s="93" t="n">
        <v>4.39</v>
      </c>
      <c r="H45" s="93" t="n">
        <v>2.39</v>
      </c>
      <c r="I45" s="93" t="n">
        <v>9.247425598958614</v>
      </c>
      <c r="J45" s="93" t="n">
        <v>70.39</v>
      </c>
      <c r="K45" s="17" t="n">
        <v>82.2</v>
      </c>
      <c r="L45" s="18" t="n">
        <v>0</v>
      </c>
      <c r="M45" s="19" t="n">
        <v>45.2</v>
      </c>
      <c r="N45" s="94" t="inlineStr">
        <is>
          <t>⭐ Strong</t>
        </is>
      </c>
      <c r="O45" s="94" t="inlineStr">
        <is>
          <t>🔴 Not Qualified</t>
        </is>
      </c>
      <c r="P45" s="94" t="inlineStr">
        <is>
          <t>⚠️ Watch</t>
        </is>
      </c>
      <c r="Q45" s="68" t="inlineStr">
        <is>
          <t>FULL</t>
        </is>
      </c>
    </row>
    <row r="46" ht="16" customHeight="1">
      <c r="A46" s="85" t="n">
        <v>42</v>
      </c>
      <c r="B46" s="86" t="inlineStr">
        <is>
          <t>Aditya Birla Sun Life Infrastructure Fund-Growth</t>
        </is>
      </c>
      <c r="C46" s="86" t="inlineStr">
        <is>
          <t>Aditya Birla Sun Life Mutual Fund</t>
        </is>
      </c>
      <c r="D46" s="86" t="inlineStr">
        <is>
          <t>Sectoral/ Thematic</t>
        </is>
      </c>
      <c r="E46" s="87" t="n">
        <v>-1.89</v>
      </c>
      <c r="F46" s="88" t="n">
        <v>8.08</v>
      </c>
      <c r="G46" s="88" t="n">
        <v>5.79</v>
      </c>
      <c r="H46" s="88" t="n">
        <v>4.96</v>
      </c>
      <c r="I46" s="88" t="n">
        <v>2.391405889361642</v>
      </c>
      <c r="J46" s="88" t="n">
        <v>67.12</v>
      </c>
      <c r="K46" s="17" t="n">
        <v>82</v>
      </c>
      <c r="L46" s="18" t="n">
        <v>0</v>
      </c>
      <c r="M46" s="19" t="n">
        <v>45.1</v>
      </c>
      <c r="N46" s="89" t="inlineStr">
        <is>
          <t>⭐ Strong</t>
        </is>
      </c>
      <c r="O46" s="89" t="inlineStr">
        <is>
          <t>🔴 Not Qualified</t>
        </is>
      </c>
      <c r="P46" s="89" t="inlineStr">
        <is>
          <t>⚠️ Watch</t>
        </is>
      </c>
      <c r="Q46" s="68" t="inlineStr">
        <is>
          <t>FULL</t>
        </is>
      </c>
    </row>
    <row r="47" ht="16" customHeight="1">
      <c r="A47" s="90" t="n">
        <v>43</v>
      </c>
      <c r="B47" s="91" t="inlineStr">
        <is>
          <t>Kotak Pioneer Fund- Regular Plan- Growth Option</t>
        </is>
      </c>
      <c r="C47" s="91" t="inlineStr">
        <is>
          <t>Kotak Mahindra Mutual Fund</t>
        </is>
      </c>
      <c r="D47" s="91" t="inlineStr">
        <is>
          <t>Sectoral/ Thematic</t>
        </is>
      </c>
      <c r="E47" s="92" t="n">
        <v>-1.06</v>
      </c>
      <c r="F47" s="93" t="n">
        <v>9.5</v>
      </c>
      <c r="G47" s="93" t="n">
        <v>1.63</v>
      </c>
      <c r="H47" s="93" t="n">
        <v>6.21</v>
      </c>
      <c r="I47" s="93" t="n">
        <v>8.138799697425902</v>
      </c>
      <c r="J47" s="93" t="n">
        <v>67.90000000000001</v>
      </c>
      <c r="K47" s="17" t="n">
        <v>81.8</v>
      </c>
      <c r="L47" s="18" t="n">
        <v>0</v>
      </c>
      <c r="M47" s="19" t="n">
        <v>45</v>
      </c>
      <c r="N47" s="94" t="inlineStr">
        <is>
          <t>⭐ Strong</t>
        </is>
      </c>
      <c r="O47" s="94" t="inlineStr">
        <is>
          <t>🔴 Not Qualified</t>
        </is>
      </c>
      <c r="P47" s="94" t="inlineStr">
        <is>
          <t>⚠️ Watch</t>
        </is>
      </c>
      <c r="Q47" s="68" t="inlineStr">
        <is>
          <t>FULL</t>
        </is>
      </c>
    </row>
    <row r="48" ht="16" customHeight="1">
      <c r="A48" s="85" t="n">
        <v>44</v>
      </c>
      <c r="B48" s="86" t="inlineStr">
        <is>
          <t>Kotak Pioneer Fund- Regular Plan- Reinvestment of Income Distribution cum capital withdrawal option</t>
        </is>
      </c>
      <c r="C48" s="86" t="inlineStr">
        <is>
          <t>Kotak Mahindra Mutual Fund</t>
        </is>
      </c>
      <c r="D48" s="86" t="inlineStr">
        <is>
          <t>Sectoral/ Thematic</t>
        </is>
      </c>
      <c r="E48" s="87" t="n">
        <v>-1.06</v>
      </c>
      <c r="F48" s="88" t="n">
        <v>9.5</v>
      </c>
      <c r="G48" s="88" t="n">
        <v>1.63</v>
      </c>
      <c r="H48" s="88" t="n">
        <v>6.2</v>
      </c>
      <c r="I48" s="88" t="n">
        <v>8.138799697425902</v>
      </c>
      <c r="J48" s="88" t="n">
        <v>67.97</v>
      </c>
      <c r="K48" s="17" t="n">
        <v>81.7</v>
      </c>
      <c r="L48" s="18" t="n">
        <v>0</v>
      </c>
      <c r="M48" s="19" t="n">
        <v>44.9</v>
      </c>
      <c r="N48" s="89" t="inlineStr">
        <is>
          <t>⭐ Strong</t>
        </is>
      </c>
      <c r="O48" s="89" t="inlineStr">
        <is>
          <t>🔴 Not Qualified</t>
        </is>
      </c>
      <c r="P48" s="89" t="inlineStr">
        <is>
          <t>⚠️ Watch</t>
        </is>
      </c>
      <c r="Q48" s="68" t="inlineStr">
        <is>
          <t>FULL</t>
        </is>
      </c>
    </row>
    <row r="49" ht="16" customHeight="1">
      <c r="A49" s="95" t="n">
        <v>45</v>
      </c>
      <c r="B49" s="96" t="inlineStr">
        <is>
          <t>quant BFSI Fund - Growth Option - Regular Plan</t>
        </is>
      </c>
      <c r="C49" s="96" t="inlineStr">
        <is>
          <t>quant Mutual Fund</t>
        </is>
      </c>
      <c r="D49" s="96" t="inlineStr">
        <is>
          <t>Sectoral/ Thematic</t>
        </is>
      </c>
      <c r="E49" s="97" t="n">
        <v>-1.03</v>
      </c>
      <c r="F49" s="98" t="n">
        <v>6.24</v>
      </c>
      <c r="G49" s="98" t="n">
        <v>1.62</v>
      </c>
      <c r="H49" s="98" t="n">
        <v>12.1</v>
      </c>
      <c r="I49" s="98" t="n">
        <v>7.205410311233829</v>
      </c>
      <c r="J49" s="98" t="n">
        <v>0</v>
      </c>
      <c r="K49" s="17" t="n">
        <v>81.7</v>
      </c>
      <c r="L49" s="18" t="n">
        <v>0</v>
      </c>
      <c r="M49" s="19" t="n">
        <v>44.9</v>
      </c>
      <c r="N49" s="99" t="inlineStr">
        <is>
          <t>⭐ Strong</t>
        </is>
      </c>
      <c r="O49" s="99" t="inlineStr">
        <is>
          <t>⏳ New Fund</t>
        </is>
      </c>
      <c r="P49" s="99" t="inlineStr">
        <is>
          <t>🔥 Hot Momentum</t>
        </is>
      </c>
      <c r="Q49" s="100" t="inlineStr">
        <is>
          <t>MOMENTUM_ONLY</t>
        </is>
      </c>
    </row>
    <row r="50" ht="16" customHeight="1">
      <c r="A50" s="95" t="n">
        <v>45</v>
      </c>
      <c r="B50" s="96" t="inlineStr">
        <is>
          <t>quant Momentum Fund - Growth Option - Regular Plan</t>
        </is>
      </c>
      <c r="C50" s="96" t="inlineStr">
        <is>
          <t>quant Mutual Fund</t>
        </is>
      </c>
      <c r="D50" s="96" t="inlineStr">
        <is>
          <t>Sectoral/ Thematic</t>
        </is>
      </c>
      <c r="E50" s="97" t="n">
        <v>-0.25</v>
      </c>
      <c r="F50" s="98" t="n">
        <v>10.67</v>
      </c>
      <c r="G50" s="98" t="n">
        <v>2.8</v>
      </c>
      <c r="H50" s="98" t="n">
        <v>0.96</v>
      </c>
      <c r="I50" s="97" t="n">
        <v>-0.3857439921373551</v>
      </c>
      <c r="J50" s="98" t="n">
        <v>0</v>
      </c>
      <c r="K50" s="17" t="n">
        <v>81.7</v>
      </c>
      <c r="L50" s="18" t="n">
        <v>0</v>
      </c>
      <c r="M50" s="19" t="n">
        <v>44.9</v>
      </c>
      <c r="N50" s="99" t="inlineStr">
        <is>
          <t>⭐ Strong</t>
        </is>
      </c>
      <c r="O50" s="99" t="inlineStr">
        <is>
          <t>⏳ New Fund</t>
        </is>
      </c>
      <c r="P50" s="99" t="inlineStr">
        <is>
          <t>🔥 Hot Momentum</t>
        </is>
      </c>
      <c r="Q50" s="100" t="inlineStr">
        <is>
          <t>MOMENTUM_ONLY</t>
        </is>
      </c>
    </row>
    <row r="51" ht="16" customHeight="1">
      <c r="A51" s="90" t="n">
        <v>47</v>
      </c>
      <c r="B51" s="91" t="inlineStr">
        <is>
          <t>quant Business Cycle Fund - Growth Option - Regular Plan</t>
        </is>
      </c>
      <c r="C51" s="91" t="inlineStr">
        <is>
          <t>quant Mutual Fund</t>
        </is>
      </c>
      <c r="D51" s="91" t="inlineStr">
        <is>
          <t>Sectoral/ Thematic</t>
        </is>
      </c>
      <c r="E51" s="93" t="n">
        <v>0.73</v>
      </c>
      <c r="F51" s="93" t="n">
        <v>12.6</v>
      </c>
      <c r="G51" s="93" t="n">
        <v>3.14</v>
      </c>
      <c r="H51" s="92" t="n">
        <v>-0.64</v>
      </c>
      <c r="I51" s="92" t="n">
        <v>-1.15163127294412</v>
      </c>
      <c r="J51" s="93" t="n">
        <v>62</v>
      </c>
      <c r="K51" s="17" t="n">
        <v>81.09999999999999</v>
      </c>
      <c r="L51" s="18" t="n">
        <v>0</v>
      </c>
      <c r="M51" s="19" t="n">
        <v>44.6</v>
      </c>
      <c r="N51" s="94" t="inlineStr">
        <is>
          <t>⭐ Strong</t>
        </is>
      </c>
      <c r="O51" s="94" t="inlineStr">
        <is>
          <t>🔴 Not Qualified</t>
        </is>
      </c>
      <c r="P51" s="94" t="inlineStr">
        <is>
          <t>⚠️ Watch</t>
        </is>
      </c>
      <c r="Q51" s="68" t="inlineStr">
        <is>
          <t>FULL</t>
        </is>
      </c>
    </row>
    <row r="52" ht="16" customHeight="1">
      <c r="A52" s="85" t="n">
        <v>48</v>
      </c>
      <c r="B52" s="86" t="inlineStr">
        <is>
          <t>Nippon India Pharma Fund-Growth Plan-Growth Option</t>
        </is>
      </c>
      <c r="C52" s="86" t="inlineStr">
        <is>
          <t>Nippon India Mutual Fund</t>
        </is>
      </c>
      <c r="D52" s="86" t="inlineStr">
        <is>
          <t>Sectoral/ Thematic</t>
        </is>
      </c>
      <c r="E52" s="87" t="n">
        <v>-0.5</v>
      </c>
      <c r="F52" s="88" t="n">
        <v>4.62</v>
      </c>
      <c r="G52" s="88" t="n">
        <v>4.54</v>
      </c>
      <c r="H52" s="88" t="n">
        <v>4.5</v>
      </c>
      <c r="I52" s="88" t="n">
        <v>9.02751946183129</v>
      </c>
      <c r="J52" s="88" t="n">
        <v>81.41</v>
      </c>
      <c r="K52" s="17" t="n">
        <v>81.09999999999999</v>
      </c>
      <c r="L52" s="18" t="n">
        <v>0</v>
      </c>
      <c r="M52" s="19" t="n">
        <v>44.6</v>
      </c>
      <c r="N52" s="89" t="inlineStr">
        <is>
          <t>⭐ Strong</t>
        </is>
      </c>
      <c r="O52" s="89" t="inlineStr">
        <is>
          <t>🔴 Not Qualified</t>
        </is>
      </c>
      <c r="P52" s="89" t="inlineStr">
        <is>
          <t>⚠️ Watch</t>
        </is>
      </c>
      <c r="Q52" s="68" t="inlineStr">
        <is>
          <t>FULL</t>
        </is>
      </c>
    </row>
    <row r="53" ht="16" customHeight="1">
      <c r="A53" s="90" t="n">
        <v>48</v>
      </c>
      <c r="B53" s="91" t="inlineStr">
        <is>
          <t>Nippon India Pharma Fund-Growth Plan-Bonus Option</t>
        </is>
      </c>
      <c r="C53" s="91" t="inlineStr">
        <is>
          <t>Nippon India Mutual Fund</t>
        </is>
      </c>
      <c r="D53" s="91" t="inlineStr">
        <is>
          <t>Sectoral/ Thematic</t>
        </is>
      </c>
      <c r="E53" s="92" t="n">
        <v>-0.5</v>
      </c>
      <c r="F53" s="93" t="n">
        <v>4.62</v>
      </c>
      <c r="G53" s="93" t="n">
        <v>4.54</v>
      </c>
      <c r="H53" s="93" t="n">
        <v>4.5</v>
      </c>
      <c r="I53" s="93" t="n">
        <v>9.02751946183129</v>
      </c>
      <c r="J53" s="93" t="n">
        <v>81.41</v>
      </c>
      <c r="K53" s="17" t="n">
        <v>81.09999999999999</v>
      </c>
      <c r="L53" s="18" t="n">
        <v>0</v>
      </c>
      <c r="M53" s="19" t="n">
        <v>44.6</v>
      </c>
      <c r="N53" s="94" t="inlineStr">
        <is>
          <t>⭐ Strong</t>
        </is>
      </c>
      <c r="O53" s="94" t="inlineStr">
        <is>
          <t>🔴 Not Qualified</t>
        </is>
      </c>
      <c r="P53" s="94" t="inlineStr">
        <is>
          <t>⚠️ Watch</t>
        </is>
      </c>
      <c r="Q53" s="68" t="inlineStr">
        <is>
          <t>FULL</t>
        </is>
      </c>
    </row>
    <row r="54" ht="16" customHeight="1">
      <c r="A54" s="85" t="n">
        <v>50</v>
      </c>
      <c r="B54" s="86" t="inlineStr">
        <is>
          <t>LIC MF Infrastructure Fund-Regular Plan-Growth</t>
        </is>
      </c>
      <c r="C54" s="86" t="inlineStr">
        <is>
          <t>LIC Mutual Fund</t>
        </is>
      </c>
      <c r="D54" s="86" t="inlineStr">
        <is>
          <t>Sectoral/ Thematic</t>
        </is>
      </c>
      <c r="E54" s="87" t="n">
        <v>-1.53</v>
      </c>
      <c r="F54" s="88" t="n">
        <v>7.01</v>
      </c>
      <c r="G54" s="88" t="n">
        <v>6.26</v>
      </c>
      <c r="H54" s="88" t="n">
        <v>2.51</v>
      </c>
      <c r="I54" s="88" t="n">
        <v>6.235587257754638</v>
      </c>
      <c r="J54" s="88" t="n">
        <v>98.86</v>
      </c>
      <c r="K54" s="17" t="n">
        <v>80.3</v>
      </c>
      <c r="L54" s="18" t="n">
        <v>0</v>
      </c>
      <c r="M54" s="19" t="n">
        <v>44.2</v>
      </c>
      <c r="N54" s="89" t="inlineStr">
        <is>
          <t>⭐ Strong</t>
        </is>
      </c>
      <c r="O54" s="89" t="inlineStr">
        <is>
          <t>🔴 Not Qualified</t>
        </is>
      </c>
      <c r="P54" s="89" t="inlineStr">
        <is>
          <t>⚠️ Watch</t>
        </is>
      </c>
      <c r="Q54" s="68" t="inlineStr">
        <is>
          <t>FULL</t>
        </is>
      </c>
    </row>
    <row r="55" ht="16" customHeight="1">
      <c r="A55" s="95" t="n">
        <v>51</v>
      </c>
      <c r="B55" s="96" t="inlineStr">
        <is>
          <t>LIC MF Manufacturing Fund-Regular Plan-Growth</t>
        </is>
      </c>
      <c r="C55" s="96" t="inlineStr">
        <is>
          <t>LIC Mutual Fund</t>
        </is>
      </c>
      <c r="D55" s="96" t="inlineStr">
        <is>
          <t>Sectoral/ Thematic</t>
        </is>
      </c>
      <c r="E55" s="97" t="n">
        <v>-2.57</v>
      </c>
      <c r="F55" s="98" t="n">
        <v>7.92</v>
      </c>
      <c r="G55" s="98" t="n">
        <v>7.29</v>
      </c>
      <c r="H55" s="98" t="n">
        <v>6.98</v>
      </c>
      <c r="I55" s="98" t="n">
        <v>0</v>
      </c>
      <c r="J55" s="98" t="n">
        <v>0</v>
      </c>
      <c r="K55" s="17" t="n">
        <v>80.2</v>
      </c>
      <c r="L55" s="18" t="n">
        <v>0</v>
      </c>
      <c r="M55" s="19" t="n">
        <v>44.1</v>
      </c>
      <c r="N55" s="99" t="inlineStr">
        <is>
          <t>⭐ Strong</t>
        </is>
      </c>
      <c r="O55" s="99" t="inlineStr">
        <is>
          <t>⏳ New Fund</t>
        </is>
      </c>
      <c r="P55" s="99" t="inlineStr">
        <is>
          <t>🔥 Hot Momentum</t>
        </is>
      </c>
      <c r="Q55" s="100" t="inlineStr">
        <is>
          <t>MOMENTUM_ONLY</t>
        </is>
      </c>
    </row>
    <row r="56" ht="16" customHeight="1">
      <c r="A56" s="95" t="n">
        <v>52</v>
      </c>
      <c r="B56" s="96" t="inlineStr">
        <is>
          <t>ICICI PRUDENTIAL ENERGY OPPORTUNITIES FUND - Growth</t>
        </is>
      </c>
      <c r="C56" s="96" t="inlineStr">
        <is>
          <t>ICICI Prudential Mutual Fund</t>
        </is>
      </c>
      <c r="D56" s="96" t="inlineStr">
        <is>
          <t>Sectoral/ Thematic</t>
        </is>
      </c>
      <c r="E56" s="97" t="n">
        <v>-2.79</v>
      </c>
      <c r="F56" s="98" t="n">
        <v>4.79</v>
      </c>
      <c r="G56" s="98" t="n">
        <v>8.140000000000001</v>
      </c>
      <c r="H56" s="98" t="n">
        <v>9.41</v>
      </c>
      <c r="I56" s="98" t="n">
        <v>0</v>
      </c>
      <c r="J56" s="98" t="n">
        <v>0</v>
      </c>
      <c r="K56" s="17" t="n">
        <v>79.5</v>
      </c>
      <c r="L56" s="18" t="n">
        <v>0</v>
      </c>
      <c r="M56" s="19" t="n">
        <v>43.7</v>
      </c>
      <c r="N56" s="99" t="inlineStr">
        <is>
          <t>⭐ Strong</t>
        </is>
      </c>
      <c r="O56" s="99" t="inlineStr">
        <is>
          <t>⏳ New Fund</t>
        </is>
      </c>
      <c r="P56" s="99" t="inlineStr">
        <is>
          <t>📈 Momentum Only</t>
        </is>
      </c>
      <c r="Q56" s="100" t="inlineStr">
        <is>
          <t>MOMENTUM_ONLY</t>
        </is>
      </c>
    </row>
    <row r="57" ht="16" customHeight="1">
      <c r="A57" s="95" t="n">
        <v>53</v>
      </c>
      <c r="B57" s="96" t="inlineStr">
        <is>
          <t>Kotak Special Opportunities Fund - Regular Plan - Growth Option</t>
        </is>
      </c>
      <c r="C57" s="96" t="inlineStr">
        <is>
          <t>Kotak Mahindra Mutual Fund</t>
        </is>
      </c>
      <c r="D57" s="96" t="inlineStr">
        <is>
          <t>Sectoral/ Thematic</t>
        </is>
      </c>
      <c r="E57" s="97" t="n">
        <v>-1.47</v>
      </c>
      <c r="F57" s="98" t="n">
        <v>10.81</v>
      </c>
      <c r="G57" s="98" t="n">
        <v>1.15</v>
      </c>
      <c r="H57" s="98" t="n">
        <v>4.5</v>
      </c>
      <c r="I57" s="98" t="n">
        <v>0</v>
      </c>
      <c r="J57" s="98" t="n">
        <v>0</v>
      </c>
      <c r="K57" s="17" t="n">
        <v>79.3</v>
      </c>
      <c r="L57" s="18" t="n">
        <v>0</v>
      </c>
      <c r="M57" s="19" t="n">
        <v>43.6</v>
      </c>
      <c r="N57" s="99" t="inlineStr">
        <is>
          <t>⭐ Strong</t>
        </is>
      </c>
      <c r="O57" s="99" t="inlineStr">
        <is>
          <t>⏳ New Fund</t>
        </is>
      </c>
      <c r="P57" s="99" t="inlineStr">
        <is>
          <t>📈 Momentum Only</t>
        </is>
      </c>
      <c r="Q57" s="100" t="inlineStr">
        <is>
          <t>MOMENTUM_ONLY</t>
        </is>
      </c>
    </row>
    <row r="58" ht="16" customHeight="1">
      <c r="A58" s="95" t="n">
        <v>54</v>
      </c>
      <c r="B58" s="96" t="inlineStr">
        <is>
          <t>Axis India Manufacturing Fund - Regular Plan - Growth</t>
        </is>
      </c>
      <c r="C58" s="96" t="inlineStr">
        <is>
          <t>Axis Mutual Fund</t>
        </is>
      </c>
      <c r="D58" s="96" t="inlineStr">
        <is>
          <t>Sectoral/ Thematic</t>
        </is>
      </c>
      <c r="E58" s="97" t="n">
        <v>-1.94</v>
      </c>
      <c r="F58" s="98" t="n">
        <v>5.7</v>
      </c>
      <c r="G58" s="98" t="n">
        <v>4.34</v>
      </c>
      <c r="H58" s="98" t="n">
        <v>7.01</v>
      </c>
      <c r="I58" s="98" t="n">
        <v>4.795038050472611</v>
      </c>
      <c r="J58" s="98" t="n">
        <v>0</v>
      </c>
      <c r="K58" s="17" t="n">
        <v>78.59999999999999</v>
      </c>
      <c r="L58" s="18" t="n">
        <v>0</v>
      </c>
      <c r="M58" s="19" t="n">
        <v>43.2</v>
      </c>
      <c r="N58" s="99" t="inlineStr">
        <is>
          <t>⭐ Strong</t>
        </is>
      </c>
      <c r="O58" s="99" t="inlineStr">
        <is>
          <t>⏳ New Fund</t>
        </is>
      </c>
      <c r="P58" s="99" t="inlineStr">
        <is>
          <t>📈 Momentum Only</t>
        </is>
      </c>
      <c r="Q58" s="100" t="inlineStr">
        <is>
          <t>MOMENTUM_ONLY</t>
        </is>
      </c>
    </row>
    <row r="59" ht="16" customHeight="1">
      <c r="A59" s="95" t="n">
        <v>55</v>
      </c>
      <c r="B59" s="96" t="inlineStr">
        <is>
          <t>Baroda BNP Paribas Health and Wellness Fund Regular Growth</t>
        </is>
      </c>
      <c r="C59" s="96" t="inlineStr">
        <is>
          <t>Baroda BNP Paribas Mutual Fund</t>
        </is>
      </c>
      <c r="D59" s="96" t="inlineStr">
        <is>
          <t>Sectoral/ Thematic</t>
        </is>
      </c>
      <c r="E59" s="98" t="n">
        <v>0.54</v>
      </c>
      <c r="F59" s="98" t="n">
        <v>5.41</v>
      </c>
      <c r="G59" s="98" t="n">
        <v>5.32</v>
      </c>
      <c r="H59" s="98" t="n">
        <v>0</v>
      </c>
      <c r="I59" s="98" t="n">
        <v>0</v>
      </c>
      <c r="J59" s="98" t="n">
        <v>0</v>
      </c>
      <c r="K59" s="17" t="n">
        <v>78.09999999999999</v>
      </c>
      <c r="L59" s="18" t="n">
        <v>0</v>
      </c>
      <c r="M59" s="19" t="n">
        <v>43</v>
      </c>
      <c r="N59" s="99" t="inlineStr">
        <is>
          <t>⭐ Strong</t>
        </is>
      </c>
      <c r="O59" s="99" t="inlineStr">
        <is>
          <t>⏳ New Fund</t>
        </is>
      </c>
      <c r="P59" s="99" t="inlineStr">
        <is>
          <t>📈 Momentum Only</t>
        </is>
      </c>
      <c r="Q59" s="100" t="inlineStr">
        <is>
          <t>MOMENTUM_ONLY</t>
        </is>
      </c>
    </row>
    <row r="60" ht="16" customHeight="1">
      <c r="A60" s="95" t="n">
        <v>55</v>
      </c>
      <c r="B60" s="96" t="inlineStr">
        <is>
          <t>Baroda BNP Paribas Health and Wellness Fund Regular IDCWPayout</t>
        </is>
      </c>
      <c r="C60" s="96" t="inlineStr">
        <is>
          <t>Baroda BNP Paribas Mutual Fund</t>
        </is>
      </c>
      <c r="D60" s="96" t="inlineStr">
        <is>
          <t>Sectoral/ Thematic</t>
        </is>
      </c>
      <c r="E60" s="98" t="n">
        <v>0.54</v>
      </c>
      <c r="F60" s="98" t="n">
        <v>5.41</v>
      </c>
      <c r="G60" s="98" t="n">
        <v>5.32</v>
      </c>
      <c r="H60" s="98" t="n">
        <v>0</v>
      </c>
      <c r="I60" s="98" t="n">
        <v>0</v>
      </c>
      <c r="J60" s="98" t="n">
        <v>0</v>
      </c>
      <c r="K60" s="17" t="n">
        <v>78.09999999999999</v>
      </c>
      <c r="L60" s="18" t="n">
        <v>0</v>
      </c>
      <c r="M60" s="19" t="n">
        <v>43</v>
      </c>
      <c r="N60" s="99" t="inlineStr">
        <is>
          <t>⭐ Strong</t>
        </is>
      </c>
      <c r="O60" s="99" t="inlineStr">
        <is>
          <t>⏳ New Fund</t>
        </is>
      </c>
      <c r="P60" s="99" t="inlineStr">
        <is>
          <t>📈 Momentum Only</t>
        </is>
      </c>
      <c r="Q60" s="100" t="inlineStr">
        <is>
          <t>MOMENTUM_ONLY</t>
        </is>
      </c>
    </row>
    <row r="61" ht="16" customHeight="1">
      <c r="A61" s="90" t="n">
        <v>57</v>
      </c>
      <c r="B61" s="91" t="inlineStr">
        <is>
          <t>Tata India Pharma &amp; Healthcare Fund-Regular Plan-Growth</t>
        </is>
      </c>
      <c r="C61" s="91" t="inlineStr">
        <is>
          <t>Tata Mutual Fund</t>
        </is>
      </c>
      <c r="D61" s="91" t="inlineStr">
        <is>
          <t>Sectoral/ Thematic</t>
        </is>
      </c>
      <c r="E61" s="92" t="n">
        <v>-1.09</v>
      </c>
      <c r="F61" s="93" t="n">
        <v>5.52</v>
      </c>
      <c r="G61" s="93" t="n">
        <v>2.6</v>
      </c>
      <c r="H61" s="93" t="n">
        <v>4.74</v>
      </c>
      <c r="I61" s="93" t="n">
        <v>9.316055545377244</v>
      </c>
      <c r="J61" s="93" t="n">
        <v>81.62</v>
      </c>
      <c r="K61" s="17" t="n">
        <v>77.59999999999999</v>
      </c>
      <c r="L61" s="18" t="n">
        <v>0</v>
      </c>
      <c r="M61" s="19" t="n">
        <v>42.7</v>
      </c>
      <c r="N61" s="94" t="inlineStr">
        <is>
          <t>⭐ Strong</t>
        </is>
      </c>
      <c r="O61" s="94" t="inlineStr">
        <is>
          <t>🔴 Not Qualified</t>
        </is>
      </c>
      <c r="P61" s="94" t="inlineStr">
        <is>
          <t>⚠️ Watch</t>
        </is>
      </c>
      <c r="Q61" s="68" t="inlineStr">
        <is>
          <t>FULL</t>
        </is>
      </c>
    </row>
    <row r="62" ht="16" customHeight="1">
      <c r="A62" s="85" t="n">
        <v>58</v>
      </c>
      <c r="B62" s="86" t="inlineStr">
        <is>
          <t>Invesco India Infrastructure Fund - Regular Plan - Growth Option</t>
        </is>
      </c>
      <c r="C62" s="86" t="inlineStr">
        <is>
          <t>Invesco Mutual Fund</t>
        </is>
      </c>
      <c r="D62" s="86" t="inlineStr">
        <is>
          <t>Sectoral/ Thematic</t>
        </is>
      </c>
      <c r="E62" s="87" t="n">
        <v>-1.44</v>
      </c>
      <c r="F62" s="88" t="n">
        <v>9.619999999999999</v>
      </c>
      <c r="G62" s="88" t="n">
        <v>6.83</v>
      </c>
      <c r="H62" s="87" t="n">
        <v>-1.91</v>
      </c>
      <c r="I62" s="88" t="n">
        <v>0.2247474429344587</v>
      </c>
      <c r="J62" s="88" t="n">
        <v>76.72</v>
      </c>
      <c r="K62" s="17" t="n">
        <v>77.5</v>
      </c>
      <c r="L62" s="18" t="n">
        <v>0</v>
      </c>
      <c r="M62" s="19" t="n">
        <v>42.6</v>
      </c>
      <c r="N62" s="89" t="inlineStr">
        <is>
          <t>⭐ Strong</t>
        </is>
      </c>
      <c r="O62" s="89" t="inlineStr">
        <is>
          <t>🔴 Not Qualified</t>
        </is>
      </c>
      <c r="P62" s="89" t="inlineStr">
        <is>
          <t>⚠️ Watch</t>
        </is>
      </c>
      <c r="Q62" s="68" t="inlineStr">
        <is>
          <t>FULL</t>
        </is>
      </c>
    </row>
    <row r="63" ht="16" customHeight="1">
      <c r="A63" s="95" t="n">
        <v>59</v>
      </c>
      <c r="B63" s="96" t="inlineStr">
        <is>
          <t>SBI Automotive Opportunities Fund - Regular Plan - Growth</t>
        </is>
      </c>
      <c r="C63" s="96" t="inlineStr">
        <is>
          <t>SBI Mutual Fund</t>
        </is>
      </c>
      <c r="D63" s="96" t="inlineStr">
        <is>
          <t>Sectoral/ Thematic</t>
        </is>
      </c>
      <c r="E63" s="97" t="n">
        <v>-2.54</v>
      </c>
      <c r="F63" s="98" t="n">
        <v>6.74</v>
      </c>
      <c r="G63" s="98" t="n">
        <v>2.91</v>
      </c>
      <c r="H63" s="98" t="n">
        <v>17.9</v>
      </c>
      <c r="I63" s="98" t="n">
        <v>0</v>
      </c>
      <c r="J63" s="98" t="n">
        <v>0</v>
      </c>
      <c r="K63" s="17" t="n">
        <v>77.5</v>
      </c>
      <c r="L63" s="18" t="n">
        <v>0</v>
      </c>
      <c r="M63" s="19" t="n">
        <v>42.6</v>
      </c>
      <c r="N63" s="99" t="inlineStr">
        <is>
          <t>⭐ Strong</t>
        </is>
      </c>
      <c r="O63" s="99" t="inlineStr">
        <is>
          <t>⏳ New Fund</t>
        </is>
      </c>
      <c r="P63" s="99" t="inlineStr">
        <is>
          <t>📈 Momentum Only</t>
        </is>
      </c>
      <c r="Q63" s="100" t="inlineStr">
        <is>
          <t>MOMENTUM_ONLY</t>
        </is>
      </c>
    </row>
    <row r="64" ht="16" customHeight="1">
      <c r="A64" s="95" t="n">
        <v>59</v>
      </c>
      <c r="B64" s="96" t="inlineStr">
        <is>
          <t>SBI Automotive Opportunities Fund - Regular Plan - Income Distribution Cum Capital Withdrawal Option</t>
        </is>
      </c>
      <c r="C64" s="96" t="inlineStr">
        <is>
          <t>SBI Mutual Fund</t>
        </is>
      </c>
      <c r="D64" s="96" t="inlineStr">
        <is>
          <t>Sectoral/ Thematic</t>
        </is>
      </c>
      <c r="E64" s="97" t="n">
        <v>-2.54</v>
      </c>
      <c r="F64" s="98" t="n">
        <v>6.74</v>
      </c>
      <c r="G64" s="98" t="n">
        <v>2.91</v>
      </c>
      <c r="H64" s="98" t="n">
        <v>17.9</v>
      </c>
      <c r="I64" s="98" t="n">
        <v>0</v>
      </c>
      <c r="J64" s="98" t="n">
        <v>0</v>
      </c>
      <c r="K64" s="17" t="n">
        <v>77.5</v>
      </c>
      <c r="L64" s="18" t="n">
        <v>0</v>
      </c>
      <c r="M64" s="19" t="n">
        <v>42.6</v>
      </c>
      <c r="N64" s="99" t="inlineStr">
        <is>
          <t>⭐ Strong</t>
        </is>
      </c>
      <c r="O64" s="99" t="inlineStr">
        <is>
          <t>⏳ New Fund</t>
        </is>
      </c>
      <c r="P64" s="99" t="inlineStr">
        <is>
          <t>📈 Momentum Only</t>
        </is>
      </c>
      <c r="Q64" s="100" t="inlineStr">
        <is>
          <t>MOMENTUM_ONLY</t>
        </is>
      </c>
    </row>
    <row r="65" ht="16" customHeight="1">
      <c r="A65" s="90" t="n">
        <v>61</v>
      </c>
      <c r="B65" s="91" t="inlineStr">
        <is>
          <t>SBI MNC FUND - REGULAR PLAN -GROWTH</t>
        </is>
      </c>
      <c r="C65" s="91" t="inlineStr">
        <is>
          <t>SBI Mutual Fund</t>
        </is>
      </c>
      <c r="D65" s="91" t="inlineStr">
        <is>
          <t>Sectoral/ Thematic</t>
        </is>
      </c>
      <c r="E65" s="92" t="n">
        <v>-1.39</v>
      </c>
      <c r="F65" s="93" t="n">
        <v>7.25</v>
      </c>
      <c r="G65" s="93" t="n">
        <v>3.89</v>
      </c>
      <c r="H65" s="93" t="n">
        <v>0.89</v>
      </c>
      <c r="I65" s="93" t="n">
        <v>0.9257152563210802</v>
      </c>
      <c r="J65" s="93" t="n">
        <v>20.94</v>
      </c>
      <c r="K65" s="17" t="n">
        <v>76.7</v>
      </c>
      <c r="L65" s="18" t="n">
        <v>0</v>
      </c>
      <c r="M65" s="19" t="n">
        <v>42.2</v>
      </c>
      <c r="N65" s="94" t="inlineStr">
        <is>
          <t>⭐ Strong</t>
        </is>
      </c>
      <c r="O65" s="94" t="inlineStr">
        <is>
          <t>🔴 Not Qualified</t>
        </is>
      </c>
      <c r="P65" s="94" t="inlineStr">
        <is>
          <t>⚠️ Watch</t>
        </is>
      </c>
      <c r="Q65" s="68" t="inlineStr">
        <is>
          <t>FULL</t>
        </is>
      </c>
    </row>
    <row r="66" ht="16" customHeight="1">
      <c r="A66" s="95" t="n">
        <v>62</v>
      </c>
      <c r="B66" s="96" t="inlineStr">
        <is>
          <t>WhiteOak Capital Special Opportunities Fund - Regular Growth</t>
        </is>
      </c>
      <c r="C66" s="96" t="inlineStr">
        <is>
          <t>WhiteOak Capital Mutual Fund</t>
        </is>
      </c>
      <c r="D66" s="96" t="inlineStr">
        <is>
          <t>Sectoral/ Thematic</t>
        </is>
      </c>
      <c r="E66" s="97" t="n">
        <v>-1.19</v>
      </c>
      <c r="F66" s="98" t="n">
        <v>7.91</v>
      </c>
      <c r="G66" s="97" t="n">
        <v>-0.31</v>
      </c>
      <c r="H66" s="98" t="n">
        <v>2.72</v>
      </c>
      <c r="I66" s="98" t="n">
        <v>10.67520047418029</v>
      </c>
      <c r="J66" s="98" t="n">
        <v>0</v>
      </c>
      <c r="K66" s="17" t="n">
        <v>75.7</v>
      </c>
      <c r="L66" s="18" t="n">
        <v>0</v>
      </c>
      <c r="M66" s="19" t="n">
        <v>41.6</v>
      </c>
      <c r="N66" s="99" t="inlineStr">
        <is>
          <t>⭐ Strong</t>
        </is>
      </c>
      <c r="O66" s="99" t="inlineStr">
        <is>
          <t>⏳ New Fund</t>
        </is>
      </c>
      <c r="P66" s="99" t="inlineStr">
        <is>
          <t>📈 Momentum Only</t>
        </is>
      </c>
      <c r="Q66" s="100" t="inlineStr">
        <is>
          <t>MOMENTUM_ONLY</t>
        </is>
      </c>
    </row>
    <row r="67" ht="16" customHeight="1">
      <c r="A67" s="95" t="n">
        <v>63</v>
      </c>
      <c r="B67" s="96" t="inlineStr">
        <is>
          <t>Bandhan Healthcare Fund - Regular Plan - Growth</t>
        </is>
      </c>
      <c r="C67" s="96" t="inlineStr">
        <is>
          <t>Bandhan Mutual Fund</t>
        </is>
      </c>
      <c r="D67" s="96" t="inlineStr">
        <is>
          <t>Sectoral/ Thematic</t>
        </is>
      </c>
      <c r="E67" s="98" t="n">
        <v>0.05</v>
      </c>
      <c r="F67" s="98" t="n">
        <v>5.75</v>
      </c>
      <c r="G67" s="98" t="n">
        <v>3.35</v>
      </c>
      <c r="H67" s="98" t="n">
        <v>0</v>
      </c>
      <c r="I67" s="98" t="n">
        <v>0</v>
      </c>
      <c r="J67" s="98" t="n">
        <v>0</v>
      </c>
      <c r="K67" s="17" t="n">
        <v>75.5</v>
      </c>
      <c r="L67" s="18" t="n">
        <v>0</v>
      </c>
      <c r="M67" s="19" t="n">
        <v>41.5</v>
      </c>
      <c r="N67" s="99" t="inlineStr">
        <is>
          <t>⭐ Strong</t>
        </is>
      </c>
      <c r="O67" s="99" t="inlineStr">
        <is>
          <t>⏳ New Fund</t>
        </is>
      </c>
      <c r="P67" s="99" t="inlineStr">
        <is>
          <t>📈 Momentum Only</t>
        </is>
      </c>
      <c r="Q67" s="100" t="inlineStr">
        <is>
          <t>MOMENTUM_ONLY</t>
        </is>
      </c>
    </row>
    <row r="68" ht="16" customHeight="1">
      <c r="A68" s="95" t="n">
        <v>64</v>
      </c>
      <c r="B68" s="96" t="inlineStr">
        <is>
          <t>Bandhan Innovation Fund - Regular Plan - Growth</t>
        </is>
      </c>
      <c r="C68" s="96" t="inlineStr">
        <is>
          <t>Bandhan Mutual Fund</t>
        </is>
      </c>
      <c r="D68" s="96" t="inlineStr">
        <is>
          <t>Sectoral/ Thematic</t>
        </is>
      </c>
      <c r="E68" s="97" t="n">
        <v>-2.21</v>
      </c>
      <c r="F68" s="98" t="n">
        <v>9.26</v>
      </c>
      <c r="G68" s="98" t="n">
        <v>0.74</v>
      </c>
      <c r="H68" s="98" t="n">
        <v>5.02</v>
      </c>
      <c r="I68" s="98" t="n">
        <v>12.56553646654024</v>
      </c>
      <c r="J68" s="98" t="n">
        <v>0</v>
      </c>
      <c r="K68" s="17" t="n">
        <v>75.3</v>
      </c>
      <c r="L68" s="18" t="n">
        <v>0</v>
      </c>
      <c r="M68" s="19" t="n">
        <v>41.4</v>
      </c>
      <c r="N68" s="99" t="inlineStr">
        <is>
          <t>⭐ Strong</t>
        </is>
      </c>
      <c r="O68" s="99" t="inlineStr">
        <is>
          <t>⏳ New Fund</t>
        </is>
      </c>
      <c r="P68" s="99" t="inlineStr">
        <is>
          <t>📈 Momentum Only</t>
        </is>
      </c>
      <c r="Q68" s="100" t="inlineStr">
        <is>
          <t>MOMENTUM_ONLY</t>
        </is>
      </c>
    </row>
    <row r="69" ht="16" customHeight="1">
      <c r="A69" s="95" t="n">
        <v>65</v>
      </c>
      <c r="B69" s="96" t="inlineStr">
        <is>
          <t>Samco Active Momentum Fund - Regular Plan - Growth Option</t>
        </is>
      </c>
      <c r="C69" s="96" t="inlineStr">
        <is>
          <t>Samco Mutual Fund</t>
        </is>
      </c>
      <c r="D69" s="96" t="inlineStr">
        <is>
          <t>Sectoral/ Thematic</t>
        </is>
      </c>
      <c r="E69" s="98" t="n">
        <v>1.28</v>
      </c>
      <c r="F69" s="98" t="n">
        <v>10.44</v>
      </c>
      <c r="G69" s="98" t="n">
        <v>4.35</v>
      </c>
      <c r="H69" s="97" t="n">
        <v>-5.89</v>
      </c>
      <c r="I69" s="97" t="n">
        <v>-0.1851714423152462</v>
      </c>
      <c r="J69" s="98" t="n">
        <v>0</v>
      </c>
      <c r="K69" s="17" t="n">
        <v>75.09999999999999</v>
      </c>
      <c r="L69" s="18" t="n">
        <v>0</v>
      </c>
      <c r="M69" s="19" t="n">
        <v>41.3</v>
      </c>
      <c r="N69" s="99" t="inlineStr">
        <is>
          <t>⭐ Strong</t>
        </is>
      </c>
      <c r="O69" s="99" t="inlineStr">
        <is>
          <t>⏳ New Fund</t>
        </is>
      </c>
      <c r="P69" s="99" t="inlineStr">
        <is>
          <t>📈 Momentum Only</t>
        </is>
      </c>
      <c r="Q69" s="100" t="inlineStr">
        <is>
          <t>MOMENTUM_ONLY</t>
        </is>
      </c>
    </row>
    <row r="70" ht="16" customHeight="1">
      <c r="A70" s="95" t="n">
        <v>66</v>
      </c>
      <c r="B70" s="96" t="inlineStr">
        <is>
          <t>Motilal Oswal Special Opportunities Fund-Regular Plan-Growth</t>
        </is>
      </c>
      <c r="C70" s="96" t="inlineStr">
        <is>
          <t>Motilal Oswal Mutual Fund</t>
        </is>
      </c>
      <c r="D70" s="96" t="inlineStr">
        <is>
          <t>Sectoral/ Thematic</t>
        </is>
      </c>
      <c r="E70" s="97" t="n">
        <v>-2.55</v>
      </c>
      <c r="F70" s="98" t="n">
        <v>11.4</v>
      </c>
      <c r="G70" s="98" t="n">
        <v>5.65</v>
      </c>
      <c r="H70" s="98" t="n">
        <v>0</v>
      </c>
      <c r="I70" s="98" t="n">
        <v>0</v>
      </c>
      <c r="J70" s="98" t="n">
        <v>0</v>
      </c>
      <c r="K70" s="73" t="n">
        <v>74.09999999999999</v>
      </c>
      <c r="L70" s="18" t="n">
        <v>0</v>
      </c>
      <c r="M70" s="19" t="n">
        <v>40.7</v>
      </c>
      <c r="N70" s="99" t="inlineStr">
        <is>
          <t>📈 Good</t>
        </is>
      </c>
      <c r="O70" s="99" t="inlineStr">
        <is>
          <t>⏳ New Fund</t>
        </is>
      </c>
      <c r="P70" s="99" t="inlineStr">
        <is>
          <t>📈 Momentum Only</t>
        </is>
      </c>
      <c r="Q70" s="100" t="inlineStr">
        <is>
          <t>MOMENTUM_ONLY</t>
        </is>
      </c>
    </row>
    <row r="71" ht="16" customHeight="1">
      <c r="A71" s="90" t="n">
        <v>67</v>
      </c>
      <c r="B71" s="91" t="inlineStr">
        <is>
          <t>Kotak Manufacture in India Fund - Regular Plan Growth</t>
        </is>
      </c>
      <c r="C71" s="91" t="inlineStr">
        <is>
          <t>Kotak Mahindra Mutual Fund</t>
        </is>
      </c>
      <c r="D71" s="91" t="inlineStr">
        <is>
          <t>Sectoral/ Thematic</t>
        </is>
      </c>
      <c r="E71" s="92" t="n">
        <v>-2.18</v>
      </c>
      <c r="F71" s="93" t="n">
        <v>3.65</v>
      </c>
      <c r="G71" s="93" t="n">
        <v>2.71</v>
      </c>
      <c r="H71" s="93" t="n">
        <v>7.75</v>
      </c>
      <c r="I71" s="93" t="n">
        <v>5.323311759553029</v>
      </c>
      <c r="J71" s="93" t="n">
        <v>69.20999999999999</v>
      </c>
      <c r="K71" s="73" t="n">
        <v>72.7</v>
      </c>
      <c r="L71" s="18" t="n">
        <v>0</v>
      </c>
      <c r="M71" s="19" t="n">
        <v>40</v>
      </c>
      <c r="N71" s="94" t="inlineStr">
        <is>
          <t>📈 Good</t>
        </is>
      </c>
      <c r="O71" s="94" t="inlineStr">
        <is>
          <t>🔴 Not Qualified</t>
        </is>
      </c>
      <c r="P71" s="94" t="inlineStr">
        <is>
          <t>⚠️ Watch</t>
        </is>
      </c>
      <c r="Q71" s="68" t="inlineStr">
        <is>
          <t>FULL</t>
        </is>
      </c>
    </row>
    <row r="72" ht="16" customHeight="1">
      <c r="A72" s="95" t="n">
        <v>68</v>
      </c>
      <c r="B72" s="96" t="inlineStr">
        <is>
          <t>Aditya Birla Sun Life Transportation and Logistics Fund-Regular Growth</t>
        </is>
      </c>
      <c r="C72" s="96" t="inlineStr">
        <is>
          <t>Aditya Birla Sun Life Mutual Fund</t>
        </is>
      </c>
      <c r="D72" s="96" t="inlineStr">
        <is>
          <t>Sectoral/ Thematic</t>
        </is>
      </c>
      <c r="E72" s="97" t="n">
        <v>-1.09</v>
      </c>
      <c r="F72" s="98" t="n">
        <v>6.35</v>
      </c>
      <c r="G72" s="97" t="n">
        <v>-4.46</v>
      </c>
      <c r="H72" s="98" t="n">
        <v>5.96</v>
      </c>
      <c r="I72" s="98" t="n">
        <v>1.867561078097868</v>
      </c>
      <c r="J72" s="98" t="n">
        <v>0</v>
      </c>
      <c r="K72" s="73" t="n">
        <v>72.40000000000001</v>
      </c>
      <c r="L72" s="18" t="n">
        <v>0</v>
      </c>
      <c r="M72" s="19" t="n">
        <v>39.8</v>
      </c>
      <c r="N72" s="99" t="inlineStr">
        <is>
          <t>📈 Good</t>
        </is>
      </c>
      <c r="O72" s="99" t="inlineStr">
        <is>
          <t>⏳ New Fund</t>
        </is>
      </c>
      <c r="P72" s="99" t="inlineStr">
        <is>
          <t>📈 Momentum Only</t>
        </is>
      </c>
      <c r="Q72" s="100" t="inlineStr">
        <is>
          <t>MOMENTUM_ONLY</t>
        </is>
      </c>
    </row>
    <row r="73" ht="16" customHeight="1">
      <c r="A73" s="95" t="n">
        <v>69</v>
      </c>
      <c r="B73" s="96" t="inlineStr">
        <is>
          <t>Nippon India Active Momentum Fund - Regular Plan- Growth Option</t>
        </is>
      </c>
      <c r="C73" s="96" t="inlineStr">
        <is>
          <t>Nippon India Mutual Fund</t>
        </is>
      </c>
      <c r="D73" s="96" t="inlineStr">
        <is>
          <t>Sectoral/ Thematic</t>
        </is>
      </c>
      <c r="E73" s="97" t="n">
        <v>-1.23</v>
      </c>
      <c r="F73" s="98" t="n">
        <v>3.34</v>
      </c>
      <c r="G73" s="98" t="n">
        <v>0.52</v>
      </c>
      <c r="H73" s="98" t="n">
        <v>2.93</v>
      </c>
      <c r="I73" s="98" t="n">
        <v>0</v>
      </c>
      <c r="J73" s="98" t="n">
        <v>0</v>
      </c>
      <c r="K73" s="73" t="n">
        <v>71.3</v>
      </c>
      <c r="L73" s="18" t="n">
        <v>0</v>
      </c>
      <c r="M73" s="19" t="n">
        <v>39.2</v>
      </c>
      <c r="N73" s="99" t="inlineStr">
        <is>
          <t>📈 Good</t>
        </is>
      </c>
      <c r="O73" s="99" t="inlineStr">
        <is>
          <t>⏳ New Fund</t>
        </is>
      </c>
      <c r="P73" s="99" t="inlineStr">
        <is>
          <t>📈 Momentum Only</t>
        </is>
      </c>
      <c r="Q73" s="100" t="inlineStr">
        <is>
          <t>MOMENTUM_ONLY</t>
        </is>
      </c>
    </row>
    <row r="74" ht="16" customHeight="1">
      <c r="A74" s="95" t="n">
        <v>70</v>
      </c>
      <c r="B74" s="96" t="inlineStr">
        <is>
          <t>Union Innovation &amp; Opportunities Fund - Regular Plan - Growth Option</t>
        </is>
      </c>
      <c r="C74" s="96" t="inlineStr">
        <is>
          <t>Union Mutual Fund</t>
        </is>
      </c>
      <c r="D74" s="96" t="inlineStr">
        <is>
          <t>Sectoral/ Thematic</t>
        </is>
      </c>
      <c r="E74" s="97" t="n">
        <v>-2.1</v>
      </c>
      <c r="F74" s="98" t="n">
        <v>10.5</v>
      </c>
      <c r="G74" s="97" t="n">
        <v>-1.55</v>
      </c>
      <c r="H74" s="98" t="n">
        <v>1.52</v>
      </c>
      <c r="I74" s="98" t="n">
        <v>7.652217812732509</v>
      </c>
      <c r="J74" s="98" t="n">
        <v>0</v>
      </c>
      <c r="K74" s="73" t="n">
        <v>71.09999999999999</v>
      </c>
      <c r="L74" s="18" t="n">
        <v>0</v>
      </c>
      <c r="M74" s="19" t="n">
        <v>39.1</v>
      </c>
      <c r="N74" s="99" t="inlineStr">
        <is>
          <t>📈 Good</t>
        </is>
      </c>
      <c r="O74" s="99" t="inlineStr">
        <is>
          <t>⏳ New Fund</t>
        </is>
      </c>
      <c r="P74" s="99" t="inlineStr">
        <is>
          <t>📈 Momentum Only</t>
        </is>
      </c>
      <c r="Q74" s="100" t="inlineStr">
        <is>
          <t>MOMENTUM_ONLY</t>
        </is>
      </c>
    </row>
    <row r="75" ht="16" customHeight="1">
      <c r="A75" s="90" t="n">
        <v>71</v>
      </c>
      <c r="B75" s="91" t="inlineStr">
        <is>
          <t>ICICI Prudential Manufacturing Fund - Cumulative Option</t>
        </is>
      </c>
      <c r="C75" s="91" t="inlineStr">
        <is>
          <t>ICICI Prudential Mutual Fund</t>
        </is>
      </c>
      <c r="D75" s="91" t="inlineStr">
        <is>
          <t>Sectoral/ Thematic</t>
        </is>
      </c>
      <c r="E75" s="92" t="n">
        <v>-2.6</v>
      </c>
      <c r="F75" s="93" t="n">
        <v>4.59</v>
      </c>
      <c r="G75" s="93" t="n">
        <v>2.97</v>
      </c>
      <c r="H75" s="93" t="n">
        <v>5.49</v>
      </c>
      <c r="I75" s="93" t="n">
        <v>3.633971264252933</v>
      </c>
      <c r="J75" s="93" t="n">
        <v>79.47</v>
      </c>
      <c r="K75" s="73" t="n">
        <v>70.5</v>
      </c>
      <c r="L75" s="18" t="n">
        <v>0</v>
      </c>
      <c r="M75" s="19" t="n">
        <v>38.8</v>
      </c>
      <c r="N75" s="94" t="inlineStr">
        <is>
          <t>📈 Good</t>
        </is>
      </c>
      <c r="O75" s="94" t="inlineStr">
        <is>
          <t>🔴 Not Qualified</t>
        </is>
      </c>
      <c r="P75" s="94" t="inlineStr">
        <is>
          <t>🔴 Avoid</t>
        </is>
      </c>
      <c r="Q75" s="68" t="inlineStr">
        <is>
          <t>FULL</t>
        </is>
      </c>
    </row>
    <row r="76" ht="16" customHeight="1">
      <c r="A76" s="85" t="n">
        <v>72</v>
      </c>
      <c r="B76" s="86" t="inlineStr">
        <is>
          <t>ICICI Prudential MNC Fund - Growth Option</t>
        </is>
      </c>
      <c r="C76" s="86" t="inlineStr">
        <is>
          <t>ICICI Prudential Mutual Fund</t>
        </is>
      </c>
      <c r="D76" s="86" t="inlineStr">
        <is>
          <t>Sectoral/ Thematic</t>
        </is>
      </c>
      <c r="E76" s="87" t="n">
        <v>-1.56</v>
      </c>
      <c r="F76" s="88" t="n">
        <v>4.29</v>
      </c>
      <c r="G76" s="87" t="n">
        <v>-0.86</v>
      </c>
      <c r="H76" s="88" t="n">
        <v>3.76</v>
      </c>
      <c r="I76" s="88" t="n">
        <v>2.43534546239399</v>
      </c>
      <c r="J76" s="88" t="n">
        <v>43.58</v>
      </c>
      <c r="K76" s="73" t="n">
        <v>70.40000000000001</v>
      </c>
      <c r="L76" s="18" t="n">
        <v>0</v>
      </c>
      <c r="M76" s="19" t="n">
        <v>38.7</v>
      </c>
      <c r="N76" s="89" t="inlineStr">
        <is>
          <t>📈 Good</t>
        </is>
      </c>
      <c r="O76" s="89" t="inlineStr">
        <is>
          <t>🔴 Not Qualified</t>
        </is>
      </c>
      <c r="P76" s="89" t="inlineStr">
        <is>
          <t>🔴 Avoid</t>
        </is>
      </c>
      <c r="Q76" s="68" t="inlineStr">
        <is>
          <t>FULL</t>
        </is>
      </c>
    </row>
    <row r="77" ht="16" customHeight="1">
      <c r="A77" s="95" t="n">
        <v>73</v>
      </c>
      <c r="B77" s="96" t="inlineStr">
        <is>
          <t>HDFC INNOVATION FUND - REGULAR PLAN - GROWTH OPTION</t>
        </is>
      </c>
      <c r="C77" s="96" t="inlineStr">
        <is>
          <t>HDFC Mutual Fund</t>
        </is>
      </c>
      <c r="D77" s="96" t="inlineStr">
        <is>
          <t>Sectoral/ Thematic</t>
        </is>
      </c>
      <c r="E77" s="97" t="n">
        <v>-1.28</v>
      </c>
      <c r="F77" s="98" t="n">
        <v>7.37</v>
      </c>
      <c r="G77" s="97" t="n">
        <v>-1.01</v>
      </c>
      <c r="H77" s="98" t="n">
        <v>0</v>
      </c>
      <c r="I77" s="98" t="n">
        <v>0</v>
      </c>
      <c r="J77" s="98" t="n">
        <v>0</v>
      </c>
      <c r="K77" s="73" t="n">
        <v>69.40000000000001</v>
      </c>
      <c r="L77" s="18" t="n">
        <v>0</v>
      </c>
      <c r="M77" s="19" t="n">
        <v>38.2</v>
      </c>
      <c r="N77" s="99" t="inlineStr">
        <is>
          <t>📈 Good</t>
        </is>
      </c>
      <c r="O77" s="99" t="inlineStr">
        <is>
          <t>⏳ New Fund</t>
        </is>
      </c>
      <c r="P77" s="99" t="inlineStr">
        <is>
          <t>📈 Momentum Only</t>
        </is>
      </c>
      <c r="Q77" s="100" t="inlineStr">
        <is>
          <t>MOMENTUM_ONLY</t>
        </is>
      </c>
    </row>
    <row r="78" ht="16" customHeight="1">
      <c r="A78" s="95" t="n">
        <v>74</v>
      </c>
      <c r="B78" s="96" t="inlineStr">
        <is>
          <t>Invesco India Consumption Fund - Regular Plan - Growth Plan</t>
        </is>
      </c>
      <c r="C78" s="96" t="inlineStr">
        <is>
          <t>Invesco Mutual Fund</t>
        </is>
      </c>
      <c r="D78" s="96" t="inlineStr">
        <is>
          <t>Sectoral/ Thematic</t>
        </is>
      </c>
      <c r="E78" s="97" t="n">
        <v>-1.24</v>
      </c>
      <c r="F78" s="98" t="n">
        <v>8.890000000000001</v>
      </c>
      <c r="G78" s="97" t="n">
        <v>-2.15</v>
      </c>
      <c r="H78" s="98" t="n">
        <v>0</v>
      </c>
      <c r="I78" s="98" t="n">
        <v>0</v>
      </c>
      <c r="J78" s="98" t="n">
        <v>0</v>
      </c>
      <c r="K78" s="73" t="n">
        <v>69.40000000000001</v>
      </c>
      <c r="L78" s="18" t="n">
        <v>0</v>
      </c>
      <c r="M78" s="19" t="n">
        <v>38.2</v>
      </c>
      <c r="N78" s="99" t="inlineStr">
        <is>
          <t>📈 Good</t>
        </is>
      </c>
      <c r="O78" s="99" t="inlineStr">
        <is>
          <t>⏳ New Fund</t>
        </is>
      </c>
      <c r="P78" s="99" t="inlineStr">
        <is>
          <t>📈 Momentum Only</t>
        </is>
      </c>
      <c r="Q78" s="100" t="inlineStr">
        <is>
          <t>MOMENTUM_ONLY</t>
        </is>
      </c>
    </row>
    <row r="79" ht="16" customHeight="1">
      <c r="A79" s="90" t="n">
        <v>75</v>
      </c>
      <c r="B79" s="91" t="inlineStr">
        <is>
          <t>Kotak Business Cycle Fund-Regular Plan--Growth</t>
        </is>
      </c>
      <c r="C79" s="91" t="inlineStr">
        <is>
          <t>Kotak Mahindra Mutual Fund</t>
        </is>
      </c>
      <c r="D79" s="91" t="inlineStr">
        <is>
          <t>Sectoral/ Thematic</t>
        </is>
      </c>
      <c r="E79" s="92" t="n">
        <v>-1.1</v>
      </c>
      <c r="F79" s="93" t="n">
        <v>6.11</v>
      </c>
      <c r="G79" s="92" t="n">
        <v>-2.6</v>
      </c>
      <c r="H79" s="93" t="n">
        <v>0.25</v>
      </c>
      <c r="I79" s="93" t="n">
        <v>5.872564907061739</v>
      </c>
      <c r="J79" s="93" t="n">
        <v>51.17</v>
      </c>
      <c r="K79" s="73" t="n">
        <v>68.90000000000001</v>
      </c>
      <c r="L79" s="18" t="n">
        <v>0</v>
      </c>
      <c r="M79" s="19" t="n">
        <v>37.9</v>
      </c>
      <c r="N79" s="94" t="inlineStr">
        <is>
          <t>📈 Good</t>
        </is>
      </c>
      <c r="O79" s="94" t="inlineStr">
        <is>
          <t>🔴 Not Qualified</t>
        </is>
      </c>
      <c r="P79" s="94" t="inlineStr">
        <is>
          <t>🔴 Avoid</t>
        </is>
      </c>
      <c r="Q79" s="68" t="inlineStr">
        <is>
          <t>FULL</t>
        </is>
      </c>
    </row>
    <row r="80" ht="16" customHeight="1">
      <c r="A80" s="85" t="n">
        <v>76</v>
      </c>
      <c r="B80" s="86" t="inlineStr">
        <is>
          <t>SBI COMMA Fund - REGULAR PLAN - Growth</t>
        </is>
      </c>
      <c r="C80" s="86" t="inlineStr">
        <is>
          <t>SBI Mutual Fund</t>
        </is>
      </c>
      <c r="D80" s="86" t="inlineStr">
        <is>
          <t>Sectoral/ Thematic</t>
        </is>
      </c>
      <c r="E80" s="87" t="n">
        <v>-3.4</v>
      </c>
      <c r="F80" s="88" t="n">
        <v>1.84</v>
      </c>
      <c r="G80" s="88" t="n">
        <v>5.94</v>
      </c>
      <c r="H80" s="88" t="n">
        <v>8.66</v>
      </c>
      <c r="I80" s="88" t="n">
        <v>7.382493917770416</v>
      </c>
      <c r="J80" s="88" t="n">
        <v>67.63</v>
      </c>
      <c r="K80" s="73" t="n">
        <v>68</v>
      </c>
      <c r="L80" s="18" t="n">
        <v>0</v>
      </c>
      <c r="M80" s="19" t="n">
        <v>37.4</v>
      </c>
      <c r="N80" s="89" t="inlineStr">
        <is>
          <t>📈 Good</t>
        </is>
      </c>
      <c r="O80" s="89" t="inlineStr">
        <is>
          <t>🔴 Not Qualified</t>
        </is>
      </c>
      <c r="P80" s="89" t="inlineStr">
        <is>
          <t>🔴 Avoid</t>
        </is>
      </c>
      <c r="Q80" s="68" t="inlineStr">
        <is>
          <t>FULL</t>
        </is>
      </c>
    </row>
    <row r="81" ht="16" customHeight="1">
      <c r="A81" s="90" t="n">
        <v>77</v>
      </c>
      <c r="B81" s="91" t="inlineStr">
        <is>
          <t>Nippon India Power &amp; Infra Fund-Growth Plan-Bonus Option</t>
        </is>
      </c>
      <c r="C81" s="91" t="inlineStr">
        <is>
          <t>Nippon India Mutual Fund</t>
        </is>
      </c>
      <c r="D81" s="91" t="inlineStr">
        <is>
          <t>Sectoral/ Thematic</t>
        </is>
      </c>
      <c r="E81" s="92" t="n">
        <v>-4.15</v>
      </c>
      <c r="F81" s="93" t="n">
        <v>6.36</v>
      </c>
      <c r="G81" s="93" t="n">
        <v>6.52</v>
      </c>
      <c r="H81" s="93" t="n">
        <v>4.5</v>
      </c>
      <c r="I81" s="93" t="n">
        <v>2.122475488993114</v>
      </c>
      <c r="J81" s="93" t="n">
        <v>84.13</v>
      </c>
      <c r="K81" s="73" t="n">
        <v>67.8</v>
      </c>
      <c r="L81" s="18" t="n">
        <v>0</v>
      </c>
      <c r="M81" s="19" t="n">
        <v>37.3</v>
      </c>
      <c r="N81" s="94" t="inlineStr">
        <is>
          <t>📈 Good</t>
        </is>
      </c>
      <c r="O81" s="94" t="inlineStr">
        <is>
          <t>🔴 Not Qualified</t>
        </is>
      </c>
      <c r="P81" s="94" t="inlineStr">
        <is>
          <t>🔴 Avoid</t>
        </is>
      </c>
      <c r="Q81" s="68" t="inlineStr">
        <is>
          <t>FULL</t>
        </is>
      </c>
    </row>
    <row r="82" ht="16" customHeight="1">
      <c r="A82" s="85" t="n">
        <v>77</v>
      </c>
      <c r="B82" s="86" t="inlineStr">
        <is>
          <t>Nippon India Power &amp; Infra Fund-Growth Plan -Growth Option</t>
        </is>
      </c>
      <c r="C82" s="86" t="inlineStr">
        <is>
          <t>Nippon India Mutual Fund</t>
        </is>
      </c>
      <c r="D82" s="86" t="inlineStr">
        <is>
          <t>Sectoral/ Thematic</t>
        </is>
      </c>
      <c r="E82" s="87" t="n">
        <v>-4.15</v>
      </c>
      <c r="F82" s="88" t="n">
        <v>6.36</v>
      </c>
      <c r="G82" s="88" t="n">
        <v>6.52</v>
      </c>
      <c r="H82" s="88" t="n">
        <v>4.5</v>
      </c>
      <c r="I82" s="88" t="n">
        <v>2.122475488993114</v>
      </c>
      <c r="J82" s="88" t="n">
        <v>84.13</v>
      </c>
      <c r="K82" s="73" t="n">
        <v>67.8</v>
      </c>
      <c r="L82" s="18" t="n">
        <v>0</v>
      </c>
      <c r="M82" s="19" t="n">
        <v>37.3</v>
      </c>
      <c r="N82" s="89" t="inlineStr">
        <is>
          <t>📈 Good</t>
        </is>
      </c>
      <c r="O82" s="89" t="inlineStr">
        <is>
          <t>🔴 Not Qualified</t>
        </is>
      </c>
      <c r="P82" s="89" t="inlineStr">
        <is>
          <t>🔴 Avoid</t>
        </is>
      </c>
      <c r="Q82" s="68" t="inlineStr">
        <is>
          <t>FULL</t>
        </is>
      </c>
    </row>
    <row r="83" ht="16" customHeight="1">
      <c r="A83" s="90" t="n">
        <v>79</v>
      </c>
      <c r="B83" s="91" t="inlineStr">
        <is>
          <t>DSP Natural Resources And New Energy Fund - Regular - Growth</t>
        </is>
      </c>
      <c r="C83" s="91" t="inlineStr">
        <is>
          <t>DSP Mutual Fund</t>
        </is>
      </c>
      <c r="D83" s="91" t="inlineStr">
        <is>
          <t>Sectoral/ Thematic</t>
        </is>
      </c>
      <c r="E83" s="92" t="n">
        <v>-3.37</v>
      </c>
      <c r="F83" s="92" t="n">
        <v>-1.17</v>
      </c>
      <c r="G83" s="93" t="n">
        <v>9.85</v>
      </c>
      <c r="H83" s="93" t="n">
        <v>18.44</v>
      </c>
      <c r="I83" s="93" t="n">
        <v>8.17578287213825</v>
      </c>
      <c r="J83" s="93" t="n">
        <v>83.62</v>
      </c>
      <c r="K83" s="73" t="n">
        <v>67.5</v>
      </c>
      <c r="L83" s="18" t="n">
        <v>0</v>
      </c>
      <c r="M83" s="19" t="n">
        <v>37.2</v>
      </c>
      <c r="N83" s="94" t="inlineStr">
        <is>
          <t>📈 Good</t>
        </is>
      </c>
      <c r="O83" s="94" t="inlineStr">
        <is>
          <t>🔴 Not Qualified</t>
        </is>
      </c>
      <c r="P83" s="94" t="inlineStr">
        <is>
          <t>🔴 Avoid</t>
        </is>
      </c>
      <c r="Q83" s="68" t="inlineStr">
        <is>
          <t>FULL</t>
        </is>
      </c>
    </row>
    <row r="84" ht="16" customHeight="1">
      <c r="A84" s="95" t="n">
        <v>80</v>
      </c>
      <c r="B84" s="96" t="inlineStr">
        <is>
          <t>SBI Energy Opportunities Fund - Regular Plan - Income Distribution Cum Capital Withdrawal Option</t>
        </is>
      </c>
      <c r="C84" s="96" t="inlineStr">
        <is>
          <t>SBI Mutual Fund</t>
        </is>
      </c>
      <c r="D84" s="96" t="inlineStr">
        <is>
          <t>Sectoral/ Thematic</t>
        </is>
      </c>
      <c r="E84" s="97" t="n">
        <v>-2.82</v>
      </c>
      <c r="F84" s="98" t="n">
        <v>3.06</v>
      </c>
      <c r="G84" s="98" t="n">
        <v>3.66</v>
      </c>
      <c r="H84" s="98" t="n">
        <v>1.44</v>
      </c>
      <c r="I84" s="98" t="n">
        <v>0.4888053466653552</v>
      </c>
      <c r="J84" s="98" t="n">
        <v>0</v>
      </c>
      <c r="K84" s="73" t="n">
        <v>66.2</v>
      </c>
      <c r="L84" s="18" t="n">
        <v>0</v>
      </c>
      <c r="M84" s="19" t="n">
        <v>36.4</v>
      </c>
      <c r="N84" s="99" t="inlineStr">
        <is>
          <t>📈 Good</t>
        </is>
      </c>
      <c r="O84" s="99" t="inlineStr">
        <is>
          <t>⏳ New Fund</t>
        </is>
      </c>
      <c r="P84" s="99" t="inlineStr">
        <is>
          <t>📈 Momentum Only</t>
        </is>
      </c>
      <c r="Q84" s="100" t="inlineStr">
        <is>
          <t>MOMENTUM_ONLY</t>
        </is>
      </c>
    </row>
    <row r="85" ht="16" customHeight="1">
      <c r="A85" s="95" t="n">
        <v>80</v>
      </c>
      <c r="B85" s="96" t="inlineStr">
        <is>
          <t>SBI Energy Opportunities Fund - Regular Plan - Growth</t>
        </is>
      </c>
      <c r="C85" s="96" t="inlineStr">
        <is>
          <t>SBI Mutual Fund</t>
        </is>
      </c>
      <c r="D85" s="96" t="inlineStr">
        <is>
          <t>Sectoral/ Thematic</t>
        </is>
      </c>
      <c r="E85" s="97" t="n">
        <v>-2.82</v>
      </c>
      <c r="F85" s="98" t="n">
        <v>3.06</v>
      </c>
      <c r="G85" s="98" t="n">
        <v>3.66</v>
      </c>
      <c r="H85" s="98" t="n">
        <v>1.44</v>
      </c>
      <c r="I85" s="98" t="n">
        <v>0.4888053466653552</v>
      </c>
      <c r="J85" s="98" t="n">
        <v>0</v>
      </c>
      <c r="K85" s="73" t="n">
        <v>66.2</v>
      </c>
      <c r="L85" s="18" t="n">
        <v>0</v>
      </c>
      <c r="M85" s="19" t="n">
        <v>36.4</v>
      </c>
      <c r="N85" s="99" t="inlineStr">
        <is>
          <t>📈 Good</t>
        </is>
      </c>
      <c r="O85" s="99" t="inlineStr">
        <is>
          <t>⏳ New Fund</t>
        </is>
      </c>
      <c r="P85" s="99" t="inlineStr">
        <is>
          <t>📈 Momentum Only</t>
        </is>
      </c>
      <c r="Q85" s="100" t="inlineStr">
        <is>
          <t>MOMENTUM_ONLY</t>
        </is>
      </c>
    </row>
    <row r="86" ht="16" customHeight="1">
      <c r="A86" s="85" t="n">
        <v>82</v>
      </c>
      <c r="B86" s="86" t="inlineStr">
        <is>
          <t>Tata Infrastructure Fund-Regular Plan- Growth Option</t>
        </is>
      </c>
      <c r="C86" s="86" t="inlineStr">
        <is>
          <t>Tata Mutual Fund</t>
        </is>
      </c>
      <c r="D86" s="86" t="inlineStr">
        <is>
          <t>Sectoral/ Thematic</t>
        </is>
      </c>
      <c r="E86" s="87" t="n">
        <v>-2.78</v>
      </c>
      <c r="F86" s="88" t="n">
        <v>7.06</v>
      </c>
      <c r="G86" s="88" t="n">
        <v>4.27</v>
      </c>
      <c r="H86" s="87" t="n">
        <v>-1.48</v>
      </c>
      <c r="I86" s="87" t="n">
        <v>-4.177246960860071</v>
      </c>
      <c r="J86" s="88" t="n">
        <v>52.7</v>
      </c>
      <c r="K86" s="73" t="n">
        <v>65.59999999999999</v>
      </c>
      <c r="L86" s="18" t="n">
        <v>0</v>
      </c>
      <c r="M86" s="19" t="n">
        <v>36.1</v>
      </c>
      <c r="N86" s="89" t="inlineStr">
        <is>
          <t>📈 Good</t>
        </is>
      </c>
      <c r="O86" s="89" t="inlineStr">
        <is>
          <t>🔴 Not Qualified</t>
        </is>
      </c>
      <c r="P86" s="89" t="inlineStr">
        <is>
          <t>🔴 Avoid</t>
        </is>
      </c>
      <c r="Q86" s="68" t="inlineStr">
        <is>
          <t>FULL</t>
        </is>
      </c>
    </row>
    <row r="87" ht="16" customHeight="1">
      <c r="A87" s="95" t="n">
        <v>83</v>
      </c>
      <c r="B87" s="96" t="inlineStr">
        <is>
          <t>Motilal Oswal Services Fund - Regular Plan - Growth</t>
        </is>
      </c>
      <c r="C87" s="96" t="inlineStr">
        <is>
          <t>Motilal Oswal Mutual Fund</t>
        </is>
      </c>
      <c r="D87" s="96" t="inlineStr">
        <is>
          <t>Sectoral/ Thematic</t>
        </is>
      </c>
      <c r="E87" s="97" t="n">
        <v>-1.81</v>
      </c>
      <c r="F87" s="98" t="n">
        <v>7.72</v>
      </c>
      <c r="G87" s="97" t="n">
        <v>-3.54</v>
      </c>
      <c r="H87" s="98" t="n">
        <v>0</v>
      </c>
      <c r="I87" s="98" t="n">
        <v>0</v>
      </c>
      <c r="J87" s="98" t="n">
        <v>0</v>
      </c>
      <c r="K87" s="73" t="n">
        <v>64.90000000000001</v>
      </c>
      <c r="L87" s="18" t="n">
        <v>0</v>
      </c>
      <c r="M87" s="19" t="n">
        <v>35.7</v>
      </c>
      <c r="N87" s="99" t="inlineStr">
        <is>
          <t>📈 Good</t>
        </is>
      </c>
      <c r="O87" s="99" t="inlineStr">
        <is>
          <t>⏳ New Fund</t>
        </is>
      </c>
      <c r="P87" s="99" t="inlineStr">
        <is>
          <t>📈 Momentum Only</t>
        </is>
      </c>
      <c r="Q87" s="100" t="inlineStr">
        <is>
          <t>MOMENTUM_ONLY</t>
        </is>
      </c>
    </row>
    <row r="88" ht="16" customHeight="1">
      <c r="A88" s="95" t="n">
        <v>84</v>
      </c>
      <c r="B88" s="96" t="inlineStr">
        <is>
          <t>Tata India Innovation Fund- Regular Growth</t>
        </is>
      </c>
      <c r="C88" s="96" t="inlineStr">
        <is>
          <t>Tata Mutual Fund</t>
        </is>
      </c>
      <c r="D88" s="96" t="inlineStr">
        <is>
          <t>Sectoral/ Thematic</t>
        </is>
      </c>
      <c r="E88" s="97" t="n">
        <v>-0.68</v>
      </c>
      <c r="F88" s="98" t="n">
        <v>7.96</v>
      </c>
      <c r="G88" s="97" t="n">
        <v>-4.75</v>
      </c>
      <c r="H88" s="97" t="n">
        <v>-3.07</v>
      </c>
      <c r="I88" s="98" t="n">
        <v>0</v>
      </c>
      <c r="J88" s="98" t="n">
        <v>0</v>
      </c>
      <c r="K88" s="73" t="n">
        <v>64.40000000000001</v>
      </c>
      <c r="L88" s="18" t="n">
        <v>0</v>
      </c>
      <c r="M88" s="19" t="n">
        <v>35.4</v>
      </c>
      <c r="N88" s="99" t="inlineStr">
        <is>
          <t>📈 Good</t>
        </is>
      </c>
      <c r="O88" s="99" t="inlineStr">
        <is>
          <t>⏳ New Fund</t>
        </is>
      </c>
      <c r="P88" s="99" t="inlineStr">
        <is>
          <t>📈 Momentum Only</t>
        </is>
      </c>
      <c r="Q88" s="100" t="inlineStr">
        <is>
          <t>MOMENTUM_ONLY</t>
        </is>
      </c>
    </row>
    <row r="89" ht="16" customHeight="1">
      <c r="A89" s="95" t="n">
        <v>85</v>
      </c>
      <c r="B89" s="96" t="inlineStr">
        <is>
          <t>Samco Special Opportunities Fund - Regular Plan - Growth</t>
        </is>
      </c>
      <c r="C89" s="96" t="inlineStr">
        <is>
          <t>Samco Mutual Fund</t>
        </is>
      </c>
      <c r="D89" s="96" t="inlineStr">
        <is>
          <t>Sectoral/ Thematic</t>
        </is>
      </c>
      <c r="E89" s="97" t="n">
        <v>-0.6</v>
      </c>
      <c r="F89" s="98" t="n">
        <v>7.03</v>
      </c>
      <c r="G89" s="97" t="n">
        <v>-2.14</v>
      </c>
      <c r="H89" s="97" t="n">
        <v>-4.97</v>
      </c>
      <c r="I89" s="98" t="n">
        <v>0</v>
      </c>
      <c r="J89" s="98" t="n">
        <v>0</v>
      </c>
      <c r="K89" s="73" t="n">
        <v>64.3</v>
      </c>
      <c r="L89" s="18" t="n">
        <v>0</v>
      </c>
      <c r="M89" s="19" t="n">
        <v>35.4</v>
      </c>
      <c r="N89" s="99" t="inlineStr">
        <is>
          <t>📈 Good</t>
        </is>
      </c>
      <c r="O89" s="99" t="inlineStr">
        <is>
          <t>⏳ New Fund</t>
        </is>
      </c>
      <c r="P89" s="99" t="inlineStr">
        <is>
          <t>📈 Momentum Only</t>
        </is>
      </c>
      <c r="Q89" s="100" t="inlineStr">
        <is>
          <t>MOMENTUM_ONLY</t>
        </is>
      </c>
    </row>
    <row r="90" ht="16" customHeight="1">
      <c r="A90" s="85" t="n">
        <v>86</v>
      </c>
      <c r="B90" s="86" t="inlineStr">
        <is>
          <t>TATA India Pharma &amp; Health Care Fund Regular Plan - Payout of Income Distribution cum capital withdrawal option</t>
        </is>
      </c>
      <c r="C90" s="86" t="inlineStr">
        <is>
          <t>Tata Mutual Fund</t>
        </is>
      </c>
      <c r="D90" s="86" t="inlineStr">
        <is>
          <t>Sectoral/ Thematic</t>
        </is>
      </c>
      <c r="E90" s="87" t="n">
        <v>-1.09</v>
      </c>
      <c r="F90" s="88" t="n">
        <v>1.48</v>
      </c>
      <c r="G90" s="87" t="n">
        <v>-1.33</v>
      </c>
      <c r="H90" s="88" t="n">
        <v>0.73</v>
      </c>
      <c r="I90" s="88" t="n">
        <v>7.205410311233829</v>
      </c>
      <c r="J90" s="88" t="n">
        <v>74.67</v>
      </c>
      <c r="K90" s="73" t="n">
        <v>63.9</v>
      </c>
      <c r="L90" s="18" t="n">
        <v>0</v>
      </c>
      <c r="M90" s="19" t="n">
        <v>35.1</v>
      </c>
      <c r="N90" s="89" t="inlineStr">
        <is>
          <t>📈 Good</t>
        </is>
      </c>
      <c r="O90" s="89" t="inlineStr">
        <is>
          <t>🔴 Not Qualified</t>
        </is>
      </c>
      <c r="P90" s="89" t="inlineStr">
        <is>
          <t>🔴 Avoid</t>
        </is>
      </c>
      <c r="Q90" s="68" t="inlineStr">
        <is>
          <t>FULL</t>
        </is>
      </c>
    </row>
    <row r="91" ht="16" customHeight="1">
      <c r="A91" s="90" t="n">
        <v>86</v>
      </c>
      <c r="B91" s="91" t="inlineStr">
        <is>
          <t>TATA India Pharma &amp; Healthcare Fund Regular Plan - Reinvestment of Income Distribution cum capital withdrawal option</t>
        </is>
      </c>
      <c r="C91" s="91" t="inlineStr">
        <is>
          <t>Tata Mutual Fund</t>
        </is>
      </c>
      <c r="D91" s="91" t="inlineStr">
        <is>
          <t>Sectoral/ Thematic</t>
        </is>
      </c>
      <c r="E91" s="92" t="n">
        <v>-1.09</v>
      </c>
      <c r="F91" s="93" t="n">
        <v>1.48</v>
      </c>
      <c r="G91" s="92" t="n">
        <v>-1.33</v>
      </c>
      <c r="H91" s="93" t="n">
        <v>0.73</v>
      </c>
      <c r="I91" s="93" t="n">
        <v>7.205410311233829</v>
      </c>
      <c r="J91" s="93" t="n">
        <v>74.67</v>
      </c>
      <c r="K91" s="73" t="n">
        <v>63.9</v>
      </c>
      <c r="L91" s="18" t="n">
        <v>0</v>
      </c>
      <c r="M91" s="19" t="n">
        <v>35.1</v>
      </c>
      <c r="N91" s="94" t="inlineStr">
        <is>
          <t>📈 Good</t>
        </is>
      </c>
      <c r="O91" s="94" t="inlineStr">
        <is>
          <t>🔴 Not Qualified</t>
        </is>
      </c>
      <c r="P91" s="94" t="inlineStr">
        <is>
          <t>🔴 Avoid</t>
        </is>
      </c>
      <c r="Q91" s="68" t="inlineStr">
        <is>
          <t>FULL</t>
        </is>
      </c>
    </row>
    <row r="92" ht="16" customHeight="1">
      <c r="A92" s="95" t="n">
        <v>88</v>
      </c>
      <c r="B92" s="96" t="inlineStr">
        <is>
          <t>Mirae Asset Infrastructure Fund - Regular Plan - Growth</t>
        </is>
      </c>
      <c r="C92" s="96" t="inlineStr">
        <is>
          <t>Mirae Asset Mutual Fund</t>
        </is>
      </c>
      <c r="D92" s="96" t="inlineStr">
        <is>
          <t>Sectoral/ Thematic</t>
        </is>
      </c>
      <c r="E92" s="97" t="n">
        <v>-2.99</v>
      </c>
      <c r="F92" s="98" t="n">
        <v>5.6</v>
      </c>
      <c r="G92" s="98" t="n">
        <v>3.95</v>
      </c>
      <c r="H92" s="98" t="n">
        <v>0</v>
      </c>
      <c r="I92" s="98" t="n">
        <v>0</v>
      </c>
      <c r="J92" s="98" t="n">
        <v>0</v>
      </c>
      <c r="K92" s="73" t="n">
        <v>63.2</v>
      </c>
      <c r="L92" s="18" t="n">
        <v>0</v>
      </c>
      <c r="M92" s="19" t="n">
        <v>34.8</v>
      </c>
      <c r="N92" s="99" t="inlineStr">
        <is>
          <t>📈 Good</t>
        </is>
      </c>
      <c r="O92" s="99" t="inlineStr">
        <is>
          <t>⏳ New Fund</t>
        </is>
      </c>
      <c r="P92" s="99" t="inlineStr">
        <is>
          <t>📈 Momentum Only</t>
        </is>
      </c>
      <c r="Q92" s="100" t="inlineStr">
        <is>
          <t>MOMENTUM_ONLY</t>
        </is>
      </c>
    </row>
    <row r="93" ht="16" customHeight="1">
      <c r="A93" s="90" t="n">
        <v>89</v>
      </c>
      <c r="B93" s="91" t="inlineStr">
        <is>
          <t>Tata Resources &amp; Energy Fund-Regular Plan-Growth</t>
        </is>
      </c>
      <c r="C93" s="91" t="inlineStr">
        <is>
          <t>Tata Mutual Fund</t>
        </is>
      </c>
      <c r="D93" s="91" t="inlineStr">
        <is>
          <t>Sectoral/ Thematic</t>
        </is>
      </c>
      <c r="E93" s="92" t="n">
        <v>-4.33</v>
      </c>
      <c r="F93" s="93" t="n">
        <v>3.72</v>
      </c>
      <c r="G93" s="93" t="n">
        <v>4.37</v>
      </c>
      <c r="H93" s="93" t="n">
        <v>4.78</v>
      </c>
      <c r="I93" s="93" t="n">
        <v>4.422219857652898</v>
      </c>
      <c r="J93" s="93" t="n">
        <v>57.66</v>
      </c>
      <c r="K93" s="73" t="n">
        <v>62.8</v>
      </c>
      <c r="L93" s="18" t="n">
        <v>0</v>
      </c>
      <c r="M93" s="19" t="n">
        <v>34.5</v>
      </c>
      <c r="N93" s="94" t="inlineStr">
        <is>
          <t>📈 Good</t>
        </is>
      </c>
      <c r="O93" s="94" t="inlineStr">
        <is>
          <t>🔴 Not Qualified</t>
        </is>
      </c>
      <c r="P93" s="94" t="inlineStr">
        <is>
          <t>🔴 Avoid</t>
        </is>
      </c>
      <c r="Q93" s="68" t="inlineStr">
        <is>
          <t>FULL</t>
        </is>
      </c>
    </row>
    <row r="94" ht="16" customHeight="1">
      <c r="A94" s="95" t="n">
        <v>90</v>
      </c>
      <c r="B94" s="96" t="inlineStr">
        <is>
          <t>Baroda BNP Paribas Manufacturing Fund - Regular Plan - Growth Option</t>
        </is>
      </c>
      <c r="C94" s="96" t="inlineStr">
        <is>
          <t>Baroda BNP Paribas Mutual Fund</t>
        </is>
      </c>
      <c r="D94" s="96" t="inlineStr">
        <is>
          <t>Sectoral/ Thematic</t>
        </is>
      </c>
      <c r="E94" s="97" t="n">
        <v>-4.29</v>
      </c>
      <c r="F94" s="98" t="n">
        <v>2.79</v>
      </c>
      <c r="G94" s="98" t="n">
        <v>3.23</v>
      </c>
      <c r="H94" s="98" t="n">
        <v>7.7</v>
      </c>
      <c r="I94" s="98" t="n">
        <v>0</v>
      </c>
      <c r="J94" s="98" t="n">
        <v>0</v>
      </c>
      <c r="K94" s="73" t="n">
        <v>61.9</v>
      </c>
      <c r="L94" s="18" t="n">
        <v>0</v>
      </c>
      <c r="M94" s="19" t="n">
        <v>34</v>
      </c>
      <c r="N94" s="99" t="inlineStr">
        <is>
          <t>📈 Good</t>
        </is>
      </c>
      <c r="O94" s="99" t="inlineStr">
        <is>
          <t>⏳ New Fund</t>
        </is>
      </c>
      <c r="P94" s="99" t="inlineStr">
        <is>
          <t>📈 Momentum Only</t>
        </is>
      </c>
      <c r="Q94" s="100" t="inlineStr">
        <is>
          <t>MOMENTUM_ONLY</t>
        </is>
      </c>
    </row>
    <row r="95" ht="16" customHeight="1">
      <c r="A95" s="90" t="n">
        <v>91</v>
      </c>
      <c r="B95" s="91" t="inlineStr">
        <is>
          <t>Sundaram Infrastructure Advantage Fund Regular Plan - Growth</t>
        </is>
      </c>
      <c r="C95" s="91" t="inlineStr">
        <is>
          <t>Sundaram Mutual Fund</t>
        </is>
      </c>
      <c r="D95" s="91" t="inlineStr">
        <is>
          <t>Sectoral/ Thematic</t>
        </is>
      </c>
      <c r="E95" s="92" t="n">
        <v>-3.28</v>
      </c>
      <c r="F95" s="93" t="n">
        <v>3.87</v>
      </c>
      <c r="G95" s="93" t="n">
        <v>2.43</v>
      </c>
      <c r="H95" s="93" t="n">
        <v>3.43</v>
      </c>
      <c r="I95" s="93" t="n">
        <v>2.878569196893488</v>
      </c>
      <c r="J95" s="93" t="n">
        <v>70.18000000000001</v>
      </c>
      <c r="K95" s="73" t="n">
        <v>61.8</v>
      </c>
      <c r="L95" s="18" t="n">
        <v>0</v>
      </c>
      <c r="M95" s="19" t="n">
        <v>34</v>
      </c>
      <c r="N95" s="94" t="inlineStr">
        <is>
          <t>📈 Good</t>
        </is>
      </c>
      <c r="O95" s="94" t="inlineStr">
        <is>
          <t>🔴 Not Qualified</t>
        </is>
      </c>
      <c r="P95" s="94" t="inlineStr">
        <is>
          <t>🔴 Avoid</t>
        </is>
      </c>
      <c r="Q95" s="68" t="inlineStr">
        <is>
          <t>FULL</t>
        </is>
      </c>
    </row>
    <row r="96" ht="16" customHeight="1">
      <c r="A96" s="95" t="n">
        <v>92</v>
      </c>
      <c r="B96" s="96" t="inlineStr">
        <is>
          <t>Motilal Oswal Infrastructure Fund-Regular-Growth</t>
        </is>
      </c>
      <c r="C96" s="96" t="inlineStr">
        <is>
          <t>Motilal Oswal Mutual Fund</t>
        </is>
      </c>
      <c r="D96" s="96" t="inlineStr">
        <is>
          <t>Sectoral/ Thematic</t>
        </is>
      </c>
      <c r="E96" s="97" t="n">
        <v>-4.12</v>
      </c>
      <c r="F96" s="98" t="n">
        <v>3.53</v>
      </c>
      <c r="G96" s="98" t="n">
        <v>2.95</v>
      </c>
      <c r="H96" s="98" t="n">
        <v>8.949999999999999</v>
      </c>
      <c r="I96" s="98" t="n">
        <v>0</v>
      </c>
      <c r="J96" s="98" t="n">
        <v>0</v>
      </c>
      <c r="K96" s="73" t="n">
        <v>61.7</v>
      </c>
      <c r="L96" s="18" t="n">
        <v>0</v>
      </c>
      <c r="M96" s="19" t="n">
        <v>33.9</v>
      </c>
      <c r="N96" s="99" t="inlineStr">
        <is>
          <t>📈 Good</t>
        </is>
      </c>
      <c r="O96" s="99" t="inlineStr">
        <is>
          <t>⏳ New Fund</t>
        </is>
      </c>
      <c r="P96" s="99" t="inlineStr">
        <is>
          <t>📈 Momentum Only</t>
        </is>
      </c>
      <c r="Q96" s="100" t="inlineStr">
        <is>
          <t>MOMENTUM_ONLY</t>
        </is>
      </c>
    </row>
    <row r="97" ht="16" customHeight="1">
      <c r="A97" s="90" t="n">
        <v>93</v>
      </c>
      <c r="B97" s="91" t="inlineStr">
        <is>
          <t>Tata India Consumer Fund-Regular Plan-Growth</t>
        </is>
      </c>
      <c r="C97" s="91" t="inlineStr">
        <is>
          <t>Tata Mutual Fund</t>
        </is>
      </c>
      <c r="D97" s="91" t="inlineStr">
        <is>
          <t>Sectoral/ Thematic</t>
        </is>
      </c>
      <c r="E97" s="92" t="n">
        <v>-2.37</v>
      </c>
      <c r="F97" s="93" t="n">
        <v>8.16</v>
      </c>
      <c r="G97" s="92" t="n">
        <v>-3.8</v>
      </c>
      <c r="H97" s="92" t="n">
        <v>-1.33</v>
      </c>
      <c r="I97" s="93" t="n">
        <v>3.778610512956848</v>
      </c>
      <c r="J97" s="93" t="n">
        <v>46.34</v>
      </c>
      <c r="K97" s="73" t="n">
        <v>61.3</v>
      </c>
      <c r="L97" s="18" t="n">
        <v>0</v>
      </c>
      <c r="M97" s="19" t="n">
        <v>33.7</v>
      </c>
      <c r="N97" s="94" t="inlineStr">
        <is>
          <t>📈 Good</t>
        </is>
      </c>
      <c r="O97" s="94" t="inlineStr">
        <is>
          <t>🔴 Not Qualified</t>
        </is>
      </c>
      <c r="P97" s="94" t="inlineStr">
        <is>
          <t>🔴 Avoid</t>
        </is>
      </c>
      <c r="Q97" s="68" t="inlineStr">
        <is>
          <t>FULL</t>
        </is>
      </c>
    </row>
    <row r="98" ht="16" customHeight="1">
      <c r="A98" s="85" t="n">
        <v>94</v>
      </c>
      <c r="B98" s="86" t="inlineStr">
        <is>
          <t>ICICI Prudential Commodities Fund - Growth Option</t>
        </is>
      </c>
      <c r="C98" s="86" t="inlineStr">
        <is>
          <t>ICICI Prudential Mutual Fund</t>
        </is>
      </c>
      <c r="D98" s="86" t="inlineStr">
        <is>
          <t>Sectoral/ Thematic</t>
        </is>
      </c>
      <c r="E98" s="87" t="n">
        <v>-4.51</v>
      </c>
      <c r="F98" s="88" t="n">
        <v>1.26</v>
      </c>
      <c r="G98" s="88" t="n">
        <v>5.05</v>
      </c>
      <c r="H98" s="88" t="n">
        <v>10.22</v>
      </c>
      <c r="I98" s="88" t="n">
        <v>5.000000000000004</v>
      </c>
      <c r="J98" s="88" t="n">
        <v>62.22</v>
      </c>
      <c r="K98" s="73" t="n">
        <v>61</v>
      </c>
      <c r="L98" s="18" t="n">
        <v>0</v>
      </c>
      <c r="M98" s="19" t="n">
        <v>33.6</v>
      </c>
      <c r="N98" s="89" t="inlineStr">
        <is>
          <t>📈 Good</t>
        </is>
      </c>
      <c r="O98" s="89" t="inlineStr">
        <is>
          <t>🔴 Not Qualified</t>
        </is>
      </c>
      <c r="P98" s="89" t="inlineStr">
        <is>
          <t>🔴 Avoid</t>
        </is>
      </c>
      <c r="Q98" s="68" t="inlineStr">
        <is>
          <t>FULL</t>
        </is>
      </c>
    </row>
    <row r="99" ht="16" customHeight="1">
      <c r="A99" s="95" t="n">
        <v>95</v>
      </c>
      <c r="B99" s="96" t="inlineStr">
        <is>
          <t>Groww Banking &amp; Financial Services Fund - Regular - Growth</t>
        </is>
      </c>
      <c r="C99" s="96" t="inlineStr">
        <is>
          <t>Groww Mutual Fund</t>
        </is>
      </c>
      <c r="D99" s="96" t="inlineStr">
        <is>
          <t>Sectoral/ Thematic</t>
        </is>
      </c>
      <c r="E99" s="97" t="n">
        <v>-3.12</v>
      </c>
      <c r="F99" s="98" t="n">
        <v>6.09</v>
      </c>
      <c r="G99" s="97" t="n">
        <v>-0.8</v>
      </c>
      <c r="H99" s="98" t="n">
        <v>0.78</v>
      </c>
      <c r="I99" s="98" t="n">
        <v>6.700515462672452</v>
      </c>
      <c r="J99" s="98" t="n">
        <v>0</v>
      </c>
      <c r="K99" s="73" t="n">
        <v>60.9</v>
      </c>
      <c r="L99" s="18" t="n">
        <v>0</v>
      </c>
      <c r="M99" s="19" t="n">
        <v>33.5</v>
      </c>
      <c r="N99" s="99" t="inlineStr">
        <is>
          <t>📈 Good</t>
        </is>
      </c>
      <c r="O99" s="99" t="inlineStr">
        <is>
          <t>⏳ New Fund</t>
        </is>
      </c>
      <c r="P99" s="99" t="inlineStr">
        <is>
          <t>📈 Momentum Only</t>
        </is>
      </c>
      <c r="Q99" s="100" t="inlineStr">
        <is>
          <t>MOMENTUM_ONLY</t>
        </is>
      </c>
    </row>
    <row r="100" ht="16" customHeight="1">
      <c r="A100" s="85" t="n">
        <v>96</v>
      </c>
      <c r="B100" s="86" t="inlineStr">
        <is>
          <t>ICICI Prudential Innovation Fund - Growth</t>
        </is>
      </c>
      <c r="C100" s="86" t="inlineStr">
        <is>
          <t>ICICI Prudential Mutual Fund</t>
        </is>
      </c>
      <c r="D100" s="86" t="inlineStr">
        <is>
          <t>Sectoral/ Thematic</t>
        </is>
      </c>
      <c r="E100" s="87" t="n">
        <v>-1.46</v>
      </c>
      <c r="F100" s="88" t="n">
        <v>4.72</v>
      </c>
      <c r="G100" s="87" t="n">
        <v>-5.01</v>
      </c>
      <c r="H100" s="87" t="n">
        <v>-0.33</v>
      </c>
      <c r="I100" s="88" t="n">
        <v>4.68046618161384</v>
      </c>
      <c r="J100" s="88" t="n">
        <v>74.73999999999999</v>
      </c>
      <c r="K100" s="73" t="n">
        <v>60.6</v>
      </c>
      <c r="L100" s="18" t="n">
        <v>0</v>
      </c>
      <c r="M100" s="19" t="n">
        <v>33.3</v>
      </c>
      <c r="N100" s="89" t="inlineStr">
        <is>
          <t>📈 Good</t>
        </is>
      </c>
      <c r="O100" s="89" t="inlineStr">
        <is>
          <t>🔴 Not Qualified</t>
        </is>
      </c>
      <c r="P100" s="89" t="inlineStr">
        <is>
          <t>🔴 Avoid</t>
        </is>
      </c>
      <c r="Q100" s="68" t="inlineStr">
        <is>
          <t>FULL</t>
        </is>
      </c>
    </row>
    <row r="101" ht="16" customHeight="1">
      <c r="A101" s="95" t="n">
        <v>97</v>
      </c>
      <c r="B101" s="96" t="inlineStr">
        <is>
          <t>Edelweiss Technology Fund - Regular Plan - Growth</t>
        </is>
      </c>
      <c r="C101" s="96" t="inlineStr">
        <is>
          <t>Edelweiss Mutual Fund</t>
        </is>
      </c>
      <c r="D101" s="96" t="inlineStr">
        <is>
          <t>Sectoral/ Thematic</t>
        </is>
      </c>
      <c r="E101" s="97" t="n">
        <v>-1.35</v>
      </c>
      <c r="F101" s="98" t="n">
        <v>8.460000000000001</v>
      </c>
      <c r="G101" s="97" t="n">
        <v>-7.26</v>
      </c>
      <c r="H101" s="97" t="n">
        <v>-0.27</v>
      </c>
      <c r="I101" s="98" t="n">
        <v>5.275828184821241</v>
      </c>
      <c r="J101" s="98" t="n">
        <v>0</v>
      </c>
      <c r="K101" s="73" t="n">
        <v>60.6</v>
      </c>
      <c r="L101" s="18" t="n">
        <v>0</v>
      </c>
      <c r="M101" s="19" t="n">
        <v>33.3</v>
      </c>
      <c r="N101" s="99" t="inlineStr">
        <is>
          <t>📈 Good</t>
        </is>
      </c>
      <c r="O101" s="99" t="inlineStr">
        <is>
          <t>⏳ New Fund</t>
        </is>
      </c>
      <c r="P101" s="99" t="inlineStr">
        <is>
          <t>📈 Momentum Only</t>
        </is>
      </c>
      <c r="Q101" s="100" t="inlineStr">
        <is>
          <t>MOMENTUM_ONLY</t>
        </is>
      </c>
    </row>
    <row r="102" ht="16" customHeight="1">
      <c r="A102" s="95" t="n">
        <v>98</v>
      </c>
      <c r="B102" s="96" t="inlineStr">
        <is>
          <t>Motilal Oswal Consumption Fund-Regular-Growth</t>
        </is>
      </c>
      <c r="C102" s="96" t="inlineStr">
        <is>
          <t>Motilal Oswal Mutual Fund</t>
        </is>
      </c>
      <c r="D102" s="96" t="inlineStr">
        <is>
          <t>Sectoral/ Thematic</t>
        </is>
      </c>
      <c r="E102" s="97" t="n">
        <v>-2.35</v>
      </c>
      <c r="F102" s="98" t="n">
        <v>9.18</v>
      </c>
      <c r="G102" s="97" t="n">
        <v>-5.72</v>
      </c>
      <c r="H102" s="98" t="n">
        <v>0</v>
      </c>
      <c r="I102" s="98" t="n">
        <v>0</v>
      </c>
      <c r="J102" s="98" t="n">
        <v>0</v>
      </c>
      <c r="K102" s="73" t="n">
        <v>60.5</v>
      </c>
      <c r="L102" s="18" t="n">
        <v>0</v>
      </c>
      <c r="M102" s="19" t="n">
        <v>33.3</v>
      </c>
      <c r="N102" s="99" t="inlineStr">
        <is>
          <t>📈 Good</t>
        </is>
      </c>
      <c r="O102" s="99" t="inlineStr">
        <is>
          <t>⏳ New Fund</t>
        </is>
      </c>
      <c r="P102" s="99" t="inlineStr">
        <is>
          <t>📈 Momentum Only</t>
        </is>
      </c>
      <c r="Q102" s="100" t="inlineStr">
        <is>
          <t>MOMENTUM_ONLY</t>
        </is>
      </c>
    </row>
    <row r="103" ht="16" customHeight="1">
      <c r="A103" s="95" t="n">
        <v>99</v>
      </c>
      <c r="B103" s="96" t="inlineStr">
        <is>
          <t>Union Business Cycle Fund - Regular Plan - Growth Option</t>
        </is>
      </c>
      <c r="C103" s="96" t="inlineStr">
        <is>
          <t>Union Mutual Fund</t>
        </is>
      </c>
      <c r="D103" s="96" t="inlineStr">
        <is>
          <t>Sectoral/ Thematic</t>
        </is>
      </c>
      <c r="E103" s="97" t="n">
        <v>-2.28</v>
      </c>
      <c r="F103" s="98" t="n">
        <v>4.12</v>
      </c>
      <c r="G103" s="97" t="n">
        <v>-1.94</v>
      </c>
      <c r="H103" s="98" t="n">
        <v>0</v>
      </c>
      <c r="I103" s="98" t="n">
        <v>0.9108517454887055</v>
      </c>
      <c r="J103" s="98" t="n">
        <v>0</v>
      </c>
      <c r="K103" s="73" t="n">
        <v>60.3</v>
      </c>
      <c r="L103" s="18" t="n">
        <v>0</v>
      </c>
      <c r="M103" s="19" t="n">
        <v>33.2</v>
      </c>
      <c r="N103" s="99" t="inlineStr">
        <is>
          <t>📈 Good</t>
        </is>
      </c>
      <c r="O103" s="99" t="inlineStr">
        <is>
          <t>⏳ New Fund</t>
        </is>
      </c>
      <c r="P103" s="99" t="inlineStr">
        <is>
          <t>📈 Momentum Only</t>
        </is>
      </c>
      <c r="Q103" s="100" t="inlineStr">
        <is>
          <t>MOMENTUM_ONLY</t>
        </is>
      </c>
    </row>
    <row r="104" ht="16" customHeight="1">
      <c r="A104" s="85" t="n">
        <v>100</v>
      </c>
      <c r="B104" s="86" t="inlineStr">
        <is>
          <t>CANARA ROBECO INFRASTRUCTURE FUND - REGULAR PLAN - GROWTH OPTION</t>
        </is>
      </c>
      <c r="C104" s="86" t="inlineStr">
        <is>
          <t>Canara Robeco Mutual Fund</t>
        </is>
      </c>
      <c r="D104" s="86" t="inlineStr">
        <is>
          <t>Sectoral/ Thematic</t>
        </is>
      </c>
      <c r="E104" s="87" t="n">
        <v>-3.52</v>
      </c>
      <c r="F104" s="88" t="n">
        <v>1.39</v>
      </c>
      <c r="G104" s="88" t="n">
        <v>4.03</v>
      </c>
      <c r="H104" s="88" t="n">
        <v>1.21</v>
      </c>
      <c r="I104" s="88" t="n">
        <v>3.169763012231441</v>
      </c>
      <c r="J104" s="88" t="n">
        <v>78.97</v>
      </c>
      <c r="K104" s="73" t="n">
        <v>58.1</v>
      </c>
      <c r="L104" s="18" t="n">
        <v>0</v>
      </c>
      <c r="M104" s="19" t="n">
        <v>32</v>
      </c>
      <c r="N104" s="89" t="inlineStr">
        <is>
          <t>➡️ Neutral</t>
        </is>
      </c>
      <c r="O104" s="89" t="inlineStr">
        <is>
          <t>🔴 Not Qualified</t>
        </is>
      </c>
      <c r="P104" s="89" t="inlineStr">
        <is>
          <t>🔴 Avoid</t>
        </is>
      </c>
      <c r="Q104" s="68" t="inlineStr">
        <is>
          <t>FULL</t>
        </is>
      </c>
    </row>
    <row r="105" ht="16" customHeight="1">
      <c r="A105" s="95" t="n">
        <v>101</v>
      </c>
      <c r="B105" s="96" t="inlineStr">
        <is>
          <t>Bajaj Finserv Banking and Financial Services Fund - Regular - Growth</t>
        </is>
      </c>
      <c r="C105" s="96" t="inlineStr">
        <is>
          <t>Bajaj Finserv Mutual Fund</t>
        </is>
      </c>
      <c r="D105" s="96" t="inlineStr">
        <is>
          <t>Sectoral/ Thematic</t>
        </is>
      </c>
      <c r="E105" s="97" t="n">
        <v>-0.59</v>
      </c>
      <c r="F105" s="98" t="n">
        <v>1.77</v>
      </c>
      <c r="G105" s="97" t="n">
        <v>-5.89</v>
      </c>
      <c r="H105" s="98" t="n">
        <v>0</v>
      </c>
      <c r="I105" s="98" t="n">
        <v>0</v>
      </c>
      <c r="J105" s="98" t="n">
        <v>0</v>
      </c>
      <c r="K105" s="73" t="n">
        <v>58</v>
      </c>
      <c r="L105" s="18" t="n">
        <v>0</v>
      </c>
      <c r="M105" s="19" t="n">
        <v>31.9</v>
      </c>
      <c r="N105" s="99" t="inlineStr">
        <is>
          <t>➡️ Neutral</t>
        </is>
      </c>
      <c r="O105" s="99" t="inlineStr">
        <is>
          <t>⏳ New Fund</t>
        </is>
      </c>
      <c r="P105" s="99" t="inlineStr">
        <is>
          <t>⏳ New Fund</t>
        </is>
      </c>
      <c r="Q105" s="100" t="inlineStr">
        <is>
          <t>MOMENTUM_ONLY</t>
        </is>
      </c>
    </row>
    <row r="106" ht="16" customHeight="1">
      <c r="A106" s="95" t="n">
        <v>102</v>
      </c>
      <c r="B106" s="96" t="inlineStr">
        <is>
          <t>quant Consumption Fund - Growth Option - Regular Plan</t>
        </is>
      </c>
      <c r="C106" s="96" t="inlineStr">
        <is>
          <t>quant Mutual Fund</t>
        </is>
      </c>
      <c r="D106" s="96" t="inlineStr">
        <is>
          <t>Sectoral/ Thematic</t>
        </is>
      </c>
      <c r="E106" s="97" t="n">
        <v>-1.81</v>
      </c>
      <c r="F106" s="98" t="n">
        <v>8.390000000000001</v>
      </c>
      <c r="G106" s="97" t="n">
        <v>-1.4</v>
      </c>
      <c r="H106" s="97" t="n">
        <v>-9.09</v>
      </c>
      <c r="I106" s="97" t="n">
        <v>-7.366312823033971</v>
      </c>
      <c r="J106" s="98" t="n">
        <v>0</v>
      </c>
      <c r="K106" s="73" t="n">
        <v>57.7</v>
      </c>
      <c r="L106" s="18" t="n">
        <v>0</v>
      </c>
      <c r="M106" s="19" t="n">
        <v>31.7</v>
      </c>
      <c r="N106" s="99" t="inlineStr">
        <is>
          <t>➡️ Neutral</t>
        </is>
      </c>
      <c r="O106" s="99" t="inlineStr">
        <is>
          <t>⏳ New Fund</t>
        </is>
      </c>
      <c r="P106" s="99" t="inlineStr">
        <is>
          <t>⏳ New Fund</t>
        </is>
      </c>
      <c r="Q106" s="100" t="inlineStr">
        <is>
          <t>MOMENTUM_ONLY</t>
        </is>
      </c>
    </row>
    <row r="107" ht="16" customHeight="1">
      <c r="A107" s="90" t="n">
        <v>103</v>
      </c>
      <c r="B107" s="91" t="inlineStr">
        <is>
          <t>Franklin India Opportunities Fund - Growth</t>
        </is>
      </c>
      <c r="C107" s="91" t="inlineStr">
        <is>
          <t>Franklin Templeton Mutual Fund</t>
        </is>
      </c>
      <c r="D107" s="91" t="inlineStr">
        <is>
          <t>Sectoral/ Thematic</t>
        </is>
      </c>
      <c r="E107" s="92" t="n">
        <v>-1.78</v>
      </c>
      <c r="F107" s="93" t="n">
        <v>3.43</v>
      </c>
      <c r="G107" s="92" t="n">
        <v>-4.48</v>
      </c>
      <c r="H107" s="92" t="n">
        <v>-1.86</v>
      </c>
      <c r="I107" s="93" t="n">
        <v>3.174609279609109</v>
      </c>
      <c r="J107" s="93" t="n">
        <v>81.03</v>
      </c>
      <c r="K107" s="73" t="n">
        <v>57.6</v>
      </c>
      <c r="L107" s="18" t="n">
        <v>0</v>
      </c>
      <c r="M107" s="19" t="n">
        <v>31.7</v>
      </c>
      <c r="N107" s="94" t="inlineStr">
        <is>
          <t>➡️ Neutral</t>
        </is>
      </c>
      <c r="O107" s="94" t="inlineStr">
        <is>
          <t>🔴 Not Qualified</t>
        </is>
      </c>
      <c r="P107" s="94" t="inlineStr">
        <is>
          <t>🔴 Avoid</t>
        </is>
      </c>
      <c r="Q107" s="68" t="inlineStr">
        <is>
          <t>FULL</t>
        </is>
      </c>
    </row>
    <row r="108" ht="16" customHeight="1">
      <c r="A108" s="95" t="n">
        <v>104</v>
      </c>
      <c r="B108" s="96" t="inlineStr">
        <is>
          <t>HDFC Manufacturing fund - Growth Option - Regular Plan</t>
        </is>
      </c>
      <c r="C108" s="96" t="inlineStr">
        <is>
          <t>HDFC Mutual Fund</t>
        </is>
      </c>
      <c r="D108" s="96" t="inlineStr">
        <is>
          <t>Sectoral/ Thematic</t>
        </is>
      </c>
      <c r="E108" s="97" t="n">
        <v>-3.44</v>
      </c>
      <c r="F108" s="98" t="n">
        <v>3.45</v>
      </c>
      <c r="G108" s="97" t="n">
        <v>-0.25</v>
      </c>
      <c r="H108" s="98" t="n">
        <v>3.47</v>
      </c>
      <c r="I108" s="98" t="n">
        <v>2.308357429879604</v>
      </c>
      <c r="J108" s="98" t="n">
        <v>0</v>
      </c>
      <c r="K108" s="73" t="n">
        <v>57.3</v>
      </c>
      <c r="L108" s="18" t="n">
        <v>0</v>
      </c>
      <c r="M108" s="19" t="n">
        <v>31.5</v>
      </c>
      <c r="N108" s="99" t="inlineStr">
        <is>
          <t>➡️ Neutral</t>
        </is>
      </c>
      <c r="O108" s="99" t="inlineStr">
        <is>
          <t>⏳ New Fund</t>
        </is>
      </c>
      <c r="P108" s="99" t="inlineStr">
        <is>
          <t>⏳ New Fund</t>
        </is>
      </c>
      <c r="Q108" s="100" t="inlineStr">
        <is>
          <t>MOMENTUM_ONLY</t>
        </is>
      </c>
    </row>
    <row r="109" ht="16" customHeight="1">
      <c r="A109" s="90" t="n">
        <v>105</v>
      </c>
      <c r="B109" s="91" t="inlineStr">
        <is>
          <t>Aditya Birla Sun Life PSU Equity Fund-Regular Plan-Growth</t>
        </is>
      </c>
      <c r="C109" s="91" t="inlineStr">
        <is>
          <t>Aditya Birla Sun Life Mutual Fund</t>
        </is>
      </c>
      <c r="D109" s="91" t="inlineStr">
        <is>
          <t>Sectoral/ Thematic</t>
        </is>
      </c>
      <c r="E109" s="92" t="n">
        <v>-3.35</v>
      </c>
      <c r="F109" s="92" t="n">
        <v>-1.87</v>
      </c>
      <c r="G109" s="93" t="n">
        <v>4.29</v>
      </c>
      <c r="H109" s="93" t="n">
        <v>4.45</v>
      </c>
      <c r="I109" s="93" t="n">
        <v>1.419919148064785</v>
      </c>
      <c r="J109" s="93" t="n">
        <v>95.89</v>
      </c>
      <c r="K109" s="73" t="n">
        <v>57.2</v>
      </c>
      <c r="L109" s="18" t="n">
        <v>0</v>
      </c>
      <c r="M109" s="19" t="n">
        <v>31.5</v>
      </c>
      <c r="N109" s="94" t="inlineStr">
        <is>
          <t>➡️ Neutral</t>
        </is>
      </c>
      <c r="O109" s="94" t="inlineStr">
        <is>
          <t>🔴 Not Qualified</t>
        </is>
      </c>
      <c r="P109" s="94" t="inlineStr">
        <is>
          <t>🔴 Avoid</t>
        </is>
      </c>
      <c r="Q109" s="68" t="inlineStr">
        <is>
          <t>FULL</t>
        </is>
      </c>
    </row>
    <row r="110" ht="16" customHeight="1">
      <c r="A110" s="85" t="n">
        <v>106</v>
      </c>
      <c r="B110" s="86" t="inlineStr">
        <is>
          <t>Aditya Birla Sun Life Business Cycle Fund-Regular-Growth</t>
        </is>
      </c>
      <c r="C110" s="86" t="inlineStr">
        <is>
          <t>Aditya Birla Sun Life Mutual Fund</t>
        </is>
      </c>
      <c r="D110" s="86" t="inlineStr">
        <is>
          <t>Sectoral/ Thematic</t>
        </is>
      </c>
      <c r="E110" s="87" t="n">
        <v>-1.33</v>
      </c>
      <c r="F110" s="88" t="n">
        <v>2.71</v>
      </c>
      <c r="G110" s="87" t="n">
        <v>-4.4</v>
      </c>
      <c r="H110" s="87" t="n">
        <v>-2.63</v>
      </c>
      <c r="I110" s="88" t="n">
        <v>2.747262737262246</v>
      </c>
      <c r="J110" s="88" t="n">
        <v>39.4</v>
      </c>
      <c r="K110" s="73" t="n">
        <v>57.1</v>
      </c>
      <c r="L110" s="18" t="n">
        <v>0</v>
      </c>
      <c r="M110" s="19" t="n">
        <v>31.4</v>
      </c>
      <c r="N110" s="89" t="inlineStr">
        <is>
          <t>➡️ Neutral</t>
        </is>
      </c>
      <c r="O110" s="89" t="inlineStr">
        <is>
          <t>🔴 Not Qualified</t>
        </is>
      </c>
      <c r="P110" s="89" t="inlineStr">
        <is>
          <t>🔴 Avoid</t>
        </is>
      </c>
      <c r="Q110" s="68" t="inlineStr">
        <is>
          <t>FULL</t>
        </is>
      </c>
    </row>
    <row r="111" ht="16" customHeight="1">
      <c r="A111" s="95" t="n">
        <v>107</v>
      </c>
      <c r="B111" s="96" t="inlineStr">
        <is>
          <t>Nippon India MNC Fund- Regular Plan-Growth Option</t>
        </is>
      </c>
      <c r="C111" s="96" t="inlineStr">
        <is>
          <t>Nippon India Mutual Fund</t>
        </is>
      </c>
      <c r="D111" s="96" t="inlineStr">
        <is>
          <t>Sectoral/ Thematic</t>
        </is>
      </c>
      <c r="E111" s="97" t="n">
        <v>-2.04</v>
      </c>
      <c r="F111" s="98" t="n">
        <v>2.64</v>
      </c>
      <c r="G111" s="97" t="n">
        <v>-3.62</v>
      </c>
      <c r="H111" s="98" t="n">
        <v>0</v>
      </c>
      <c r="I111" s="98" t="n">
        <v>0</v>
      </c>
      <c r="J111" s="98" t="n">
        <v>0</v>
      </c>
      <c r="K111" s="73" t="n">
        <v>57</v>
      </c>
      <c r="L111" s="18" t="n">
        <v>0</v>
      </c>
      <c r="M111" s="19" t="n">
        <v>31.3</v>
      </c>
      <c r="N111" s="99" t="inlineStr">
        <is>
          <t>➡️ Neutral</t>
        </is>
      </c>
      <c r="O111" s="99" t="inlineStr">
        <is>
          <t>⏳ New Fund</t>
        </is>
      </c>
      <c r="P111" s="99" t="inlineStr">
        <is>
          <t>⏳ New Fund</t>
        </is>
      </c>
      <c r="Q111" s="100" t="inlineStr">
        <is>
          <t>MOMENTUM_ONLY</t>
        </is>
      </c>
    </row>
    <row r="112" ht="16" customHeight="1">
      <c r="A112" s="95" t="n">
        <v>108</v>
      </c>
      <c r="B112" s="96" t="inlineStr">
        <is>
          <t>Mahindra Manulife Business Cycle Fund-  Regular Plan - Growth</t>
        </is>
      </c>
      <c r="C112" s="96" t="inlineStr">
        <is>
          <t>Mahindra Manulife Mutual Fund</t>
        </is>
      </c>
      <c r="D112" s="96" t="inlineStr">
        <is>
          <t>Sectoral/ Thematic</t>
        </is>
      </c>
      <c r="E112" s="97" t="n">
        <v>-2.62</v>
      </c>
      <c r="F112" s="98" t="n">
        <v>1.48</v>
      </c>
      <c r="G112" s="97" t="n">
        <v>-1.44</v>
      </c>
      <c r="H112" s="98" t="n">
        <v>1.88</v>
      </c>
      <c r="I112" s="98" t="n">
        <v>3.788245962632963</v>
      </c>
      <c r="J112" s="98" t="n">
        <v>0</v>
      </c>
      <c r="K112" s="73" t="n">
        <v>56.8</v>
      </c>
      <c r="L112" s="18" t="n">
        <v>0</v>
      </c>
      <c r="M112" s="19" t="n">
        <v>31.2</v>
      </c>
      <c r="N112" s="99" t="inlineStr">
        <is>
          <t>➡️ Neutral</t>
        </is>
      </c>
      <c r="O112" s="99" t="inlineStr">
        <is>
          <t>⏳ New Fund</t>
        </is>
      </c>
      <c r="P112" s="99" t="inlineStr">
        <is>
          <t>⏳ New Fund</t>
        </is>
      </c>
      <c r="Q112" s="100" t="inlineStr">
        <is>
          <t>MOMENTUM_ONLY</t>
        </is>
      </c>
    </row>
    <row r="113" ht="16" customHeight="1">
      <c r="A113" s="95" t="n">
        <v>109</v>
      </c>
      <c r="B113" s="96" t="inlineStr">
        <is>
          <t>Mahindra Manulife Manufacturing Fund - Regular Plan - Growth</t>
        </is>
      </c>
      <c r="C113" s="96" t="inlineStr">
        <is>
          <t>Mahindra Manulife Mutual Fund</t>
        </is>
      </c>
      <c r="D113" s="96" t="inlineStr">
        <is>
          <t>Sectoral/ Thematic</t>
        </is>
      </c>
      <c r="E113" s="97" t="n">
        <v>-3.5</v>
      </c>
      <c r="F113" s="98" t="n">
        <v>3.71</v>
      </c>
      <c r="G113" s="98" t="n">
        <v>0.04</v>
      </c>
      <c r="H113" s="98" t="n">
        <v>1.73</v>
      </c>
      <c r="I113" s="98" t="n">
        <v>0</v>
      </c>
      <c r="J113" s="98" t="n">
        <v>0</v>
      </c>
      <c r="K113" s="73" t="n">
        <v>56.6</v>
      </c>
      <c r="L113" s="18" t="n">
        <v>0</v>
      </c>
      <c r="M113" s="19" t="n">
        <v>31.1</v>
      </c>
      <c r="N113" s="99" t="inlineStr">
        <is>
          <t>➡️ Neutral</t>
        </is>
      </c>
      <c r="O113" s="99" t="inlineStr">
        <is>
          <t>⏳ New Fund</t>
        </is>
      </c>
      <c r="P113" s="99" t="inlineStr">
        <is>
          <t>⏳ New Fund</t>
        </is>
      </c>
      <c r="Q113" s="100" t="inlineStr">
        <is>
          <t>MOMENTUM_ONLY</t>
        </is>
      </c>
    </row>
    <row r="114" ht="16" customHeight="1">
      <c r="A114" s="85" t="n">
        <v>110</v>
      </c>
      <c r="B114" s="86" t="inlineStr">
        <is>
          <t>SBI PSU Fund - REGULAR PLAN -Growth</t>
        </is>
      </c>
      <c r="C114" s="86" t="inlineStr">
        <is>
          <t>SBI Mutual Fund</t>
        </is>
      </c>
      <c r="D114" s="86" t="inlineStr">
        <is>
          <t>Sectoral/ Thematic</t>
        </is>
      </c>
      <c r="E114" s="87" t="n">
        <v>-2.86</v>
      </c>
      <c r="F114" s="87" t="n">
        <v>-3.83</v>
      </c>
      <c r="G114" s="88" t="n">
        <v>3.23</v>
      </c>
      <c r="H114" s="88" t="n">
        <v>4.46</v>
      </c>
      <c r="I114" s="88" t="n">
        <v>3.489129863962037</v>
      </c>
      <c r="J114" s="88" t="n">
        <v>110.41</v>
      </c>
      <c r="K114" s="73" t="n">
        <v>55.9</v>
      </c>
      <c r="L114" s="18" t="n">
        <v>0</v>
      </c>
      <c r="M114" s="19" t="n">
        <v>30.7</v>
      </c>
      <c r="N114" s="89" t="inlineStr">
        <is>
          <t>➡️ Neutral</t>
        </is>
      </c>
      <c r="O114" s="89" t="inlineStr">
        <is>
          <t>🔴 Not Qualified</t>
        </is>
      </c>
      <c r="P114" s="89" t="inlineStr">
        <is>
          <t>🔴 Avoid</t>
        </is>
      </c>
      <c r="Q114" s="68" t="inlineStr">
        <is>
          <t>FULL</t>
        </is>
      </c>
    </row>
    <row r="115" ht="16" customHeight="1">
      <c r="A115" s="90" t="n">
        <v>111</v>
      </c>
      <c r="B115" s="91" t="inlineStr">
        <is>
          <t>HSBC Infrastructure Fund - Regular Growth</t>
        </is>
      </c>
      <c r="C115" s="91" t="inlineStr">
        <is>
          <t>HSBC Mutual Fund</t>
        </is>
      </c>
      <c r="D115" s="91" t="inlineStr">
        <is>
          <t>Sectoral/ Thematic</t>
        </is>
      </c>
      <c r="E115" s="92" t="n">
        <v>-4.15</v>
      </c>
      <c r="F115" s="93" t="n">
        <v>5</v>
      </c>
      <c r="G115" s="93" t="n">
        <v>4.4</v>
      </c>
      <c r="H115" s="92" t="n">
        <v>-0.87</v>
      </c>
      <c r="I115" s="92" t="n">
        <v>-0.9091326105175379</v>
      </c>
      <c r="J115" s="93" t="n">
        <v>63.44</v>
      </c>
      <c r="K115" s="73" t="n">
        <v>55.7</v>
      </c>
      <c r="L115" s="18" t="n">
        <v>0</v>
      </c>
      <c r="M115" s="19" t="n">
        <v>30.6</v>
      </c>
      <c r="N115" s="94" t="inlineStr">
        <is>
          <t>➡️ Neutral</t>
        </is>
      </c>
      <c r="O115" s="94" t="inlineStr">
        <is>
          <t>🔴 Not Qualified</t>
        </is>
      </c>
      <c r="P115" s="94" t="inlineStr">
        <is>
          <t>🔴 Avoid</t>
        </is>
      </c>
      <c r="Q115" s="68" t="inlineStr">
        <is>
          <t>FULL</t>
        </is>
      </c>
    </row>
    <row r="116" ht="16" customHeight="1">
      <c r="A116" s="85" t="n">
        <v>112</v>
      </c>
      <c r="B116" s="86" t="inlineStr">
        <is>
          <t>UTI - MNC Fund - Regular Plan - Growth Option</t>
        </is>
      </c>
      <c r="C116" s="86" t="inlineStr">
        <is>
          <t>UTI Mutual Fund</t>
        </is>
      </c>
      <c r="D116" s="86" t="inlineStr">
        <is>
          <t>Sectoral/ Thematic</t>
        </is>
      </c>
      <c r="E116" s="87" t="n">
        <v>-1.68</v>
      </c>
      <c r="F116" s="88" t="n">
        <v>3.1</v>
      </c>
      <c r="G116" s="87" t="n">
        <v>-5.42</v>
      </c>
      <c r="H116" s="87" t="n">
        <v>-1.94</v>
      </c>
      <c r="I116" s="87" t="n">
        <v>-0.8637301488501614</v>
      </c>
      <c r="J116" s="88" t="n">
        <v>31.33</v>
      </c>
      <c r="K116" s="73" t="n">
        <v>55.7</v>
      </c>
      <c r="L116" s="18" t="n">
        <v>0</v>
      </c>
      <c r="M116" s="19" t="n">
        <v>30.6</v>
      </c>
      <c r="N116" s="89" t="inlineStr">
        <is>
          <t>➡️ Neutral</t>
        </is>
      </c>
      <c r="O116" s="89" t="inlineStr">
        <is>
          <t>🔴 Not Qualified</t>
        </is>
      </c>
      <c r="P116" s="89" t="inlineStr">
        <is>
          <t>🔴 Avoid</t>
        </is>
      </c>
      <c r="Q116" s="68" t="inlineStr">
        <is>
          <t>FULL</t>
        </is>
      </c>
    </row>
    <row r="117" ht="16" customHeight="1">
      <c r="A117" s="90" t="n">
        <v>113</v>
      </c>
      <c r="B117" s="91" t="inlineStr">
        <is>
          <t>Kotak Infrastructure &amp; Economic Reform Fund - Standard Plan-Growth</t>
        </is>
      </c>
      <c r="C117" s="91" t="inlineStr">
        <is>
          <t>Kotak Mahindra Mutual Fund</t>
        </is>
      </c>
      <c r="D117" s="91" t="inlineStr">
        <is>
          <t>Sectoral/ Thematic</t>
        </is>
      </c>
      <c r="E117" s="92" t="n">
        <v>-2.98</v>
      </c>
      <c r="F117" s="93" t="n">
        <v>3.91</v>
      </c>
      <c r="G117" s="93" t="n">
        <v>0.31</v>
      </c>
      <c r="H117" s="92" t="n">
        <v>-1.96</v>
      </c>
      <c r="I117" s="92" t="n">
        <v>-1.491117151801991</v>
      </c>
      <c r="J117" s="93" t="n">
        <v>54.24</v>
      </c>
      <c r="K117" s="73" t="n">
        <v>55.6</v>
      </c>
      <c r="L117" s="18" t="n">
        <v>0</v>
      </c>
      <c r="M117" s="19" t="n">
        <v>30.6</v>
      </c>
      <c r="N117" s="94" t="inlineStr">
        <is>
          <t>➡️ Neutral</t>
        </is>
      </c>
      <c r="O117" s="94" t="inlineStr">
        <is>
          <t>🔴 Not Qualified</t>
        </is>
      </c>
      <c r="P117" s="94" t="inlineStr">
        <is>
          <t>🔴 Avoid</t>
        </is>
      </c>
      <c r="Q117" s="68" t="inlineStr">
        <is>
          <t>FULL</t>
        </is>
      </c>
    </row>
    <row r="118" ht="16" customHeight="1">
      <c r="A118" s="85" t="n">
        <v>114</v>
      </c>
      <c r="B118" s="86" t="inlineStr">
        <is>
          <t>Kotak Infrastructure &amp; Economic Reform Fund - Standard Plan-Payout of Income Distribution cum capital withdrawal option</t>
        </is>
      </c>
      <c r="C118" s="86" t="inlineStr">
        <is>
          <t>Kotak Mahindra Mutual Fund</t>
        </is>
      </c>
      <c r="D118" s="86" t="inlineStr">
        <is>
          <t>Sectoral/ Thematic</t>
        </is>
      </c>
      <c r="E118" s="87" t="n">
        <v>-2.98</v>
      </c>
      <c r="F118" s="88" t="n">
        <v>3.9</v>
      </c>
      <c r="G118" s="88" t="n">
        <v>0.31</v>
      </c>
      <c r="H118" s="87" t="n">
        <v>-1.96</v>
      </c>
      <c r="I118" s="87" t="n">
        <v>-1.491117151801991</v>
      </c>
      <c r="J118" s="88" t="n">
        <v>54.24</v>
      </c>
      <c r="K118" s="73" t="n">
        <v>55.5</v>
      </c>
      <c r="L118" s="18" t="n">
        <v>0</v>
      </c>
      <c r="M118" s="19" t="n">
        <v>30.5</v>
      </c>
      <c r="N118" s="89" t="inlineStr">
        <is>
          <t>➡️ Neutral</t>
        </is>
      </c>
      <c r="O118" s="89" t="inlineStr">
        <is>
          <t>🔴 Not Qualified</t>
        </is>
      </c>
      <c r="P118" s="89" t="inlineStr">
        <is>
          <t>🔴 Avoid</t>
        </is>
      </c>
      <c r="Q118" s="68" t="inlineStr">
        <is>
          <t>FULL</t>
        </is>
      </c>
    </row>
    <row r="119" ht="16" customHeight="1">
      <c r="A119" s="90" t="n">
        <v>115</v>
      </c>
      <c r="B119" s="91" t="inlineStr">
        <is>
          <t>ICICI PRUDENTIAL TRANSPORTATION AND LOGISTICS FUND - Growth</t>
        </is>
      </c>
      <c r="C119" s="91" t="inlineStr">
        <is>
          <t>ICICI Prudential Mutual Fund</t>
        </is>
      </c>
      <c r="D119" s="91" t="inlineStr">
        <is>
          <t>Sectoral/ Thematic</t>
        </is>
      </c>
      <c r="E119" s="92" t="n">
        <v>-3.09</v>
      </c>
      <c r="F119" s="93" t="n">
        <v>3.73</v>
      </c>
      <c r="G119" s="92" t="n">
        <v>-6.4</v>
      </c>
      <c r="H119" s="93" t="n">
        <v>5.88</v>
      </c>
      <c r="I119" s="93" t="n">
        <v>4.235310715707086</v>
      </c>
      <c r="J119" s="93" t="n">
        <v>73.75</v>
      </c>
      <c r="K119" s="73" t="n">
        <v>55.3</v>
      </c>
      <c r="L119" s="18" t="n">
        <v>0</v>
      </c>
      <c r="M119" s="19" t="n">
        <v>30.4</v>
      </c>
      <c r="N119" s="94" t="inlineStr">
        <is>
          <t>➡️ Neutral</t>
        </is>
      </c>
      <c r="O119" s="94" t="inlineStr">
        <is>
          <t>🔴 Not Qualified</t>
        </is>
      </c>
      <c r="P119" s="94" t="inlineStr">
        <is>
          <t>🔴 Avoid</t>
        </is>
      </c>
      <c r="Q119" s="68" t="inlineStr">
        <is>
          <t>FULL</t>
        </is>
      </c>
    </row>
    <row r="120" ht="16" customHeight="1">
      <c r="A120" s="95" t="n">
        <v>116</v>
      </c>
      <c r="B120" s="96" t="inlineStr">
        <is>
          <t>Bank of India Business Cycle Fund - Regular Plan - Growth</t>
        </is>
      </c>
      <c r="C120" s="96" t="inlineStr">
        <is>
          <t>Bank of India Mutual Fund</t>
        </is>
      </c>
      <c r="D120" s="96" t="inlineStr">
        <is>
          <t>Sectoral/ Thematic</t>
        </is>
      </c>
      <c r="E120" s="97" t="n">
        <v>-2.73</v>
      </c>
      <c r="F120" s="98" t="n">
        <v>5.08</v>
      </c>
      <c r="G120" s="97" t="n">
        <v>-1</v>
      </c>
      <c r="H120" s="97" t="n">
        <v>-3.89</v>
      </c>
      <c r="I120" s="98" t="n">
        <v>0</v>
      </c>
      <c r="J120" s="98" t="n">
        <v>0</v>
      </c>
      <c r="K120" s="73" t="n">
        <v>55</v>
      </c>
      <c r="L120" s="18" t="n">
        <v>0</v>
      </c>
      <c r="M120" s="19" t="n">
        <v>30.3</v>
      </c>
      <c r="N120" s="99" t="inlineStr">
        <is>
          <t>➡️ Neutral</t>
        </is>
      </c>
      <c r="O120" s="99" t="inlineStr">
        <is>
          <t>⏳ New Fund</t>
        </is>
      </c>
      <c r="P120" s="99" t="inlineStr">
        <is>
          <t>⏳ New Fund</t>
        </is>
      </c>
      <c r="Q120" s="100" t="inlineStr">
        <is>
          <t>MOMENTUM_ONLY</t>
        </is>
      </c>
    </row>
    <row r="121" ht="16" customHeight="1">
      <c r="A121" s="90" t="n">
        <v>117</v>
      </c>
      <c r="B121" s="91" t="inlineStr">
        <is>
          <t>Axis Innovation Fund - Regular Plan - Growth Option</t>
        </is>
      </c>
      <c r="C121" s="91" t="inlineStr">
        <is>
          <t>Axis Mutual Fund</t>
        </is>
      </c>
      <c r="D121" s="91" t="inlineStr">
        <is>
          <t>Sectoral/ Thematic</t>
        </is>
      </c>
      <c r="E121" s="92" t="n">
        <v>-3.64</v>
      </c>
      <c r="F121" s="93" t="n">
        <v>6.69</v>
      </c>
      <c r="G121" s="92" t="n">
        <v>-2.42</v>
      </c>
      <c r="H121" s="93" t="n">
        <v>0.11</v>
      </c>
      <c r="I121" s="93" t="n">
        <v>4.656581255074443</v>
      </c>
      <c r="J121" s="93" t="n">
        <v>46.32</v>
      </c>
      <c r="K121" s="73" t="n">
        <v>54.9</v>
      </c>
      <c r="L121" s="18" t="n">
        <v>0</v>
      </c>
      <c r="M121" s="19" t="n">
        <v>30.2</v>
      </c>
      <c r="N121" s="94" t="inlineStr">
        <is>
          <t>➡️ Neutral</t>
        </is>
      </c>
      <c r="O121" s="94" t="inlineStr">
        <is>
          <t>🔴 Not Qualified</t>
        </is>
      </c>
      <c r="P121" s="94" t="inlineStr">
        <is>
          <t>🔴 Avoid</t>
        </is>
      </c>
      <c r="Q121" s="68" t="inlineStr">
        <is>
          <t>FULL</t>
        </is>
      </c>
    </row>
    <row r="122" ht="16" customHeight="1">
      <c r="A122" s="85" t="n">
        <v>118</v>
      </c>
      <c r="B122" s="86" t="inlineStr">
        <is>
          <t>BANDHAN TRANSPORTATION AND LOGISTICS FUND - GROWTH - REGULAR PLAN</t>
        </is>
      </c>
      <c r="C122" s="86" t="inlineStr">
        <is>
          <t>Bandhan Mutual Fund</t>
        </is>
      </c>
      <c r="D122" s="86" t="inlineStr">
        <is>
          <t>Sectoral/ Thematic</t>
        </is>
      </c>
      <c r="E122" s="87" t="n">
        <v>-2.59</v>
      </c>
      <c r="F122" s="88" t="n">
        <v>1.44</v>
      </c>
      <c r="G122" s="87" t="n">
        <v>-6.58</v>
      </c>
      <c r="H122" s="88" t="n">
        <v>7.19</v>
      </c>
      <c r="I122" s="88" t="n">
        <v>1.887192521925929</v>
      </c>
      <c r="J122" s="88" t="n">
        <v>65.54000000000001</v>
      </c>
      <c r="K122" s="73" t="n">
        <v>54.5</v>
      </c>
      <c r="L122" s="18" t="n">
        <v>0</v>
      </c>
      <c r="M122" s="19" t="n">
        <v>30</v>
      </c>
      <c r="N122" s="89" t="inlineStr">
        <is>
          <t>➡️ Neutral</t>
        </is>
      </c>
      <c r="O122" s="89" t="inlineStr">
        <is>
          <t>🔴 Not Qualified</t>
        </is>
      </c>
      <c r="P122" s="89" t="inlineStr">
        <is>
          <t>🔴 Avoid</t>
        </is>
      </c>
      <c r="Q122" s="68" t="inlineStr">
        <is>
          <t>FULL</t>
        </is>
      </c>
    </row>
    <row r="123" ht="16" customHeight="1">
      <c r="A123" s="95" t="n">
        <v>119</v>
      </c>
      <c r="B123" s="96" t="inlineStr">
        <is>
          <t>quant PSU Fund - Growth Option - Regular Plan</t>
        </is>
      </c>
      <c r="C123" s="96" t="inlineStr">
        <is>
          <t>quant Mutual Fund</t>
        </is>
      </c>
      <c r="D123" s="96" t="inlineStr">
        <is>
          <t>Sectoral/ Thematic</t>
        </is>
      </c>
      <c r="E123" s="97" t="n">
        <v>-6.06</v>
      </c>
      <c r="F123" s="98" t="n">
        <v>8.359999999999999</v>
      </c>
      <c r="G123" s="98" t="n">
        <v>3.35</v>
      </c>
      <c r="H123" s="97" t="n">
        <v>-1.45</v>
      </c>
      <c r="I123" s="97" t="n">
        <v>-3.781498660600624</v>
      </c>
      <c r="J123" s="98" t="n">
        <v>0</v>
      </c>
      <c r="K123" s="73" t="n">
        <v>54.4</v>
      </c>
      <c r="L123" s="18" t="n">
        <v>0</v>
      </c>
      <c r="M123" s="19" t="n">
        <v>29.9</v>
      </c>
      <c r="N123" s="99" t="inlineStr">
        <is>
          <t>➡️ Neutral</t>
        </is>
      </c>
      <c r="O123" s="99" t="inlineStr">
        <is>
          <t>⏳ New Fund</t>
        </is>
      </c>
      <c r="P123" s="99" t="inlineStr">
        <is>
          <t>⏳ New Fund</t>
        </is>
      </c>
      <c r="Q123" s="100" t="inlineStr">
        <is>
          <t>MOMENTUM_ONLY</t>
        </is>
      </c>
    </row>
    <row r="124" ht="16" customHeight="1">
      <c r="A124" s="95" t="n">
        <v>120</v>
      </c>
      <c r="B124" s="96" t="inlineStr">
        <is>
          <t>DSP Banking &amp; Financial Services Fund - Regular - Growth</t>
        </is>
      </c>
      <c r="C124" s="96" t="inlineStr">
        <is>
          <t>DSP Mutual Fund</t>
        </is>
      </c>
      <c r="D124" s="96" t="inlineStr">
        <is>
          <t>Sectoral/ Thematic</t>
        </is>
      </c>
      <c r="E124" s="97" t="n">
        <v>-3.04</v>
      </c>
      <c r="F124" s="98" t="n">
        <v>2.03</v>
      </c>
      <c r="G124" s="97" t="n">
        <v>-2.6</v>
      </c>
      <c r="H124" s="98" t="n">
        <v>1.96</v>
      </c>
      <c r="I124" s="98" t="n">
        <v>13.54294341789806</v>
      </c>
      <c r="J124" s="98" t="n">
        <v>0</v>
      </c>
      <c r="K124" s="73" t="n">
        <v>54.2</v>
      </c>
      <c r="L124" s="18" t="n">
        <v>0</v>
      </c>
      <c r="M124" s="19" t="n">
        <v>29.8</v>
      </c>
      <c r="N124" s="99" t="inlineStr">
        <is>
          <t>➡️ Neutral</t>
        </is>
      </c>
      <c r="O124" s="99" t="inlineStr">
        <is>
          <t>⏳ New Fund</t>
        </is>
      </c>
      <c r="P124" s="99" t="inlineStr">
        <is>
          <t>⏳ New Fund</t>
        </is>
      </c>
      <c r="Q124" s="100" t="inlineStr">
        <is>
          <t>MOMENTUM_ONLY</t>
        </is>
      </c>
    </row>
    <row r="125" ht="16" customHeight="1">
      <c r="A125" s="95" t="n">
        <v>121</v>
      </c>
      <c r="B125" s="96" t="inlineStr">
        <is>
          <t>Aditya Birla Sun Life Quant Fund - Regular Growth</t>
        </is>
      </c>
      <c r="C125" s="96" t="inlineStr">
        <is>
          <t>Aditya Birla Sun Life Mutual Fund</t>
        </is>
      </c>
      <c r="D125" s="96" t="inlineStr">
        <is>
          <t>Sectoral/ Thematic</t>
        </is>
      </c>
      <c r="E125" s="97" t="n">
        <v>-2.72</v>
      </c>
      <c r="F125" s="98" t="n">
        <v>1.05</v>
      </c>
      <c r="G125" s="97" t="n">
        <v>-3.11</v>
      </c>
      <c r="H125" s="98" t="n">
        <v>1.9</v>
      </c>
      <c r="I125" s="98" t="n">
        <v>0</v>
      </c>
      <c r="J125" s="98" t="n">
        <v>0</v>
      </c>
      <c r="K125" s="73" t="n">
        <v>54</v>
      </c>
      <c r="L125" s="18" t="n">
        <v>0</v>
      </c>
      <c r="M125" s="19" t="n">
        <v>29.7</v>
      </c>
      <c r="N125" s="99" t="inlineStr">
        <is>
          <t>➡️ Neutral</t>
        </is>
      </c>
      <c r="O125" s="99" t="inlineStr">
        <is>
          <t>⏳ New Fund</t>
        </is>
      </c>
      <c r="P125" s="99" t="inlineStr">
        <is>
          <t>⏳ New Fund</t>
        </is>
      </c>
      <c r="Q125" s="100" t="inlineStr">
        <is>
          <t>MOMENTUM_ONLY</t>
        </is>
      </c>
    </row>
    <row r="126" ht="16" customHeight="1">
      <c r="A126" s="95" t="n">
        <v>122</v>
      </c>
      <c r="B126" s="96" t="inlineStr">
        <is>
          <t>Baroda BNP Paribas Innovation Fund Regular plan - Growth Option</t>
        </is>
      </c>
      <c r="C126" s="96" t="inlineStr">
        <is>
          <t>Baroda BNP Paribas Mutual Fund</t>
        </is>
      </c>
      <c r="D126" s="96" t="inlineStr">
        <is>
          <t>Sectoral/ Thematic</t>
        </is>
      </c>
      <c r="E126" s="97" t="n">
        <v>-3.91</v>
      </c>
      <c r="F126" s="98" t="n">
        <v>5.13</v>
      </c>
      <c r="G126" s="97" t="n">
        <v>-2.47</v>
      </c>
      <c r="H126" s="98" t="n">
        <v>2.31</v>
      </c>
      <c r="I126" s="98" t="n">
        <v>4.823661451029282</v>
      </c>
      <c r="J126" s="98" t="n">
        <v>0</v>
      </c>
      <c r="K126" s="73" t="n">
        <v>53.8</v>
      </c>
      <c r="L126" s="18" t="n">
        <v>0</v>
      </c>
      <c r="M126" s="19" t="n">
        <v>29.6</v>
      </c>
      <c r="N126" s="99" t="inlineStr">
        <is>
          <t>➡️ Neutral</t>
        </is>
      </c>
      <c r="O126" s="99" t="inlineStr">
        <is>
          <t>⏳ New Fund</t>
        </is>
      </c>
      <c r="P126" s="99" t="inlineStr">
        <is>
          <t>⏳ New Fund</t>
        </is>
      </c>
      <c r="Q126" s="100" t="inlineStr">
        <is>
          <t>MOMENTUM_ONLY</t>
        </is>
      </c>
    </row>
    <row r="127" ht="16" customHeight="1">
      <c r="A127" s="95" t="n">
        <v>123</v>
      </c>
      <c r="B127" s="96" t="inlineStr">
        <is>
          <t>Kotak Energy Opportunities Fund-Regular-Growth</t>
        </is>
      </c>
      <c r="C127" s="96" t="inlineStr">
        <is>
          <t>Kotak Mahindra Mutual Fund</t>
        </is>
      </c>
      <c r="D127" s="96" t="inlineStr">
        <is>
          <t>Sectoral/ Thematic</t>
        </is>
      </c>
      <c r="E127" s="97" t="n">
        <v>-3.44</v>
      </c>
      <c r="F127" s="98" t="n">
        <v>1.28</v>
      </c>
      <c r="G127" s="98" t="n">
        <v>2.83</v>
      </c>
      <c r="H127" s="97" t="n">
        <v>-0.2</v>
      </c>
      <c r="I127" s="98" t="n">
        <v>0</v>
      </c>
      <c r="J127" s="98" t="n">
        <v>0</v>
      </c>
      <c r="K127" s="73" t="n">
        <v>53.2</v>
      </c>
      <c r="L127" s="18" t="n">
        <v>0</v>
      </c>
      <c r="M127" s="19" t="n">
        <v>29.3</v>
      </c>
      <c r="N127" s="99" t="inlineStr">
        <is>
          <t>➡️ Neutral</t>
        </is>
      </c>
      <c r="O127" s="99" t="inlineStr">
        <is>
          <t>⏳ New Fund</t>
        </is>
      </c>
      <c r="P127" s="99" t="inlineStr">
        <is>
          <t>⏳ New Fund</t>
        </is>
      </c>
      <c r="Q127" s="100" t="inlineStr">
        <is>
          <t>MOMENTUM_ONLY</t>
        </is>
      </c>
    </row>
    <row r="128" ht="16" customHeight="1">
      <c r="A128" s="85" t="n">
        <v>124</v>
      </c>
      <c r="B128" s="86" t="inlineStr">
        <is>
          <t>Axis Quant Fund - Regular Plan - Growth</t>
        </is>
      </c>
      <c r="C128" s="86" t="inlineStr">
        <is>
          <t>Axis Mutual Fund</t>
        </is>
      </c>
      <c r="D128" s="86" t="inlineStr">
        <is>
          <t>Sectoral/ Thematic</t>
        </is>
      </c>
      <c r="E128" s="87" t="n">
        <v>-1.3</v>
      </c>
      <c r="F128" s="88" t="n">
        <v>2.01</v>
      </c>
      <c r="G128" s="87" t="n">
        <v>-5.59</v>
      </c>
      <c r="H128" s="87" t="n">
        <v>-3.24</v>
      </c>
      <c r="I128" s="87" t="n">
        <v>-2.501282059711163</v>
      </c>
      <c r="J128" s="88" t="n">
        <v>28.14</v>
      </c>
      <c r="K128" s="73" t="n">
        <v>52.9</v>
      </c>
      <c r="L128" s="18" t="n">
        <v>0</v>
      </c>
      <c r="M128" s="19" t="n">
        <v>29.1</v>
      </c>
      <c r="N128" s="89" t="inlineStr">
        <is>
          <t>➡️ Neutral</t>
        </is>
      </c>
      <c r="O128" s="89" t="inlineStr">
        <is>
          <t>🔴 Not Qualified</t>
        </is>
      </c>
      <c r="P128" s="89" t="inlineStr">
        <is>
          <t>🔴 Avoid</t>
        </is>
      </c>
      <c r="Q128" s="68" t="inlineStr">
        <is>
          <t>FULL</t>
        </is>
      </c>
    </row>
    <row r="129" ht="16" customHeight="1">
      <c r="A129" s="95" t="n">
        <v>125</v>
      </c>
      <c r="B129" s="96" t="inlineStr">
        <is>
          <t>Shriram Multi Sector Rotation Fund - Regular Plan Growth Option</t>
        </is>
      </c>
      <c r="C129" s="96" t="inlineStr">
        <is>
          <t>Shriram Mutual Fund</t>
        </is>
      </c>
      <c r="D129" s="96" t="inlineStr">
        <is>
          <t>Sectoral/ Thematic</t>
        </is>
      </c>
      <c r="E129" s="97" t="n">
        <v>-1.9</v>
      </c>
      <c r="F129" s="98" t="n">
        <v>3.22</v>
      </c>
      <c r="G129" s="97" t="n">
        <v>-4.8</v>
      </c>
      <c r="H129" s="97" t="n">
        <v>-4.34</v>
      </c>
      <c r="I129" s="98" t="n">
        <v>0</v>
      </c>
      <c r="J129" s="98" t="n">
        <v>0</v>
      </c>
      <c r="K129" s="73" t="n">
        <v>52.7</v>
      </c>
      <c r="L129" s="18" t="n">
        <v>0</v>
      </c>
      <c r="M129" s="19" t="n">
        <v>29</v>
      </c>
      <c r="N129" s="99" t="inlineStr">
        <is>
          <t>➡️ Neutral</t>
        </is>
      </c>
      <c r="O129" s="99" t="inlineStr">
        <is>
          <t>⏳ New Fund</t>
        </is>
      </c>
      <c r="P129" s="99" t="inlineStr">
        <is>
          <t>⏳ New Fund</t>
        </is>
      </c>
      <c r="Q129" s="100" t="inlineStr">
        <is>
          <t>MOMENTUM_ONLY</t>
        </is>
      </c>
    </row>
    <row r="130" ht="16" customHeight="1">
      <c r="A130" s="95" t="n">
        <v>126</v>
      </c>
      <c r="B130" s="96" t="inlineStr">
        <is>
          <t>HSBC Financial Services Fund - Regular Growth</t>
        </is>
      </c>
      <c r="C130" s="96" t="inlineStr">
        <is>
          <t>HSBC Mutual Fund</t>
        </is>
      </c>
      <c r="D130" s="96" t="inlineStr">
        <is>
          <t>Sectoral/ Thematic</t>
        </is>
      </c>
      <c r="E130" s="97" t="n">
        <v>-3.22</v>
      </c>
      <c r="F130" s="98" t="n">
        <v>2.36</v>
      </c>
      <c r="G130" s="97" t="n">
        <v>-1.97</v>
      </c>
      <c r="H130" s="98" t="n">
        <v>0.27</v>
      </c>
      <c r="I130" s="98" t="n">
        <v>0</v>
      </c>
      <c r="J130" s="98" t="n">
        <v>0</v>
      </c>
      <c r="K130" s="73" t="n">
        <v>52.6</v>
      </c>
      <c r="L130" s="18" t="n">
        <v>0</v>
      </c>
      <c r="M130" s="19" t="n">
        <v>28.9</v>
      </c>
      <c r="N130" s="99" t="inlineStr">
        <is>
          <t>➡️ Neutral</t>
        </is>
      </c>
      <c r="O130" s="99" t="inlineStr">
        <is>
          <t>⏳ New Fund</t>
        </is>
      </c>
      <c r="P130" s="99" t="inlineStr">
        <is>
          <t>⏳ New Fund</t>
        </is>
      </c>
      <c r="Q130" s="100" t="inlineStr">
        <is>
          <t>MOMENTUM_ONLY</t>
        </is>
      </c>
    </row>
    <row r="131" ht="16" customHeight="1">
      <c r="A131" s="95" t="n">
        <v>127</v>
      </c>
      <c r="B131" s="96" t="inlineStr">
        <is>
          <t>DSP Business Cycle Fund - Regular - Growth</t>
        </is>
      </c>
      <c r="C131" s="96" t="inlineStr">
        <is>
          <t>DSP Mutual Fund</t>
        </is>
      </c>
      <c r="D131" s="96" t="inlineStr">
        <is>
          <t>Sectoral/ Thematic</t>
        </is>
      </c>
      <c r="E131" s="97" t="n">
        <v>-2.5</v>
      </c>
      <c r="F131" s="98" t="n">
        <v>1.51</v>
      </c>
      <c r="G131" s="97" t="n">
        <v>-3.43</v>
      </c>
      <c r="H131" s="97" t="n">
        <v>-1.22</v>
      </c>
      <c r="I131" s="98" t="n">
        <v>0</v>
      </c>
      <c r="J131" s="98" t="n">
        <v>0</v>
      </c>
      <c r="K131" s="73" t="n">
        <v>52.4</v>
      </c>
      <c r="L131" s="18" t="n">
        <v>0</v>
      </c>
      <c r="M131" s="19" t="n">
        <v>28.8</v>
      </c>
      <c r="N131" s="99" t="inlineStr">
        <is>
          <t>➡️ Neutral</t>
        </is>
      </c>
      <c r="O131" s="99" t="inlineStr">
        <is>
          <t>⏳ New Fund</t>
        </is>
      </c>
      <c r="P131" s="99" t="inlineStr">
        <is>
          <t>⏳ New Fund</t>
        </is>
      </c>
      <c r="Q131" s="100" t="inlineStr">
        <is>
          <t>MOMENTUM_ONLY</t>
        </is>
      </c>
    </row>
    <row r="132" ht="16" customHeight="1">
      <c r="A132" s="85" t="n">
        <v>128</v>
      </c>
      <c r="B132" s="86" t="inlineStr">
        <is>
          <t>HDFC Business Cycle Fund - Growth Option</t>
        </is>
      </c>
      <c r="C132" s="86" t="inlineStr">
        <is>
          <t>HDFC Mutual Fund</t>
        </is>
      </c>
      <c r="D132" s="86" t="inlineStr">
        <is>
          <t>Sectoral/ Thematic</t>
        </is>
      </c>
      <c r="E132" s="87" t="n">
        <v>-2.18</v>
      </c>
      <c r="F132" s="88" t="n">
        <v>4.73</v>
      </c>
      <c r="G132" s="87" t="n">
        <v>-5.11</v>
      </c>
      <c r="H132" s="87" t="n">
        <v>-4.6</v>
      </c>
      <c r="I132" s="88" t="n">
        <v>1.000000000000001</v>
      </c>
      <c r="J132" s="88" t="n">
        <v>31.38</v>
      </c>
      <c r="K132" s="73" t="n">
        <v>52.2</v>
      </c>
      <c r="L132" s="18" t="n">
        <v>0</v>
      </c>
      <c r="M132" s="19" t="n">
        <v>28.7</v>
      </c>
      <c r="N132" s="89" t="inlineStr">
        <is>
          <t>➡️ Neutral</t>
        </is>
      </c>
      <c r="O132" s="89" t="inlineStr">
        <is>
          <t>🔴 Not Qualified</t>
        </is>
      </c>
      <c r="P132" s="89" t="inlineStr">
        <is>
          <t>🔴 Avoid</t>
        </is>
      </c>
      <c r="Q132" s="68" t="inlineStr">
        <is>
          <t>FULL</t>
        </is>
      </c>
    </row>
    <row r="133" ht="16" customHeight="1">
      <c r="A133" s="90" t="n">
        <v>129</v>
      </c>
      <c r="B133" s="91" t="inlineStr">
        <is>
          <t>BANDHAN Infrastructure Fund - Regular Plan - Growth</t>
        </is>
      </c>
      <c r="C133" s="91" t="inlineStr">
        <is>
          <t>Bandhan Mutual Fund</t>
        </is>
      </c>
      <c r="D133" s="91" t="inlineStr">
        <is>
          <t>Sectoral/ Thematic</t>
        </is>
      </c>
      <c r="E133" s="92" t="n">
        <v>-2.61</v>
      </c>
      <c r="F133" s="93" t="n">
        <v>5.06</v>
      </c>
      <c r="G133" s="92" t="n">
        <v>-0.71</v>
      </c>
      <c r="H133" s="92" t="n">
        <v>-7.49</v>
      </c>
      <c r="I133" s="92" t="n">
        <v>-3.454673857301616</v>
      </c>
      <c r="J133" s="93" t="n">
        <v>66.31</v>
      </c>
      <c r="K133" s="73" t="n">
        <v>51.9</v>
      </c>
      <c r="L133" s="18" t="n">
        <v>0</v>
      </c>
      <c r="M133" s="19" t="n">
        <v>28.6</v>
      </c>
      <c r="N133" s="94" t="inlineStr">
        <is>
          <t>➡️ Neutral</t>
        </is>
      </c>
      <c r="O133" s="94" t="inlineStr">
        <is>
          <t>🔴 Not Qualified</t>
        </is>
      </c>
      <c r="P133" s="94" t="inlineStr">
        <is>
          <t>🔴 Avoid</t>
        </is>
      </c>
      <c r="Q133" s="68" t="inlineStr">
        <is>
          <t>FULL</t>
        </is>
      </c>
    </row>
    <row r="134" ht="16" customHeight="1">
      <c r="A134" s="95" t="n">
        <v>130</v>
      </c>
      <c r="B134" s="96" t="inlineStr">
        <is>
          <t>Nippon India Innovation Fund-Regular Plan-Growth Option</t>
        </is>
      </c>
      <c r="C134" s="96" t="inlineStr">
        <is>
          <t>Nippon India Mutual Fund</t>
        </is>
      </c>
      <c r="D134" s="96" t="inlineStr">
        <is>
          <t>Sectoral/ Thematic</t>
        </is>
      </c>
      <c r="E134" s="97" t="n">
        <v>-2.12</v>
      </c>
      <c r="F134" s="98" t="n">
        <v>4.51</v>
      </c>
      <c r="G134" s="97" t="n">
        <v>-6.36</v>
      </c>
      <c r="H134" s="97" t="n">
        <v>-3.49</v>
      </c>
      <c r="I134" s="98" t="n">
        <v>0.6329965766696199</v>
      </c>
      <c r="J134" s="98" t="n">
        <v>0</v>
      </c>
      <c r="K134" s="73" t="n">
        <v>51.9</v>
      </c>
      <c r="L134" s="18" t="n">
        <v>0</v>
      </c>
      <c r="M134" s="19" t="n">
        <v>28.5</v>
      </c>
      <c r="N134" s="99" t="inlineStr">
        <is>
          <t>➡️ Neutral</t>
        </is>
      </c>
      <c r="O134" s="99" t="inlineStr">
        <is>
          <t>⏳ New Fund</t>
        </is>
      </c>
      <c r="P134" s="99" t="inlineStr">
        <is>
          <t>⏳ New Fund</t>
        </is>
      </c>
      <c r="Q134" s="100" t="inlineStr">
        <is>
          <t>MOMENTUM_ONLY</t>
        </is>
      </c>
    </row>
    <row r="135" ht="16" customHeight="1">
      <c r="A135" s="90" t="n">
        <v>131</v>
      </c>
      <c r="B135" s="91" t="inlineStr">
        <is>
          <t>Kotak Banking &amp; Financial Services Fund - Regular Plan - Growth</t>
        </is>
      </c>
      <c r="C135" s="91" t="inlineStr">
        <is>
          <t>Kotak Mahindra Mutual Fund</t>
        </is>
      </c>
      <c r="D135" s="91" t="inlineStr">
        <is>
          <t>Sectoral/ Thematic</t>
        </is>
      </c>
      <c r="E135" s="92" t="n">
        <v>-1.87</v>
      </c>
      <c r="F135" s="93" t="n">
        <v>0.72</v>
      </c>
      <c r="G135" s="92" t="n">
        <v>-4.7</v>
      </c>
      <c r="H135" s="92" t="n">
        <v>-1.86</v>
      </c>
      <c r="I135" s="93" t="n">
        <v>7.00934538627922</v>
      </c>
      <c r="J135" s="93" t="n">
        <v>38.54</v>
      </c>
      <c r="K135" s="73" t="n">
        <v>51.6</v>
      </c>
      <c r="L135" s="18" t="n">
        <v>0</v>
      </c>
      <c r="M135" s="19" t="n">
        <v>28.4</v>
      </c>
      <c r="N135" s="94" t="inlineStr">
        <is>
          <t>➡️ Neutral</t>
        </is>
      </c>
      <c r="O135" s="94" t="inlineStr">
        <is>
          <t>🔴 Not Qualified</t>
        </is>
      </c>
      <c r="P135" s="94" t="inlineStr">
        <is>
          <t>🔴 Avoid</t>
        </is>
      </c>
      <c r="Q135" s="68" t="inlineStr">
        <is>
          <t>FULL</t>
        </is>
      </c>
    </row>
    <row r="136" ht="16" customHeight="1">
      <c r="A136" s="95" t="n">
        <v>132</v>
      </c>
      <c r="B136" s="96" t="inlineStr">
        <is>
          <t>Aditya Birla Sun Life Conglomerate Fund-Regular Growth</t>
        </is>
      </c>
      <c r="C136" s="96" t="inlineStr">
        <is>
          <t>Aditya Birla Sun Life Mutual Fund</t>
        </is>
      </c>
      <c r="D136" s="96" t="inlineStr">
        <is>
          <t>Sectoral/ Thematic</t>
        </is>
      </c>
      <c r="E136" s="97" t="n">
        <v>-2.55</v>
      </c>
      <c r="F136" s="98" t="n">
        <v>6.07</v>
      </c>
      <c r="G136" s="97" t="n">
        <v>-5.5</v>
      </c>
      <c r="H136" s="97" t="n">
        <v>-4.45</v>
      </c>
      <c r="I136" s="98" t="n">
        <v>0</v>
      </c>
      <c r="J136" s="98" t="n">
        <v>0</v>
      </c>
      <c r="K136" s="73" t="n">
        <v>51.5</v>
      </c>
      <c r="L136" s="18" t="n">
        <v>0</v>
      </c>
      <c r="M136" s="19" t="n">
        <v>28.3</v>
      </c>
      <c r="N136" s="99" t="inlineStr">
        <is>
          <t>➡️ Neutral</t>
        </is>
      </c>
      <c r="O136" s="99" t="inlineStr">
        <is>
          <t>⏳ New Fund</t>
        </is>
      </c>
      <c r="P136" s="99" t="inlineStr">
        <is>
          <t>⏳ New Fund</t>
        </is>
      </c>
      <c r="Q136" s="100" t="inlineStr">
        <is>
          <t>MOMENTUM_ONLY</t>
        </is>
      </c>
    </row>
    <row r="137" ht="16" customHeight="1">
      <c r="A137" s="95" t="n">
        <v>133</v>
      </c>
      <c r="B137" s="96" t="inlineStr">
        <is>
          <t>quant Teck Fund - Growth Option - Regular Plan</t>
        </is>
      </c>
      <c r="C137" s="96" t="inlineStr">
        <is>
          <t>quant Mutual Fund</t>
        </is>
      </c>
      <c r="D137" s="96" t="inlineStr">
        <is>
          <t>Sectoral/ Thematic</t>
        </is>
      </c>
      <c r="E137" s="97" t="n">
        <v>-0.24</v>
      </c>
      <c r="F137" s="98" t="n">
        <v>19.89</v>
      </c>
      <c r="G137" s="97" t="n">
        <v>-8.880000000000001</v>
      </c>
      <c r="H137" s="97" t="n">
        <v>-19.67</v>
      </c>
      <c r="I137" s="97" t="n">
        <v>-7.820826647230128</v>
      </c>
      <c r="J137" s="98" t="n">
        <v>0</v>
      </c>
      <c r="K137" s="73" t="n">
        <v>51.3</v>
      </c>
      <c r="L137" s="18" t="n">
        <v>0</v>
      </c>
      <c r="M137" s="19" t="n">
        <v>28.2</v>
      </c>
      <c r="N137" s="99" t="inlineStr">
        <is>
          <t>➡️ Neutral</t>
        </is>
      </c>
      <c r="O137" s="99" t="inlineStr">
        <is>
          <t>⏳ New Fund</t>
        </is>
      </c>
      <c r="P137" s="99" t="inlineStr">
        <is>
          <t>⏳ New Fund</t>
        </is>
      </c>
      <c r="Q137" s="100" t="inlineStr">
        <is>
          <t>MOMENTUM_ONLY</t>
        </is>
      </c>
    </row>
    <row r="138" ht="16" customHeight="1">
      <c r="A138" s="85" t="n">
        <v>134</v>
      </c>
      <c r="B138" s="86" t="inlineStr">
        <is>
          <t>ICICI Prudential Infrastructure Fund - Growth</t>
        </is>
      </c>
      <c r="C138" s="86" t="inlineStr">
        <is>
          <t>ICICI Prudential Mutual Fund</t>
        </is>
      </c>
      <c r="D138" s="86" t="inlineStr">
        <is>
          <t>Sectoral/ Thematic</t>
        </is>
      </c>
      <c r="E138" s="87" t="n">
        <v>-3.3</v>
      </c>
      <c r="F138" s="88" t="n">
        <v>3.51</v>
      </c>
      <c r="G138" s="87" t="n">
        <v>-0.9399999999999999</v>
      </c>
      <c r="H138" s="87" t="n">
        <v>-2.67</v>
      </c>
      <c r="I138" s="88" t="n">
        <v>2.420701032554939</v>
      </c>
      <c r="J138" s="88" t="n">
        <v>75.06</v>
      </c>
      <c r="K138" s="73" t="n">
        <v>50.6</v>
      </c>
      <c r="L138" s="18" t="n">
        <v>0</v>
      </c>
      <c r="M138" s="19" t="n">
        <v>27.8</v>
      </c>
      <c r="N138" s="89" t="inlineStr">
        <is>
          <t>➡️ Neutral</t>
        </is>
      </c>
      <c r="O138" s="89" t="inlineStr">
        <is>
          <t>🔴 Not Qualified</t>
        </is>
      </c>
      <c r="P138" s="89" t="inlineStr">
        <is>
          <t>🔴 Avoid</t>
        </is>
      </c>
      <c r="Q138" s="68" t="inlineStr">
        <is>
          <t>FULL</t>
        </is>
      </c>
    </row>
    <row r="139" ht="16" customHeight="1">
      <c r="A139" s="90" t="n">
        <v>135</v>
      </c>
      <c r="B139" s="91" t="inlineStr">
        <is>
          <t>HDFC MNC Fund - Growth Option</t>
        </is>
      </c>
      <c r="C139" s="91" t="inlineStr">
        <is>
          <t>HDFC Mutual Fund</t>
        </is>
      </c>
      <c r="D139" s="91" t="inlineStr">
        <is>
          <t>Sectoral/ Thematic</t>
        </is>
      </c>
      <c r="E139" s="92" t="n">
        <v>-2.69</v>
      </c>
      <c r="F139" s="93" t="n">
        <v>2.46</v>
      </c>
      <c r="G139" s="92" t="n">
        <v>-3.54</v>
      </c>
      <c r="H139" s="92" t="n">
        <v>-2.23</v>
      </c>
      <c r="I139" s="92" t="n">
        <v>-4.104223242105187</v>
      </c>
      <c r="J139" s="93" t="n">
        <v>19.01</v>
      </c>
      <c r="K139" s="73" t="n">
        <v>50.2</v>
      </c>
      <c r="L139" s="18" t="n">
        <v>0</v>
      </c>
      <c r="M139" s="19" t="n">
        <v>27.6</v>
      </c>
      <c r="N139" s="94" t="inlineStr">
        <is>
          <t>➡️ Neutral</t>
        </is>
      </c>
      <c r="O139" s="94" t="inlineStr">
        <is>
          <t>🔴 Not Qualified</t>
        </is>
      </c>
      <c r="P139" s="94" t="inlineStr">
        <is>
          <t>🔴 Avoid</t>
        </is>
      </c>
      <c r="Q139" s="68" t="inlineStr">
        <is>
          <t>FULL</t>
        </is>
      </c>
    </row>
    <row r="140" ht="16" customHeight="1">
      <c r="A140" s="95" t="n">
        <v>136</v>
      </c>
      <c r="B140" s="96" t="inlineStr">
        <is>
          <t>ICICI Prudential Active Momentum Fund - Growth</t>
        </is>
      </c>
      <c r="C140" s="96" t="inlineStr">
        <is>
          <t>ICICI Prudential Mutual Fund</t>
        </is>
      </c>
      <c r="D140" s="96" t="inlineStr">
        <is>
          <t>Sectoral/ Thematic</t>
        </is>
      </c>
      <c r="E140" s="97" t="n">
        <v>-3.27</v>
      </c>
      <c r="F140" s="98" t="n">
        <v>1.87</v>
      </c>
      <c r="G140" s="97" t="n">
        <v>-1.34</v>
      </c>
      <c r="H140" s="98" t="n">
        <v>0</v>
      </c>
      <c r="I140" s="98" t="n">
        <v>0</v>
      </c>
      <c r="J140" s="98" t="n">
        <v>0</v>
      </c>
      <c r="K140" s="78" t="n">
        <v>49.9</v>
      </c>
      <c r="L140" s="18" t="n">
        <v>0</v>
      </c>
      <c r="M140" s="19" t="n">
        <v>27.5</v>
      </c>
      <c r="N140" s="99" t="inlineStr">
        <is>
          <t>➡️ Neutral</t>
        </is>
      </c>
      <c r="O140" s="99" t="inlineStr">
        <is>
          <t>⏳ New Fund</t>
        </is>
      </c>
      <c r="P140" s="99" t="inlineStr">
        <is>
          <t>⏳ New Fund</t>
        </is>
      </c>
      <c r="Q140" s="100" t="inlineStr">
        <is>
          <t>MOMENTUM_ONLY</t>
        </is>
      </c>
    </row>
    <row r="141" ht="16" customHeight="1">
      <c r="A141" s="95" t="n">
        <v>137</v>
      </c>
      <c r="B141" s="96" t="inlineStr">
        <is>
          <t>HDFC Transportation and Logistics Fund - Growth Option</t>
        </is>
      </c>
      <c r="C141" s="96" t="inlineStr">
        <is>
          <t>HDFC Mutual Fund</t>
        </is>
      </c>
      <c r="D141" s="96" t="inlineStr">
        <is>
          <t>Sectoral/ Thematic</t>
        </is>
      </c>
      <c r="E141" s="97" t="n">
        <v>-3.37</v>
      </c>
      <c r="F141" s="98" t="n">
        <v>1.9</v>
      </c>
      <c r="G141" s="97" t="n">
        <v>-6.86</v>
      </c>
      <c r="H141" s="98" t="n">
        <v>8.300000000000001</v>
      </c>
      <c r="I141" s="98" t="n">
        <v>4.857045542967686</v>
      </c>
      <c r="J141" s="98" t="n">
        <v>0</v>
      </c>
      <c r="K141" s="78" t="n">
        <v>49.7</v>
      </c>
      <c r="L141" s="18" t="n">
        <v>0</v>
      </c>
      <c r="M141" s="19" t="n">
        <v>27.4</v>
      </c>
      <c r="N141" s="99" t="inlineStr">
        <is>
          <t>➡️ Neutral</t>
        </is>
      </c>
      <c r="O141" s="99" t="inlineStr">
        <is>
          <t>⏳ New Fund</t>
        </is>
      </c>
      <c r="P141" s="99" t="inlineStr">
        <is>
          <t>⏳ New Fund</t>
        </is>
      </c>
      <c r="Q141" s="100" t="inlineStr">
        <is>
          <t>MOMENTUM_ONLY</t>
        </is>
      </c>
    </row>
    <row r="142" ht="16" customHeight="1">
      <c r="A142" s="95" t="n">
        <v>138</v>
      </c>
      <c r="B142" s="96" t="inlineStr">
        <is>
          <t>Kotak Active Momentum Fund - Regular Plan - Growth</t>
        </is>
      </c>
      <c r="C142" s="96" t="inlineStr">
        <is>
          <t>Kotak Mahindra Mutual Fund</t>
        </is>
      </c>
      <c r="D142" s="96" t="inlineStr">
        <is>
          <t>Sectoral/ Thematic</t>
        </is>
      </c>
      <c r="E142" s="97" t="n">
        <v>-3.16</v>
      </c>
      <c r="F142" s="98" t="n">
        <v>1.94</v>
      </c>
      <c r="G142" s="97" t="n">
        <v>-2.8</v>
      </c>
      <c r="H142" s="98" t="n">
        <v>0</v>
      </c>
      <c r="I142" s="98" t="n">
        <v>0</v>
      </c>
      <c r="J142" s="98" t="n">
        <v>0</v>
      </c>
      <c r="K142" s="78" t="n">
        <v>49.1</v>
      </c>
      <c r="L142" s="18" t="n">
        <v>0</v>
      </c>
      <c r="M142" s="19" t="n">
        <v>27</v>
      </c>
      <c r="N142" s="99" t="inlineStr">
        <is>
          <t>➡️ Neutral</t>
        </is>
      </c>
      <c r="O142" s="99" t="inlineStr">
        <is>
          <t>⏳ New Fund</t>
        </is>
      </c>
      <c r="P142" s="99" t="inlineStr">
        <is>
          <t>⏳ New Fund</t>
        </is>
      </c>
      <c r="Q142" s="100" t="inlineStr">
        <is>
          <t>MOMENTUM_ONLY</t>
        </is>
      </c>
    </row>
    <row r="143" ht="16" customHeight="1">
      <c r="A143" s="95" t="n">
        <v>139</v>
      </c>
      <c r="B143" s="96" t="inlineStr">
        <is>
          <t>Motilal Owsal Manufacturing Fund - Regular Plan - Growth</t>
        </is>
      </c>
      <c r="C143" s="96" t="inlineStr">
        <is>
          <t>Motilal Oswal Mutual Fund</t>
        </is>
      </c>
      <c r="D143" s="96" t="inlineStr">
        <is>
          <t>Sectoral/ Thematic</t>
        </is>
      </c>
      <c r="E143" s="97" t="n">
        <v>-3.28</v>
      </c>
      <c r="F143" s="98" t="n">
        <v>4.66</v>
      </c>
      <c r="G143" s="97" t="n">
        <v>-2.44</v>
      </c>
      <c r="H143" s="97" t="n">
        <v>-3.71</v>
      </c>
      <c r="I143" s="98" t="n">
        <v>0</v>
      </c>
      <c r="J143" s="98" t="n">
        <v>0</v>
      </c>
      <c r="K143" s="78" t="n">
        <v>49</v>
      </c>
      <c r="L143" s="18" t="n">
        <v>0</v>
      </c>
      <c r="M143" s="19" t="n">
        <v>27</v>
      </c>
      <c r="N143" s="99" t="inlineStr">
        <is>
          <t>➡️ Neutral</t>
        </is>
      </c>
      <c r="O143" s="99" t="inlineStr">
        <is>
          <t>⏳ New Fund</t>
        </is>
      </c>
      <c r="P143" s="99" t="inlineStr">
        <is>
          <t>⏳ New Fund</t>
        </is>
      </c>
      <c r="Q143" s="100" t="inlineStr">
        <is>
          <t>MOMENTUM_ONLY</t>
        </is>
      </c>
    </row>
    <row r="144" ht="16" customHeight="1">
      <c r="A144" s="85" t="n">
        <v>140</v>
      </c>
      <c r="B144" s="86" t="inlineStr">
        <is>
          <t>ICICI Prudential Exports &amp; Services Fund - Growth</t>
        </is>
      </c>
      <c r="C144" s="86" t="inlineStr">
        <is>
          <t>ICICI Prudential Mutual Fund</t>
        </is>
      </c>
      <c r="D144" s="86" t="inlineStr">
        <is>
          <t>Sectoral/ Thematic</t>
        </is>
      </c>
      <c r="E144" s="87" t="n">
        <v>-2.17</v>
      </c>
      <c r="F144" s="88" t="n">
        <v>2.41</v>
      </c>
      <c r="G144" s="87" t="n">
        <v>-6.08</v>
      </c>
      <c r="H144" s="87" t="n">
        <v>-3.55</v>
      </c>
      <c r="I144" s="88" t="n">
        <v>4.785495179437893</v>
      </c>
      <c r="J144" s="88" t="n">
        <v>57.48</v>
      </c>
      <c r="K144" s="78" t="n">
        <v>48.7</v>
      </c>
      <c r="L144" s="18" t="n">
        <v>0</v>
      </c>
      <c r="M144" s="19" t="n">
        <v>26.8</v>
      </c>
      <c r="N144" s="89" t="inlineStr">
        <is>
          <t>➡️ Neutral</t>
        </is>
      </c>
      <c r="O144" s="89" t="inlineStr">
        <is>
          <t>🔴 Not Qualified</t>
        </is>
      </c>
      <c r="P144" s="89" t="inlineStr">
        <is>
          <t>🔴 Avoid</t>
        </is>
      </c>
      <c r="Q144" s="68" t="inlineStr">
        <is>
          <t>FULL</t>
        </is>
      </c>
    </row>
    <row r="145" ht="16" customHeight="1">
      <c r="A145" s="90" t="n">
        <v>141</v>
      </c>
      <c r="B145" s="91" t="inlineStr">
        <is>
          <t>SBI INFRASTRUCTURE FUND -  REGULAR PLAN - GROWTH</t>
        </is>
      </c>
      <c r="C145" s="91" t="inlineStr">
        <is>
          <t>SBI Mutual Fund</t>
        </is>
      </c>
      <c r="D145" s="91" t="inlineStr">
        <is>
          <t>Sectoral/ Thematic</t>
        </is>
      </c>
      <c r="E145" s="92" t="n">
        <v>-3.79</v>
      </c>
      <c r="F145" s="93" t="n">
        <v>5.2</v>
      </c>
      <c r="G145" s="92" t="n">
        <v>-1.08</v>
      </c>
      <c r="H145" s="92" t="n">
        <v>-3.12</v>
      </c>
      <c r="I145" s="92" t="n">
        <v>-1.541887078819149</v>
      </c>
      <c r="J145" s="93" t="n">
        <v>59.15</v>
      </c>
      <c r="K145" s="78" t="n">
        <v>48.4</v>
      </c>
      <c r="L145" s="18" t="n">
        <v>0</v>
      </c>
      <c r="M145" s="19" t="n">
        <v>26.6</v>
      </c>
      <c r="N145" s="94" t="inlineStr">
        <is>
          <t>➡️ Neutral</t>
        </is>
      </c>
      <c r="O145" s="94" t="inlineStr">
        <is>
          <t>🔴 Not Qualified</t>
        </is>
      </c>
      <c r="P145" s="94" t="inlineStr">
        <is>
          <t>🔴 Avoid</t>
        </is>
      </c>
      <c r="Q145" s="68" t="inlineStr">
        <is>
          <t>FULL</t>
        </is>
      </c>
    </row>
    <row r="146" ht="16" customHeight="1">
      <c r="A146" s="85" t="n">
        <v>142</v>
      </c>
      <c r="B146" s="86" t="inlineStr">
        <is>
          <t>Sundaram Services Fund Regular Plan - Growth</t>
        </is>
      </c>
      <c r="C146" s="86" t="inlineStr">
        <is>
          <t>Sundaram Mutual Fund</t>
        </is>
      </c>
      <c r="D146" s="86" t="inlineStr">
        <is>
          <t>Sectoral/ Thematic</t>
        </is>
      </c>
      <c r="E146" s="87" t="n">
        <v>-1.92</v>
      </c>
      <c r="F146" s="88" t="n">
        <v>4.77</v>
      </c>
      <c r="G146" s="87" t="n">
        <v>-7.51</v>
      </c>
      <c r="H146" s="87" t="n">
        <v>-5.35</v>
      </c>
      <c r="I146" s="88" t="n">
        <v>6.390789074994641</v>
      </c>
      <c r="J146" s="88" t="n">
        <v>46.74</v>
      </c>
      <c r="K146" s="78" t="n">
        <v>48.3</v>
      </c>
      <c r="L146" s="18" t="n">
        <v>0</v>
      </c>
      <c r="M146" s="19" t="n">
        <v>26.6</v>
      </c>
      <c r="N146" s="89" t="inlineStr">
        <is>
          <t>➡️ Neutral</t>
        </is>
      </c>
      <c r="O146" s="89" t="inlineStr">
        <is>
          <t>🔴 Not Qualified</t>
        </is>
      </c>
      <c r="P146" s="89" t="inlineStr">
        <is>
          <t>🔴 Avoid</t>
        </is>
      </c>
      <c r="Q146" s="68" t="inlineStr">
        <is>
          <t>FULL</t>
        </is>
      </c>
    </row>
    <row r="147" ht="16" customHeight="1">
      <c r="A147" s="90" t="n">
        <v>143</v>
      </c>
      <c r="B147" s="91" t="inlineStr">
        <is>
          <t>HDFC Banking &amp; Financial Services Fund - Growth Option</t>
        </is>
      </c>
      <c r="C147" s="91" t="inlineStr">
        <is>
          <t>HDFC Mutual Fund</t>
        </is>
      </c>
      <c r="D147" s="91" t="inlineStr">
        <is>
          <t>Sectoral/ Thematic</t>
        </is>
      </c>
      <c r="E147" s="92" t="n">
        <v>-2.07</v>
      </c>
      <c r="F147" s="93" t="n">
        <v>0.78</v>
      </c>
      <c r="G147" s="92" t="n">
        <v>-5.99</v>
      </c>
      <c r="H147" s="92" t="n">
        <v>-1.95</v>
      </c>
      <c r="I147" s="93" t="n">
        <v>6.400187969758764</v>
      </c>
      <c r="J147" s="93" t="n">
        <v>39.92</v>
      </c>
      <c r="K147" s="78" t="n">
        <v>48.2</v>
      </c>
      <c r="L147" s="18" t="n">
        <v>0</v>
      </c>
      <c r="M147" s="19" t="n">
        <v>26.5</v>
      </c>
      <c r="N147" s="94" t="inlineStr">
        <is>
          <t>➡️ Neutral</t>
        </is>
      </c>
      <c r="O147" s="94" t="inlineStr">
        <is>
          <t>🔴 Not Qualified</t>
        </is>
      </c>
      <c r="P147" s="94" t="inlineStr">
        <is>
          <t>🔴 Avoid</t>
        </is>
      </c>
      <c r="Q147" s="68" t="inlineStr">
        <is>
          <t>FULL</t>
        </is>
      </c>
    </row>
    <row r="148" ht="16" customHeight="1">
      <c r="A148" s="95" t="n">
        <v>144</v>
      </c>
      <c r="B148" s="96" t="inlineStr">
        <is>
          <t>ITI Bharat Consumption Fund - Regular Plan Plan - Growth</t>
        </is>
      </c>
      <c r="C148" s="96" t="inlineStr">
        <is>
          <t>ITI Mutual Fund</t>
        </is>
      </c>
      <c r="D148" s="96" t="inlineStr">
        <is>
          <t>Sectoral/ Thematic</t>
        </is>
      </c>
      <c r="E148" s="97" t="n">
        <v>-2.25</v>
      </c>
      <c r="F148" s="98" t="n">
        <v>3.64</v>
      </c>
      <c r="G148" s="97" t="n">
        <v>-6.64</v>
      </c>
      <c r="H148" s="97" t="n">
        <v>-3.99</v>
      </c>
      <c r="I148" s="98" t="n">
        <v>0</v>
      </c>
      <c r="J148" s="98" t="n">
        <v>0</v>
      </c>
      <c r="K148" s="78" t="n">
        <v>48.2</v>
      </c>
      <c r="L148" s="18" t="n">
        <v>0</v>
      </c>
      <c r="M148" s="19" t="n">
        <v>26.5</v>
      </c>
      <c r="N148" s="99" t="inlineStr">
        <is>
          <t>➡️ Neutral</t>
        </is>
      </c>
      <c r="O148" s="99" t="inlineStr">
        <is>
          <t>⏳ New Fund</t>
        </is>
      </c>
      <c r="P148" s="99" t="inlineStr">
        <is>
          <t>⏳ New Fund</t>
        </is>
      </c>
      <c r="Q148" s="100" t="inlineStr">
        <is>
          <t>MOMENTUM_ONLY</t>
        </is>
      </c>
    </row>
    <row r="149" ht="16" customHeight="1">
      <c r="A149" s="95" t="n">
        <v>145</v>
      </c>
      <c r="B149" s="96" t="inlineStr">
        <is>
          <t>Baroda BNP Paribas Energy Opportunities Fund - Regular Plan - ICDW Option</t>
        </is>
      </c>
      <c r="C149" s="96" t="inlineStr">
        <is>
          <t>Baroda BNP Paribas Mutual Fund</t>
        </is>
      </c>
      <c r="D149" s="96" t="inlineStr">
        <is>
          <t>Sectoral/ Thematic</t>
        </is>
      </c>
      <c r="E149" s="97" t="n">
        <v>-4.84</v>
      </c>
      <c r="F149" s="97" t="n">
        <v>-0.61</v>
      </c>
      <c r="G149" s="98" t="n">
        <v>2.72</v>
      </c>
      <c r="H149" s="98" t="n">
        <v>1.65</v>
      </c>
      <c r="I149" s="98" t="n">
        <v>0</v>
      </c>
      <c r="J149" s="98" t="n">
        <v>0</v>
      </c>
      <c r="K149" s="78" t="n">
        <v>48</v>
      </c>
      <c r="L149" s="18" t="n">
        <v>0</v>
      </c>
      <c r="M149" s="19" t="n">
        <v>26.4</v>
      </c>
      <c r="N149" s="99" t="inlineStr">
        <is>
          <t>➡️ Neutral</t>
        </is>
      </c>
      <c r="O149" s="99" t="inlineStr">
        <is>
          <t>⏳ New Fund</t>
        </is>
      </c>
      <c r="P149" s="99" t="inlineStr">
        <is>
          <t>⏳ New Fund</t>
        </is>
      </c>
      <c r="Q149" s="100" t="inlineStr">
        <is>
          <t>MOMENTUM_ONLY</t>
        </is>
      </c>
    </row>
    <row r="150" ht="16" customHeight="1">
      <c r="A150" s="95" t="n">
        <v>145</v>
      </c>
      <c r="B150" s="96" t="inlineStr">
        <is>
          <t>Baroda BNP Paribas Energy Opportunities Fund - Regular Plan - Growth Option</t>
        </is>
      </c>
      <c r="C150" s="96" t="inlineStr">
        <is>
          <t>Baroda BNP Paribas Mutual Fund</t>
        </is>
      </c>
      <c r="D150" s="96" t="inlineStr">
        <is>
          <t>Sectoral/ Thematic</t>
        </is>
      </c>
      <c r="E150" s="97" t="n">
        <v>-4.84</v>
      </c>
      <c r="F150" s="97" t="n">
        <v>-0.61</v>
      </c>
      <c r="G150" s="98" t="n">
        <v>2.72</v>
      </c>
      <c r="H150" s="98" t="n">
        <v>1.65</v>
      </c>
      <c r="I150" s="98" t="n">
        <v>0</v>
      </c>
      <c r="J150" s="98" t="n">
        <v>0</v>
      </c>
      <c r="K150" s="78" t="n">
        <v>48</v>
      </c>
      <c r="L150" s="18" t="n">
        <v>0</v>
      </c>
      <c r="M150" s="19" t="n">
        <v>26.4</v>
      </c>
      <c r="N150" s="99" t="inlineStr">
        <is>
          <t>➡️ Neutral</t>
        </is>
      </c>
      <c r="O150" s="99" t="inlineStr">
        <is>
          <t>⏳ New Fund</t>
        </is>
      </c>
      <c r="P150" s="99" t="inlineStr">
        <is>
          <t>⏳ New Fund</t>
        </is>
      </c>
      <c r="Q150" s="100" t="inlineStr">
        <is>
          <t>MOMENTUM_ONLY</t>
        </is>
      </c>
    </row>
    <row r="151" ht="16" customHeight="1">
      <c r="A151" s="90" t="n">
        <v>147</v>
      </c>
      <c r="B151" s="91" t="inlineStr">
        <is>
          <t>ICICI Prudential PSU Equity Fund - Growth</t>
        </is>
      </c>
      <c r="C151" s="91" t="inlineStr">
        <is>
          <t>ICICI Prudential Mutual Fund</t>
        </is>
      </c>
      <c r="D151" s="91" t="inlineStr">
        <is>
          <t>Sectoral/ Thematic</t>
        </is>
      </c>
      <c r="E151" s="92" t="n">
        <v>-3.97</v>
      </c>
      <c r="F151" s="92" t="n">
        <v>-2.96</v>
      </c>
      <c r="G151" s="93" t="n">
        <v>2.16</v>
      </c>
      <c r="H151" s="93" t="n">
        <v>1.72</v>
      </c>
      <c r="I151" s="93" t="n">
        <v>1.90682018393078</v>
      </c>
      <c r="J151" s="93" t="n">
        <v>88.56999999999999</v>
      </c>
      <c r="K151" s="78" t="n">
        <v>47.9</v>
      </c>
      <c r="L151" s="18" t="n">
        <v>0</v>
      </c>
      <c r="M151" s="19" t="n">
        <v>26.4</v>
      </c>
      <c r="N151" s="94" t="inlineStr">
        <is>
          <t>➡️ Neutral</t>
        </is>
      </c>
      <c r="O151" s="94" t="inlineStr">
        <is>
          <t>🔴 Not Qualified</t>
        </is>
      </c>
      <c r="P151" s="94" t="inlineStr">
        <is>
          <t>🔴 Avoid</t>
        </is>
      </c>
      <c r="Q151" s="68" t="inlineStr">
        <is>
          <t>FULL</t>
        </is>
      </c>
    </row>
    <row r="152" ht="16" customHeight="1">
      <c r="A152" s="85" t="n">
        <v>148</v>
      </c>
      <c r="B152" s="86" t="inlineStr">
        <is>
          <t>TATA Resources &amp; Energy Fund Regular Plan - Reinvestment of Income Distribution cum capital withdrawal option</t>
        </is>
      </c>
      <c r="C152" s="86" t="inlineStr">
        <is>
          <t>Tata Mutual Fund</t>
        </is>
      </c>
      <c r="D152" s="86" t="inlineStr">
        <is>
          <t>Sectoral/ Thematic</t>
        </is>
      </c>
      <c r="E152" s="87" t="n">
        <v>-4.33</v>
      </c>
      <c r="F152" s="87" t="n">
        <v>-0.35</v>
      </c>
      <c r="G152" s="88" t="n">
        <v>0.28</v>
      </c>
      <c r="H152" s="88" t="n">
        <v>0.67</v>
      </c>
      <c r="I152" s="88" t="n">
        <v>2.352332655391898</v>
      </c>
      <c r="J152" s="88" t="n">
        <v>51.49</v>
      </c>
      <c r="K152" s="78" t="n">
        <v>46.6</v>
      </c>
      <c r="L152" s="18" t="n">
        <v>0</v>
      </c>
      <c r="M152" s="19" t="n">
        <v>25.6</v>
      </c>
      <c r="N152" s="89" t="inlineStr">
        <is>
          <t>➡️ Neutral</t>
        </is>
      </c>
      <c r="O152" s="89" t="inlineStr">
        <is>
          <t>🔴 Not Qualified</t>
        </is>
      </c>
      <c r="P152" s="89" t="inlineStr">
        <is>
          <t>🔴 Avoid</t>
        </is>
      </c>
      <c r="Q152" s="68" t="inlineStr">
        <is>
          <t>FULL</t>
        </is>
      </c>
    </row>
    <row r="153" ht="16" customHeight="1">
      <c r="A153" s="90" t="n">
        <v>148</v>
      </c>
      <c r="B153" s="91" t="inlineStr">
        <is>
          <t>TATA Resources &amp; Energy Fund Regular Plan - Payout of Income Distribution cum capital withdrawal option</t>
        </is>
      </c>
      <c r="C153" s="91" t="inlineStr">
        <is>
          <t>Tata Mutual Fund</t>
        </is>
      </c>
      <c r="D153" s="91" t="inlineStr">
        <is>
          <t>Sectoral/ Thematic</t>
        </is>
      </c>
      <c r="E153" s="92" t="n">
        <v>-4.33</v>
      </c>
      <c r="F153" s="92" t="n">
        <v>-0.35</v>
      </c>
      <c r="G153" s="93" t="n">
        <v>0.28</v>
      </c>
      <c r="H153" s="93" t="n">
        <v>0.67</v>
      </c>
      <c r="I153" s="93" t="n">
        <v>2.352332655391898</v>
      </c>
      <c r="J153" s="93" t="n">
        <v>51.49</v>
      </c>
      <c r="K153" s="78" t="n">
        <v>46.6</v>
      </c>
      <c r="L153" s="18" t="n">
        <v>0</v>
      </c>
      <c r="M153" s="19" t="n">
        <v>25.6</v>
      </c>
      <c r="N153" s="94" t="inlineStr">
        <is>
          <t>➡️ Neutral</t>
        </is>
      </c>
      <c r="O153" s="94" t="inlineStr">
        <is>
          <t>🔴 Not Qualified</t>
        </is>
      </c>
      <c r="P153" s="94" t="inlineStr">
        <is>
          <t>🔴 Avoid</t>
        </is>
      </c>
      <c r="Q153" s="68" t="inlineStr">
        <is>
          <t>FULL</t>
        </is>
      </c>
    </row>
    <row r="154" ht="16" customHeight="1">
      <c r="A154" s="85" t="n">
        <v>150</v>
      </c>
      <c r="B154" s="86" t="inlineStr">
        <is>
          <t>ITI Banking and Financial Services Fund -Regular Plan - Growth Option</t>
        </is>
      </c>
      <c r="C154" s="86" t="inlineStr">
        <is>
          <t>ITI Mutual Fund</t>
        </is>
      </c>
      <c r="D154" s="86" t="inlineStr">
        <is>
          <t>Sectoral/ Thematic</t>
        </is>
      </c>
      <c r="E154" s="87" t="n">
        <v>-2.13</v>
      </c>
      <c r="F154" s="88" t="n">
        <v>0</v>
      </c>
      <c r="G154" s="87" t="n">
        <v>-6.54</v>
      </c>
      <c r="H154" s="87" t="n">
        <v>-1.02</v>
      </c>
      <c r="I154" s="88" t="n">
        <v>7.568582773967969</v>
      </c>
      <c r="J154" s="88" t="n">
        <v>34.87</v>
      </c>
      <c r="K154" s="78" t="n">
        <v>46.6</v>
      </c>
      <c r="L154" s="18" t="n">
        <v>0</v>
      </c>
      <c r="M154" s="19" t="n">
        <v>25.6</v>
      </c>
      <c r="N154" s="89" t="inlineStr">
        <is>
          <t>➡️ Neutral</t>
        </is>
      </c>
      <c r="O154" s="89" t="inlineStr">
        <is>
          <t>🔴 Not Qualified</t>
        </is>
      </c>
      <c r="P154" s="89" t="inlineStr">
        <is>
          <t>🔴 Avoid</t>
        </is>
      </c>
      <c r="Q154" s="68" t="inlineStr">
        <is>
          <t>FULL</t>
        </is>
      </c>
    </row>
    <row r="155" ht="16" customHeight="1">
      <c r="A155" s="90" t="n">
        <v>151</v>
      </c>
      <c r="B155" s="91" t="inlineStr">
        <is>
          <t>UTI Infrastructure Fund-Growth Option</t>
        </is>
      </c>
      <c r="C155" s="91" t="inlineStr">
        <is>
          <t>UTI Mutual Fund</t>
        </is>
      </c>
      <c r="D155" s="91" t="inlineStr">
        <is>
          <t>Sectoral/ Thematic</t>
        </is>
      </c>
      <c r="E155" s="92" t="n">
        <v>-3.17</v>
      </c>
      <c r="F155" s="93" t="n">
        <v>2.06</v>
      </c>
      <c r="G155" s="92" t="n">
        <v>-2.57</v>
      </c>
      <c r="H155" s="92" t="n">
        <v>-3.16</v>
      </c>
      <c r="I155" s="92" t="n">
        <v>-1.308561668197383</v>
      </c>
      <c r="J155" s="93" t="n">
        <v>52.91</v>
      </c>
      <c r="K155" s="78" t="n">
        <v>46.4</v>
      </c>
      <c r="L155" s="18" t="n">
        <v>0</v>
      </c>
      <c r="M155" s="19" t="n">
        <v>25.5</v>
      </c>
      <c r="N155" s="94" t="inlineStr">
        <is>
          <t>➡️ Neutral</t>
        </is>
      </c>
      <c r="O155" s="94" t="inlineStr">
        <is>
          <t>🔴 Not Qualified</t>
        </is>
      </c>
      <c r="P155" s="94" t="inlineStr">
        <is>
          <t>🔴 Avoid</t>
        </is>
      </c>
      <c r="Q155" s="68" t="inlineStr">
        <is>
          <t>FULL</t>
        </is>
      </c>
    </row>
    <row r="156" ht="16" customHeight="1">
      <c r="A156" s="85" t="n">
        <v>152</v>
      </c>
      <c r="B156" s="86" t="inlineStr">
        <is>
          <t>Invesco India Financial Services Fund - Regular Plan - Growth</t>
        </is>
      </c>
      <c r="C156" s="86" t="inlineStr">
        <is>
          <t>Invesco Mutual Fund</t>
        </is>
      </c>
      <c r="D156" s="86" t="inlineStr">
        <is>
          <t>Sectoral/ Thematic</t>
        </is>
      </c>
      <c r="E156" s="87" t="n">
        <v>-3.12</v>
      </c>
      <c r="F156" s="88" t="n">
        <v>0.84</v>
      </c>
      <c r="G156" s="87" t="n">
        <v>-4.37</v>
      </c>
      <c r="H156" s="87" t="n">
        <v>-0.48</v>
      </c>
      <c r="I156" s="88" t="n">
        <v>9.338922621361156</v>
      </c>
      <c r="J156" s="88" t="n">
        <v>58.69</v>
      </c>
      <c r="K156" s="78" t="n">
        <v>45.6</v>
      </c>
      <c r="L156" s="18" t="n">
        <v>0</v>
      </c>
      <c r="M156" s="19" t="n">
        <v>25.1</v>
      </c>
      <c r="N156" s="89" t="inlineStr">
        <is>
          <t>➡️ Neutral</t>
        </is>
      </c>
      <c r="O156" s="89" t="inlineStr">
        <is>
          <t>🔴 Not Qualified</t>
        </is>
      </c>
      <c r="P156" s="89" t="inlineStr">
        <is>
          <t>🔴 Avoid</t>
        </is>
      </c>
      <c r="Q156" s="68" t="inlineStr">
        <is>
          <t>FULL</t>
        </is>
      </c>
    </row>
    <row r="157" ht="16" customHeight="1">
      <c r="A157" s="90" t="n">
        <v>153</v>
      </c>
      <c r="B157" s="91" t="inlineStr">
        <is>
          <t>Aditya Birla Sun Life MNC Fund - Growth - Regular Plan</t>
        </is>
      </c>
      <c r="C157" s="91" t="inlineStr">
        <is>
          <t>Aditya Birla Sun Life Mutual Fund</t>
        </is>
      </c>
      <c r="D157" s="91" t="inlineStr">
        <is>
          <t>Sectoral/ Thematic</t>
        </is>
      </c>
      <c r="E157" s="92" t="n">
        <v>-1.75</v>
      </c>
      <c r="F157" s="93" t="n">
        <v>2.63</v>
      </c>
      <c r="G157" s="92" t="n">
        <v>-6.46</v>
      </c>
      <c r="H157" s="92" t="n">
        <v>-8.039999999999999</v>
      </c>
      <c r="I157" s="92" t="n">
        <v>-3.294260770107338</v>
      </c>
      <c r="J157" s="93" t="n">
        <v>30.59</v>
      </c>
      <c r="K157" s="78" t="n">
        <v>45.4</v>
      </c>
      <c r="L157" s="18" t="n">
        <v>0</v>
      </c>
      <c r="M157" s="19" t="n">
        <v>25</v>
      </c>
      <c r="N157" s="94" t="inlineStr">
        <is>
          <t>➡️ Neutral</t>
        </is>
      </c>
      <c r="O157" s="94" t="inlineStr">
        <is>
          <t>🔴 Not Qualified</t>
        </is>
      </c>
      <c r="P157" s="94" t="inlineStr">
        <is>
          <t>🔴 Avoid</t>
        </is>
      </c>
      <c r="Q157" s="68" t="inlineStr">
        <is>
          <t>FULL</t>
        </is>
      </c>
    </row>
    <row r="158" ht="16" customHeight="1">
      <c r="A158" s="85" t="n">
        <v>154</v>
      </c>
      <c r="B158" s="86" t="inlineStr">
        <is>
          <t>TATA India Consumer Fund Regular Plan - Reinvestment of Income Distribution cum capital withdrawal option</t>
        </is>
      </c>
      <c r="C158" s="86" t="inlineStr">
        <is>
          <t>Tata Mutual Fund</t>
        </is>
      </c>
      <c r="D158" s="86" t="inlineStr">
        <is>
          <t>Sectoral/ Thematic</t>
        </is>
      </c>
      <c r="E158" s="87" t="n">
        <v>-2.37</v>
      </c>
      <c r="F158" s="88" t="n">
        <v>3.96</v>
      </c>
      <c r="G158" s="87" t="n">
        <v>-7.54</v>
      </c>
      <c r="H158" s="87" t="n">
        <v>-5.16</v>
      </c>
      <c r="I158" s="88" t="n">
        <v>1.744778735815222</v>
      </c>
      <c r="J158" s="88" t="n">
        <v>40.65</v>
      </c>
      <c r="K158" s="78" t="n">
        <v>45</v>
      </c>
      <c r="L158" s="18" t="n">
        <v>0</v>
      </c>
      <c r="M158" s="19" t="n">
        <v>24.8</v>
      </c>
      <c r="N158" s="89" t="inlineStr">
        <is>
          <t>➡️ Neutral</t>
        </is>
      </c>
      <c r="O158" s="89" t="inlineStr">
        <is>
          <t>🔴 Not Qualified</t>
        </is>
      </c>
      <c r="P158" s="89" t="inlineStr">
        <is>
          <t>🔴 Avoid</t>
        </is>
      </c>
      <c r="Q158" s="68" t="inlineStr">
        <is>
          <t>FULL</t>
        </is>
      </c>
    </row>
    <row r="159" ht="16" customHeight="1">
      <c r="A159" s="90" t="n">
        <v>154</v>
      </c>
      <c r="B159" s="91" t="inlineStr">
        <is>
          <t>TATA India Consumer Fund Regular Plan - Payout of Income Distribution cum capital withdrawal option</t>
        </is>
      </c>
      <c r="C159" s="91" t="inlineStr">
        <is>
          <t>Tata Mutual Fund</t>
        </is>
      </c>
      <c r="D159" s="91" t="inlineStr">
        <is>
          <t>Sectoral/ Thematic</t>
        </is>
      </c>
      <c r="E159" s="92" t="n">
        <v>-2.37</v>
      </c>
      <c r="F159" s="93" t="n">
        <v>3.96</v>
      </c>
      <c r="G159" s="92" t="n">
        <v>-7.54</v>
      </c>
      <c r="H159" s="92" t="n">
        <v>-5.16</v>
      </c>
      <c r="I159" s="93" t="n">
        <v>1.744778735815222</v>
      </c>
      <c r="J159" s="93" t="n">
        <v>40.65</v>
      </c>
      <c r="K159" s="78" t="n">
        <v>45</v>
      </c>
      <c r="L159" s="18" t="n">
        <v>0</v>
      </c>
      <c r="M159" s="19" t="n">
        <v>24.8</v>
      </c>
      <c r="N159" s="94" t="inlineStr">
        <is>
          <t>➡️ Neutral</t>
        </is>
      </c>
      <c r="O159" s="94" t="inlineStr">
        <is>
          <t>🔴 Not Qualified</t>
        </is>
      </c>
      <c r="P159" s="94" t="inlineStr">
        <is>
          <t>🔴 Avoid</t>
        </is>
      </c>
      <c r="Q159" s="68" t="inlineStr">
        <is>
          <t>FULL</t>
        </is>
      </c>
    </row>
    <row r="160" ht="16" customHeight="1">
      <c r="A160" s="95" t="n">
        <v>156</v>
      </c>
      <c r="B160" s="96" t="inlineStr">
        <is>
          <t>THE WEALTH COMPANY ETHICAL FUND REGULAR GROWTH</t>
        </is>
      </c>
      <c r="C160" s="96" t="inlineStr">
        <is>
          <t>The Wealth Company Mutual Fund</t>
        </is>
      </c>
      <c r="D160" s="96" t="inlineStr">
        <is>
          <t>Sectoral/ Thematic</t>
        </is>
      </c>
      <c r="E160" s="97" t="n">
        <v>-3.19</v>
      </c>
      <c r="F160" s="98" t="n">
        <v>1.71</v>
      </c>
      <c r="G160" s="97" t="n">
        <v>-5.89</v>
      </c>
      <c r="H160" s="98" t="n">
        <v>0</v>
      </c>
      <c r="I160" s="98" t="n">
        <v>0</v>
      </c>
      <c r="J160" s="98" t="n">
        <v>0</v>
      </c>
      <c r="K160" s="78" t="n">
        <v>44.6</v>
      </c>
      <c r="L160" s="18" t="n">
        <v>0</v>
      </c>
      <c r="M160" s="19" t="n">
        <v>24.5</v>
      </c>
      <c r="N160" s="99" t="inlineStr">
        <is>
          <t>➡️ Neutral</t>
        </is>
      </c>
      <c r="O160" s="99" t="inlineStr">
        <is>
          <t>⏳ New Fund</t>
        </is>
      </c>
      <c r="P160" s="99" t="inlineStr">
        <is>
          <t>⏳ New Fund</t>
        </is>
      </c>
      <c r="Q160" s="100" t="inlineStr">
        <is>
          <t>MOMENTUM_ONLY</t>
        </is>
      </c>
    </row>
    <row r="161" ht="16" customHeight="1">
      <c r="A161" s="95" t="n">
        <v>157</v>
      </c>
      <c r="B161" s="96" t="inlineStr">
        <is>
          <t>Axis Services Opportunities Fund - Regular Plan - Growth Option</t>
        </is>
      </c>
      <c r="C161" s="96" t="inlineStr">
        <is>
          <t>Axis Mutual Fund</t>
        </is>
      </c>
      <c r="D161" s="96" t="inlineStr">
        <is>
          <t>Sectoral/ Thematic</t>
        </is>
      </c>
      <c r="E161" s="97" t="n">
        <v>-2.58</v>
      </c>
      <c r="F161" s="98" t="n">
        <v>3.3</v>
      </c>
      <c r="G161" s="97" t="n">
        <v>-9.56</v>
      </c>
      <c r="H161" s="98" t="n">
        <v>0</v>
      </c>
      <c r="I161" s="98" t="n">
        <v>0</v>
      </c>
      <c r="J161" s="98" t="n">
        <v>0</v>
      </c>
      <c r="K161" s="78" t="n">
        <v>44.4</v>
      </c>
      <c r="L161" s="18" t="n">
        <v>0</v>
      </c>
      <c r="M161" s="19" t="n">
        <v>24.4</v>
      </c>
      <c r="N161" s="99" t="inlineStr">
        <is>
          <t>➡️ Neutral</t>
        </is>
      </c>
      <c r="O161" s="99" t="inlineStr">
        <is>
          <t>⏳ New Fund</t>
        </is>
      </c>
      <c r="P161" s="99" t="inlineStr">
        <is>
          <t>⏳ New Fund</t>
        </is>
      </c>
      <c r="Q161" s="100" t="inlineStr">
        <is>
          <t>MOMENTUM_ONLY</t>
        </is>
      </c>
    </row>
    <row r="162" ht="16" customHeight="1">
      <c r="A162" s="95" t="n">
        <v>158</v>
      </c>
      <c r="B162" s="96" t="inlineStr">
        <is>
          <t>Mahindra Manulife Banking &amp; Financial Services Fund - Regular - Growth</t>
        </is>
      </c>
      <c r="C162" s="96" t="inlineStr">
        <is>
          <t>Mahindra Manulife Mutual Fund</t>
        </is>
      </c>
      <c r="D162" s="96" t="inlineStr">
        <is>
          <t>Sectoral/ Thematic</t>
        </is>
      </c>
      <c r="E162" s="97" t="n">
        <v>-2.82</v>
      </c>
      <c r="F162" s="97" t="n">
        <v>-0.53</v>
      </c>
      <c r="G162" s="97" t="n">
        <v>-4.81</v>
      </c>
      <c r="H162" s="98" t="n">
        <v>0</v>
      </c>
      <c r="I162" s="98" t="n">
        <v>0</v>
      </c>
      <c r="J162" s="98" t="n">
        <v>0</v>
      </c>
      <c r="K162" s="78" t="n">
        <v>44.2</v>
      </c>
      <c r="L162" s="18" t="n">
        <v>0</v>
      </c>
      <c r="M162" s="19" t="n">
        <v>24.3</v>
      </c>
      <c r="N162" s="99" t="inlineStr">
        <is>
          <t>➡️ Neutral</t>
        </is>
      </c>
      <c r="O162" s="99" t="inlineStr">
        <is>
          <t>⏳ New Fund</t>
        </is>
      </c>
      <c r="P162" s="99" t="inlineStr">
        <is>
          <t>⏳ New Fund</t>
        </is>
      </c>
      <c r="Q162" s="100" t="inlineStr">
        <is>
          <t>MOMENTUM_ONLY</t>
        </is>
      </c>
    </row>
    <row r="163" ht="16" customHeight="1">
      <c r="A163" s="90" t="n">
        <v>159</v>
      </c>
      <c r="B163" s="91" t="inlineStr">
        <is>
          <t>Tata Business Cycle Fund-Regular Plan-Growth</t>
        </is>
      </c>
      <c r="C163" s="91" t="inlineStr">
        <is>
          <t>Tata Mutual Fund</t>
        </is>
      </c>
      <c r="D163" s="91" t="inlineStr">
        <is>
          <t>Sectoral/ Thematic</t>
        </is>
      </c>
      <c r="E163" s="92" t="n">
        <v>-3.6</v>
      </c>
      <c r="F163" s="93" t="n">
        <v>3.89</v>
      </c>
      <c r="G163" s="92" t="n">
        <v>-4.23</v>
      </c>
      <c r="H163" s="92" t="n">
        <v>-3.97</v>
      </c>
      <c r="I163" s="92" t="n">
        <v>-1.085895848974094</v>
      </c>
      <c r="J163" s="93" t="n">
        <v>47.93</v>
      </c>
      <c r="K163" s="78" t="n">
        <v>43.7</v>
      </c>
      <c r="L163" s="18" t="n">
        <v>0</v>
      </c>
      <c r="M163" s="19" t="n">
        <v>24</v>
      </c>
      <c r="N163" s="94" t="inlineStr">
        <is>
          <t>➡️ Neutral</t>
        </is>
      </c>
      <c r="O163" s="94" t="inlineStr">
        <is>
          <t>🔴 Not Qualified</t>
        </is>
      </c>
      <c r="P163" s="94" t="inlineStr">
        <is>
          <t>🔴 Avoid</t>
        </is>
      </c>
      <c r="Q163" s="68" t="inlineStr">
        <is>
          <t>FULL</t>
        </is>
      </c>
    </row>
    <row r="164" ht="16" customHeight="1">
      <c r="A164" s="85" t="n">
        <v>160</v>
      </c>
      <c r="B164" s="86" t="inlineStr">
        <is>
          <t>SBI Equity Minimum Variance Fund - Regular Plan - Growth</t>
        </is>
      </c>
      <c r="C164" s="86" t="inlineStr">
        <is>
          <t>SBI Mutual Fund</t>
        </is>
      </c>
      <c r="D164" s="86" t="inlineStr">
        <is>
          <t>Sectoral/ Thematic</t>
        </is>
      </c>
      <c r="E164" s="87" t="n">
        <v>-3.14</v>
      </c>
      <c r="F164" s="88" t="n">
        <v>1.67</v>
      </c>
      <c r="G164" s="87" t="n">
        <v>-5.65</v>
      </c>
      <c r="H164" s="87" t="n">
        <v>-2.93</v>
      </c>
      <c r="I164" s="87" t="n">
        <v>-0.2352767758061702</v>
      </c>
      <c r="J164" s="88" t="n">
        <v>31.82</v>
      </c>
      <c r="K164" s="78" t="n">
        <v>42.6</v>
      </c>
      <c r="L164" s="18" t="n">
        <v>0</v>
      </c>
      <c r="M164" s="19" t="n">
        <v>23.4</v>
      </c>
      <c r="N164" s="89" t="inlineStr">
        <is>
          <t>➡️ Neutral</t>
        </is>
      </c>
      <c r="O164" s="89" t="inlineStr">
        <is>
          <t>🔴 Not Qualified</t>
        </is>
      </c>
      <c r="P164" s="89" t="inlineStr">
        <is>
          <t>🔴 Avoid</t>
        </is>
      </c>
      <c r="Q164" s="68" t="inlineStr">
        <is>
          <t>FULL</t>
        </is>
      </c>
    </row>
    <row r="165" ht="16" customHeight="1">
      <c r="A165" s="95" t="n">
        <v>161</v>
      </c>
      <c r="B165" s="96" t="inlineStr">
        <is>
          <t>ICICI Prudential Equity Minimum Variance Fund - Growth</t>
        </is>
      </c>
      <c r="C165" s="96" t="inlineStr">
        <is>
          <t>ICICI Prudential Mutual Fund</t>
        </is>
      </c>
      <c r="D165" s="96" t="inlineStr">
        <is>
          <t>Sectoral/ Thematic</t>
        </is>
      </c>
      <c r="E165" s="97" t="n">
        <v>-2.11</v>
      </c>
      <c r="F165" s="98" t="n">
        <v>0.3</v>
      </c>
      <c r="G165" s="97" t="n">
        <v>-7.87</v>
      </c>
      <c r="H165" s="97" t="n">
        <v>-2.95</v>
      </c>
      <c r="I165" s="98" t="n">
        <v>0</v>
      </c>
      <c r="J165" s="98" t="n">
        <v>0</v>
      </c>
      <c r="K165" s="78" t="n">
        <v>42.1</v>
      </c>
      <c r="L165" s="18" t="n">
        <v>0</v>
      </c>
      <c r="M165" s="19" t="n">
        <v>23.1</v>
      </c>
      <c r="N165" s="99" t="inlineStr">
        <is>
          <t>➡️ Neutral</t>
        </is>
      </c>
      <c r="O165" s="99" t="inlineStr">
        <is>
          <t>⏳ New Fund</t>
        </is>
      </c>
      <c r="P165" s="99" t="inlineStr">
        <is>
          <t>⏳ New Fund</t>
        </is>
      </c>
      <c r="Q165" s="100" t="inlineStr">
        <is>
          <t>MOMENTUM_ONLY</t>
        </is>
      </c>
    </row>
    <row r="166" ht="16" customHeight="1">
      <c r="A166" s="85" t="n">
        <v>162</v>
      </c>
      <c r="B166" s="86" t="inlineStr">
        <is>
          <t>Baroda BNP Paribas Banking and Financial Services Fund - Regular - Growth Option</t>
        </is>
      </c>
      <c r="C166" s="86" t="inlineStr">
        <is>
          <t>Baroda BNP Paribas Mutual Fund</t>
        </is>
      </c>
      <c r="D166" s="86" t="inlineStr">
        <is>
          <t>Sectoral/ Thematic</t>
        </is>
      </c>
      <c r="E166" s="87" t="n">
        <v>-1.84</v>
      </c>
      <c r="F166" s="87" t="n">
        <v>-0.4</v>
      </c>
      <c r="G166" s="87" t="n">
        <v>-7.25</v>
      </c>
      <c r="H166" s="87" t="n">
        <v>-4.65</v>
      </c>
      <c r="I166" s="88" t="n">
        <v>6.957935656967518</v>
      </c>
      <c r="J166" s="88" t="n">
        <v>42.97</v>
      </c>
      <c r="K166" s="78" t="n">
        <v>41.4</v>
      </c>
      <c r="L166" s="18" t="n">
        <v>0</v>
      </c>
      <c r="M166" s="19" t="n">
        <v>22.8</v>
      </c>
      <c r="N166" s="89" t="inlineStr">
        <is>
          <t>➡️ Neutral</t>
        </is>
      </c>
      <c r="O166" s="89" t="inlineStr">
        <is>
          <t>🔴 Not Qualified</t>
        </is>
      </c>
      <c r="P166" s="89" t="inlineStr">
        <is>
          <t>🔴 Avoid</t>
        </is>
      </c>
      <c r="Q166" s="68" t="inlineStr">
        <is>
          <t>FULL</t>
        </is>
      </c>
    </row>
    <row r="167" ht="16" customHeight="1">
      <c r="A167" s="95" t="n">
        <v>163</v>
      </c>
      <c r="B167" s="96" t="inlineStr">
        <is>
          <t>Kotak Consumption Fund - Regular plan - Growth Option</t>
        </is>
      </c>
      <c r="C167" s="96" t="inlineStr">
        <is>
          <t>Kotak Mahindra Mutual Fund</t>
        </is>
      </c>
      <c r="D167" s="96" t="inlineStr">
        <is>
          <t>Sectoral/ Thematic</t>
        </is>
      </c>
      <c r="E167" s="97" t="n">
        <v>-2.88</v>
      </c>
      <c r="F167" s="98" t="n">
        <v>3.1</v>
      </c>
      <c r="G167" s="97" t="n">
        <v>-8.94</v>
      </c>
      <c r="H167" s="97" t="n">
        <v>-1.65</v>
      </c>
      <c r="I167" s="98" t="n">
        <v>3.150375665821015</v>
      </c>
      <c r="J167" s="98" t="n">
        <v>0</v>
      </c>
      <c r="K167" s="78" t="n">
        <v>41.2</v>
      </c>
      <c r="L167" s="18" t="n">
        <v>0</v>
      </c>
      <c r="M167" s="19" t="n">
        <v>22.7</v>
      </c>
      <c r="N167" s="99" t="inlineStr">
        <is>
          <t>➡️ Neutral</t>
        </is>
      </c>
      <c r="O167" s="99" t="inlineStr">
        <is>
          <t>⏳ New Fund</t>
        </is>
      </c>
      <c r="P167" s="99" t="inlineStr">
        <is>
          <t>⏳ New Fund</t>
        </is>
      </c>
      <c r="Q167" s="100" t="inlineStr">
        <is>
          <t>MOMENTUM_ONLY</t>
        </is>
      </c>
    </row>
    <row r="168" ht="16" customHeight="1">
      <c r="A168" s="85" t="n">
        <v>164</v>
      </c>
      <c r="B168" s="86" t="inlineStr">
        <is>
          <t>Sundaram Financial Services Opportunities Fund Regular Plan - Growth</t>
        </is>
      </c>
      <c r="C168" s="86" t="inlineStr">
        <is>
          <t>Sundaram Mutual Fund</t>
        </is>
      </c>
      <c r="D168" s="86" t="inlineStr">
        <is>
          <t>Sectoral/ Thematic</t>
        </is>
      </c>
      <c r="E168" s="87" t="n">
        <v>-2.5</v>
      </c>
      <c r="F168" s="87" t="n">
        <v>-0.1</v>
      </c>
      <c r="G168" s="87" t="n">
        <v>-6.09</v>
      </c>
      <c r="H168" s="87" t="n">
        <v>-4.69</v>
      </c>
      <c r="I168" s="88" t="n">
        <v>3.9759587597056</v>
      </c>
      <c r="J168" s="88" t="n">
        <v>43.91</v>
      </c>
      <c r="K168" s="78" t="n">
        <v>41</v>
      </c>
      <c r="L168" s="18" t="n">
        <v>0</v>
      </c>
      <c r="M168" s="19" t="n">
        <v>22.6</v>
      </c>
      <c r="N168" s="89" t="inlineStr">
        <is>
          <t>➡️ Neutral</t>
        </is>
      </c>
      <c r="O168" s="89" t="inlineStr">
        <is>
          <t>🔴 Not Qualified</t>
        </is>
      </c>
      <c r="P168" s="89" t="inlineStr">
        <is>
          <t>🔴 Avoid</t>
        </is>
      </c>
      <c r="Q168" s="68" t="inlineStr">
        <is>
          <t>FULL</t>
        </is>
      </c>
    </row>
    <row r="169" ht="16" customHeight="1">
      <c r="A169" s="95" t="n">
        <v>165</v>
      </c>
      <c r="B169" s="96" t="inlineStr">
        <is>
          <t>WhiteOak Capital Digital Bharat Fund Regular Plan Growth</t>
        </is>
      </c>
      <c r="C169" s="96" t="inlineStr">
        <is>
          <t>WhiteOak Capital Mutual Fund</t>
        </is>
      </c>
      <c r="D169" s="96" t="inlineStr">
        <is>
          <t>Sectoral/ Thematic</t>
        </is>
      </c>
      <c r="E169" s="97" t="n">
        <v>-0.9</v>
      </c>
      <c r="F169" s="98" t="n">
        <v>6.97</v>
      </c>
      <c r="G169" s="97" t="n">
        <v>-17.16</v>
      </c>
      <c r="H169" s="97" t="n">
        <v>-13.64</v>
      </c>
      <c r="I169" s="98" t="n">
        <v>0</v>
      </c>
      <c r="J169" s="98" t="n">
        <v>0</v>
      </c>
      <c r="K169" s="78" t="n">
        <v>41</v>
      </c>
      <c r="L169" s="18" t="n">
        <v>0</v>
      </c>
      <c r="M169" s="19" t="n">
        <v>22.6</v>
      </c>
      <c r="N169" s="99" t="inlineStr">
        <is>
          <t>➡️ Neutral</t>
        </is>
      </c>
      <c r="O169" s="99" t="inlineStr">
        <is>
          <t>⏳ New Fund</t>
        </is>
      </c>
      <c r="P169" s="99" t="inlineStr">
        <is>
          <t>⏳ New Fund</t>
        </is>
      </c>
      <c r="Q169" s="100" t="inlineStr">
        <is>
          <t>MOMENTUM_ONLY</t>
        </is>
      </c>
    </row>
    <row r="170" ht="16" customHeight="1">
      <c r="A170" s="85" t="n">
        <v>166</v>
      </c>
      <c r="B170" s="86" t="inlineStr">
        <is>
          <t>SBI ESG Exclusionary Strategy Fund - Regular Plan - Growth</t>
        </is>
      </c>
      <c r="C170" s="86" t="inlineStr">
        <is>
          <t>SBI Mutual Fund</t>
        </is>
      </c>
      <c r="D170" s="86" t="inlineStr">
        <is>
          <t>Sectoral/ Thematic</t>
        </is>
      </c>
      <c r="E170" s="87" t="n">
        <v>-1.73</v>
      </c>
      <c r="F170" s="88" t="n">
        <v>1.18</v>
      </c>
      <c r="G170" s="87" t="n">
        <v>-8.31</v>
      </c>
      <c r="H170" s="87" t="n">
        <v>-5.65</v>
      </c>
      <c r="I170" s="88" t="n">
        <v>0.5584407198122809</v>
      </c>
      <c r="J170" s="88" t="n">
        <v>31.56</v>
      </c>
      <c r="K170" s="78" t="n">
        <v>40.8</v>
      </c>
      <c r="L170" s="18" t="n">
        <v>0</v>
      </c>
      <c r="M170" s="19" t="n">
        <v>22.4</v>
      </c>
      <c r="N170" s="89" t="inlineStr">
        <is>
          <t>➡️ Neutral</t>
        </is>
      </c>
      <c r="O170" s="89" t="inlineStr">
        <is>
          <t>🔴 Not Qualified</t>
        </is>
      </c>
      <c r="P170" s="89" t="inlineStr">
        <is>
          <t>🔴 Avoid</t>
        </is>
      </c>
      <c r="Q170" s="68" t="inlineStr">
        <is>
          <t>FULL</t>
        </is>
      </c>
    </row>
    <row r="171" ht="16" customHeight="1">
      <c r="A171" s="95" t="n">
        <v>167</v>
      </c>
      <c r="B171" s="96" t="inlineStr">
        <is>
          <t>WhiteOak Capital Banking &amp; Financial Services Fund - Regular Growth</t>
        </is>
      </c>
      <c r="C171" s="96" t="inlineStr">
        <is>
          <t>WhiteOak Capital Mutual Fund</t>
        </is>
      </c>
      <c r="D171" s="96" t="inlineStr">
        <is>
          <t>Sectoral/ Thematic</t>
        </is>
      </c>
      <c r="E171" s="97" t="n">
        <v>-2.66</v>
      </c>
      <c r="F171" s="98" t="n">
        <v>0.41</v>
      </c>
      <c r="G171" s="97" t="n">
        <v>-6.58</v>
      </c>
      <c r="H171" s="97" t="n">
        <v>-3.2</v>
      </c>
      <c r="I171" s="98" t="n">
        <v>8.314357312408038</v>
      </c>
      <c r="J171" s="98" t="n">
        <v>0</v>
      </c>
      <c r="K171" s="78" t="n">
        <v>40.7</v>
      </c>
      <c r="L171" s="18" t="n">
        <v>0</v>
      </c>
      <c r="M171" s="19" t="n">
        <v>22.4</v>
      </c>
      <c r="N171" s="99" t="inlineStr">
        <is>
          <t>➡️ Neutral</t>
        </is>
      </c>
      <c r="O171" s="99" t="inlineStr">
        <is>
          <t>⏳ New Fund</t>
        </is>
      </c>
      <c r="P171" s="99" t="inlineStr">
        <is>
          <t>⏳ New Fund</t>
        </is>
      </c>
      <c r="Q171" s="100" t="inlineStr">
        <is>
          <t>MOMENTUM_ONLY</t>
        </is>
      </c>
    </row>
    <row r="172" ht="16" customHeight="1">
      <c r="A172" s="95" t="n">
        <v>168</v>
      </c>
      <c r="B172" s="96" t="inlineStr">
        <is>
          <t>Kotak Quant Fund - Regular Plan - Growth Option</t>
        </is>
      </c>
      <c r="C172" s="96" t="inlineStr">
        <is>
          <t>Kotak Mahindra Mutual Fund</t>
        </is>
      </c>
      <c r="D172" s="96" t="inlineStr">
        <is>
          <t>Sectoral/ Thematic</t>
        </is>
      </c>
      <c r="E172" s="97" t="n">
        <v>-3.34</v>
      </c>
      <c r="F172" s="97" t="n">
        <v>-0.53</v>
      </c>
      <c r="G172" s="97" t="n">
        <v>-4.59</v>
      </c>
      <c r="H172" s="97" t="n">
        <v>-1.84</v>
      </c>
      <c r="I172" s="97" t="n">
        <v>-1.668926579641161</v>
      </c>
      <c r="J172" s="98" t="n">
        <v>0</v>
      </c>
      <c r="K172" s="78" t="n">
        <v>39.8</v>
      </c>
      <c r="L172" s="18" t="n">
        <v>0</v>
      </c>
      <c r="M172" s="19" t="n">
        <v>21.9</v>
      </c>
      <c r="N172" s="99" t="inlineStr">
        <is>
          <t>📉 Weak</t>
        </is>
      </c>
      <c r="O172" s="99" t="inlineStr">
        <is>
          <t>⏳ New Fund</t>
        </is>
      </c>
      <c r="P172" s="99" t="inlineStr">
        <is>
          <t>⏳ New Fund</t>
        </is>
      </c>
      <c r="Q172" s="100" t="inlineStr">
        <is>
          <t>MOMENTUM_ONLY</t>
        </is>
      </c>
    </row>
    <row r="173" ht="16" customHeight="1">
      <c r="A173" s="90" t="n">
        <v>169</v>
      </c>
      <c r="B173" s="91" t="inlineStr">
        <is>
          <t>ICICI Prudential Quant Fund Growth</t>
        </is>
      </c>
      <c r="C173" s="91" t="inlineStr">
        <is>
          <t>ICICI Prudential Mutual Fund</t>
        </is>
      </c>
      <c r="D173" s="91" t="inlineStr">
        <is>
          <t>Sectoral/ Thematic</t>
        </is>
      </c>
      <c r="E173" s="92" t="n">
        <v>-2.43</v>
      </c>
      <c r="F173" s="93" t="n">
        <v>0.18</v>
      </c>
      <c r="G173" s="92" t="n">
        <v>-6.83</v>
      </c>
      <c r="H173" s="92" t="n">
        <v>-5.2</v>
      </c>
      <c r="I173" s="93" t="n">
        <v>2.142057938931297</v>
      </c>
      <c r="J173" s="93" t="n">
        <v>43.39</v>
      </c>
      <c r="K173" s="78" t="n">
        <v>39.4</v>
      </c>
      <c r="L173" s="18" t="n">
        <v>0</v>
      </c>
      <c r="M173" s="19" t="n">
        <v>21.7</v>
      </c>
      <c r="N173" s="94" t="inlineStr">
        <is>
          <t>📉 Weak</t>
        </is>
      </c>
      <c r="O173" s="94" t="inlineStr">
        <is>
          <t>🔴 Not Qualified</t>
        </is>
      </c>
      <c r="P173" s="94" t="inlineStr">
        <is>
          <t>🔴 Avoid</t>
        </is>
      </c>
      <c r="Q173" s="68" t="inlineStr">
        <is>
          <t>FULL</t>
        </is>
      </c>
    </row>
    <row r="174" ht="16" customHeight="1">
      <c r="A174" s="95" t="n">
        <v>170</v>
      </c>
      <c r="B174" s="96" t="inlineStr">
        <is>
          <t>ICICI Prudential Quality Fund - Growth</t>
        </is>
      </c>
      <c r="C174" s="96" t="inlineStr">
        <is>
          <t>ICICI Prudential Mutual Fund</t>
        </is>
      </c>
      <c r="D174" s="96" t="inlineStr">
        <is>
          <t>Sectoral/ Thematic</t>
        </is>
      </c>
      <c r="E174" s="97" t="n">
        <v>-2.66</v>
      </c>
      <c r="F174" s="98" t="n">
        <v>0.3</v>
      </c>
      <c r="G174" s="97" t="n">
        <v>-6.71</v>
      </c>
      <c r="H174" s="97" t="n">
        <v>-3.52</v>
      </c>
      <c r="I174" s="98" t="n">
        <v>0</v>
      </c>
      <c r="J174" s="98" t="n">
        <v>0</v>
      </c>
      <c r="K174" s="78" t="n">
        <v>39.4</v>
      </c>
      <c r="L174" s="18" t="n">
        <v>0</v>
      </c>
      <c r="M174" s="19" t="n">
        <v>21.7</v>
      </c>
      <c r="N174" s="99" t="inlineStr">
        <is>
          <t>📉 Weak</t>
        </is>
      </c>
      <c r="O174" s="99" t="inlineStr">
        <is>
          <t>⏳ New Fund</t>
        </is>
      </c>
      <c r="P174" s="99" t="inlineStr">
        <is>
          <t>⏳ New Fund</t>
        </is>
      </c>
      <c r="Q174" s="100" t="inlineStr">
        <is>
          <t>MOMENTUM_ONLY</t>
        </is>
      </c>
    </row>
    <row r="175" ht="16" customHeight="1">
      <c r="A175" s="90" t="n">
        <v>171</v>
      </c>
      <c r="B175" s="91" t="inlineStr">
        <is>
          <t>UTI-Transportation and Logistics  Fund-Growth Option</t>
        </is>
      </c>
      <c r="C175" s="91" t="inlineStr">
        <is>
          <t>UTI Mutual Fund</t>
        </is>
      </c>
      <c r="D175" s="91" t="inlineStr">
        <is>
          <t>Sectoral/ Thematic</t>
        </is>
      </c>
      <c r="E175" s="92" t="n">
        <v>-3.66</v>
      </c>
      <c r="F175" s="93" t="n">
        <v>1.65</v>
      </c>
      <c r="G175" s="92" t="n">
        <v>-8.93</v>
      </c>
      <c r="H175" s="93" t="n">
        <v>3.38</v>
      </c>
      <c r="I175" s="93" t="n">
        <v>0.06997551713501249</v>
      </c>
      <c r="J175" s="93" t="n">
        <v>59.25</v>
      </c>
      <c r="K175" s="78" t="n">
        <v>39.3</v>
      </c>
      <c r="L175" s="18" t="n">
        <v>0</v>
      </c>
      <c r="M175" s="19" t="n">
        <v>21.6</v>
      </c>
      <c r="N175" s="94" t="inlineStr">
        <is>
          <t>📉 Weak</t>
        </is>
      </c>
      <c r="O175" s="94" t="inlineStr">
        <is>
          <t>🔴 Not Qualified</t>
        </is>
      </c>
      <c r="P175" s="94" t="inlineStr">
        <is>
          <t>🔴 Avoid</t>
        </is>
      </c>
      <c r="Q175" s="68" t="inlineStr">
        <is>
          <t>FULL</t>
        </is>
      </c>
    </row>
    <row r="176" ht="16" customHeight="1">
      <c r="A176" s="85" t="n">
        <v>172</v>
      </c>
      <c r="B176" s="86" t="inlineStr">
        <is>
          <t>Baroda BNP Paribas Business Cycle Fund - Regular Plan - Growth</t>
        </is>
      </c>
      <c r="C176" s="86" t="inlineStr">
        <is>
          <t>Baroda BNP Paribas Mutual Fund</t>
        </is>
      </c>
      <c r="D176" s="86" t="inlineStr">
        <is>
          <t>Sectoral/ Thematic</t>
        </is>
      </c>
      <c r="E176" s="87" t="n">
        <v>-3.41</v>
      </c>
      <c r="F176" s="88" t="n">
        <v>1.75</v>
      </c>
      <c r="G176" s="87" t="n">
        <v>-5.64</v>
      </c>
      <c r="H176" s="87" t="n">
        <v>-3.35</v>
      </c>
      <c r="I176" s="88" t="n">
        <v>0</v>
      </c>
      <c r="J176" s="88" t="n">
        <v>44.69</v>
      </c>
      <c r="K176" s="78" t="n">
        <v>39.3</v>
      </c>
      <c r="L176" s="18" t="n">
        <v>0</v>
      </c>
      <c r="M176" s="19" t="n">
        <v>21.6</v>
      </c>
      <c r="N176" s="89" t="inlineStr">
        <is>
          <t>📉 Weak</t>
        </is>
      </c>
      <c r="O176" s="89" t="inlineStr">
        <is>
          <t>🔴 Not Qualified</t>
        </is>
      </c>
      <c r="P176" s="89" t="inlineStr">
        <is>
          <t>🔴 Avoid</t>
        </is>
      </c>
      <c r="Q176" s="68" t="inlineStr">
        <is>
          <t>FULL</t>
        </is>
      </c>
    </row>
    <row r="177" ht="16" customHeight="1">
      <c r="A177" s="90" t="n">
        <v>173</v>
      </c>
      <c r="B177" s="91" t="inlineStr">
        <is>
          <t>Franklin Build India Fund Growth Plan</t>
        </is>
      </c>
      <c r="C177" s="91" t="inlineStr">
        <is>
          <t>Franklin Templeton Mutual Fund</t>
        </is>
      </c>
      <c r="D177" s="91" t="inlineStr">
        <is>
          <t>Sectoral/ Thematic</t>
        </is>
      </c>
      <c r="E177" s="92" t="n">
        <v>-4.29</v>
      </c>
      <c r="F177" s="92" t="n">
        <v>-0.38</v>
      </c>
      <c r="G177" s="92" t="n">
        <v>-1.25</v>
      </c>
      <c r="H177" s="92" t="n">
        <v>-1.74</v>
      </c>
      <c r="I177" s="93" t="n">
        <v>0.7273547751552867</v>
      </c>
      <c r="J177" s="93" t="n">
        <v>77.84999999999999</v>
      </c>
      <c r="K177" s="78" t="n">
        <v>39.2</v>
      </c>
      <c r="L177" s="18" t="n">
        <v>0</v>
      </c>
      <c r="M177" s="19" t="n">
        <v>21.6</v>
      </c>
      <c r="N177" s="94" t="inlineStr">
        <is>
          <t>📉 Weak</t>
        </is>
      </c>
      <c r="O177" s="94" t="inlineStr">
        <is>
          <t>🔴 Not Qualified</t>
        </is>
      </c>
      <c r="P177" s="94" t="inlineStr">
        <is>
          <t>🔴 Avoid</t>
        </is>
      </c>
      <c r="Q177" s="68" t="inlineStr">
        <is>
          <t>FULL</t>
        </is>
      </c>
    </row>
    <row r="178" ht="16" customHeight="1">
      <c r="A178" s="95" t="n">
        <v>174</v>
      </c>
      <c r="B178" s="96" t="inlineStr">
        <is>
          <t>ICICI Prudential Conglomerate Fund - Growth</t>
        </is>
      </c>
      <c r="C178" s="96" t="inlineStr">
        <is>
          <t>ICICI Prudential Mutual Fund</t>
        </is>
      </c>
      <c r="D178" s="96" t="inlineStr">
        <is>
          <t>Sectoral/ Thematic</t>
        </is>
      </c>
      <c r="E178" s="97" t="n">
        <v>-4.75</v>
      </c>
      <c r="F178" s="98" t="n">
        <v>1.05</v>
      </c>
      <c r="G178" s="97" t="n">
        <v>-3.12</v>
      </c>
      <c r="H178" s="98" t="n">
        <v>0</v>
      </c>
      <c r="I178" s="98" t="n">
        <v>0</v>
      </c>
      <c r="J178" s="98" t="n">
        <v>0</v>
      </c>
      <c r="K178" s="78" t="n">
        <v>39</v>
      </c>
      <c r="L178" s="18" t="n">
        <v>0</v>
      </c>
      <c r="M178" s="19" t="n">
        <v>21.5</v>
      </c>
      <c r="N178" s="99" t="inlineStr">
        <is>
          <t>📉 Weak</t>
        </is>
      </c>
      <c r="O178" s="99" t="inlineStr">
        <is>
          <t>⏳ New Fund</t>
        </is>
      </c>
      <c r="P178" s="99" t="inlineStr">
        <is>
          <t>⏳ New Fund</t>
        </is>
      </c>
      <c r="Q178" s="100" t="inlineStr">
        <is>
          <t>MOMENTUM_ONLY</t>
        </is>
      </c>
    </row>
    <row r="179" ht="16" customHeight="1">
      <c r="A179" s="90" t="n">
        <v>175</v>
      </c>
      <c r="B179" s="91" t="inlineStr">
        <is>
          <t>Taurus Banking &amp; Financial Services Fund - Regular Plan - Growth</t>
        </is>
      </c>
      <c r="C179" s="91" t="inlineStr">
        <is>
          <t>Taurus Mutual Fund</t>
        </is>
      </c>
      <c r="D179" s="91" t="inlineStr">
        <is>
          <t>Sectoral/ Thematic</t>
        </is>
      </c>
      <c r="E179" s="92" t="n">
        <v>-1.97</v>
      </c>
      <c r="F179" s="92" t="n">
        <v>-0.04</v>
      </c>
      <c r="G179" s="92" t="n">
        <v>-6.96</v>
      </c>
      <c r="H179" s="92" t="n">
        <v>-6.57</v>
      </c>
      <c r="I179" s="93" t="n">
        <v>2.698588111034894</v>
      </c>
      <c r="J179" s="93" t="n">
        <v>27.55</v>
      </c>
      <c r="K179" s="78" t="n">
        <v>39</v>
      </c>
      <c r="L179" s="18" t="n">
        <v>0</v>
      </c>
      <c r="M179" s="19" t="n">
        <v>21.5</v>
      </c>
      <c r="N179" s="94" t="inlineStr">
        <is>
          <t>📉 Weak</t>
        </is>
      </c>
      <c r="O179" s="94" t="inlineStr">
        <is>
          <t>🔴 Not Qualified</t>
        </is>
      </c>
      <c r="P179" s="94" t="inlineStr">
        <is>
          <t>🔴 Avoid</t>
        </is>
      </c>
      <c r="Q179" s="68" t="inlineStr">
        <is>
          <t>FULL</t>
        </is>
      </c>
    </row>
    <row r="180" ht="16" customHeight="1">
      <c r="A180" s="85" t="n">
        <v>176</v>
      </c>
      <c r="B180" s="86" t="inlineStr">
        <is>
          <t>Taurus Banking &amp; Financial Services Fund - Regular Plan - Payout of Income Distribution cum Capital Withdrawal option</t>
        </is>
      </c>
      <c r="C180" s="86" t="inlineStr">
        <is>
          <t>Taurus Mutual Fund</t>
        </is>
      </c>
      <c r="D180" s="86" t="inlineStr">
        <is>
          <t>Sectoral/ Thematic</t>
        </is>
      </c>
      <c r="E180" s="87" t="n">
        <v>-1.96</v>
      </c>
      <c r="F180" s="87" t="n">
        <v>-0.04</v>
      </c>
      <c r="G180" s="87" t="n">
        <v>-6.97</v>
      </c>
      <c r="H180" s="87" t="n">
        <v>-6.59</v>
      </c>
      <c r="I180" s="88" t="n">
        <v>2.698588111034894</v>
      </c>
      <c r="J180" s="88" t="n">
        <v>27.52</v>
      </c>
      <c r="K180" s="78" t="n">
        <v>38.9</v>
      </c>
      <c r="L180" s="18" t="n">
        <v>0</v>
      </c>
      <c r="M180" s="19" t="n">
        <v>21.4</v>
      </c>
      <c r="N180" s="89" t="inlineStr">
        <is>
          <t>📉 Weak</t>
        </is>
      </c>
      <c r="O180" s="89" t="inlineStr">
        <is>
          <t>🔴 Not Qualified</t>
        </is>
      </c>
      <c r="P180" s="89" t="inlineStr">
        <is>
          <t>🔴 Avoid</t>
        </is>
      </c>
      <c r="Q180" s="68" t="inlineStr">
        <is>
          <t>FULL</t>
        </is>
      </c>
    </row>
    <row r="181" ht="16" customHeight="1">
      <c r="A181" s="90" t="n">
        <v>177</v>
      </c>
      <c r="B181" s="91" t="inlineStr">
        <is>
          <t>Mirae Asset Banking and Financial Services Fund Regular Growth</t>
        </is>
      </c>
      <c r="C181" s="91" t="inlineStr">
        <is>
          <t>Mirae Asset Mutual Fund</t>
        </is>
      </c>
      <c r="D181" s="91" t="inlineStr">
        <is>
          <t>Sectoral/ Thematic</t>
        </is>
      </c>
      <c r="E181" s="92" t="n">
        <v>-1.9</v>
      </c>
      <c r="F181" s="92" t="n">
        <v>-1.9</v>
      </c>
      <c r="G181" s="92" t="n">
        <v>-7.47</v>
      </c>
      <c r="H181" s="92" t="n">
        <v>-2.11</v>
      </c>
      <c r="I181" s="93" t="n">
        <v>7.093417164641824</v>
      </c>
      <c r="J181" s="93" t="n">
        <v>42.01</v>
      </c>
      <c r="K181" s="78" t="n">
        <v>38.9</v>
      </c>
      <c r="L181" s="18" t="n">
        <v>0</v>
      </c>
      <c r="M181" s="19" t="n">
        <v>21.4</v>
      </c>
      <c r="N181" s="94" t="inlineStr">
        <is>
          <t>📉 Weak</t>
        </is>
      </c>
      <c r="O181" s="94" t="inlineStr">
        <is>
          <t>🔴 Not Qualified</t>
        </is>
      </c>
      <c r="P181" s="94" t="inlineStr">
        <is>
          <t>🔴 Avoid</t>
        </is>
      </c>
      <c r="Q181" s="68" t="inlineStr">
        <is>
          <t>FULL</t>
        </is>
      </c>
    </row>
    <row r="182" ht="16" customHeight="1">
      <c r="A182" s="85" t="n">
        <v>178</v>
      </c>
      <c r="B182" s="86" t="inlineStr">
        <is>
          <t>Axis Business Cycles Fund - Regular Plan - Growth</t>
        </is>
      </c>
      <c r="C182" s="86" t="inlineStr">
        <is>
          <t>Axis Mutual Fund</t>
        </is>
      </c>
      <c r="D182" s="86" t="inlineStr">
        <is>
          <t>Sectoral/ Thematic</t>
        </is>
      </c>
      <c r="E182" s="87" t="n">
        <v>-3.9</v>
      </c>
      <c r="F182" s="88" t="n">
        <v>2.27</v>
      </c>
      <c r="G182" s="87" t="n">
        <v>-4.25</v>
      </c>
      <c r="H182" s="87" t="n">
        <v>-4.37</v>
      </c>
      <c r="I182" s="88" t="n">
        <v>1.192885125388132</v>
      </c>
      <c r="J182" s="88" t="n">
        <v>42.46</v>
      </c>
      <c r="K182" s="78" t="n">
        <v>38.4</v>
      </c>
      <c r="L182" s="18" t="n">
        <v>0</v>
      </c>
      <c r="M182" s="19" t="n">
        <v>21.1</v>
      </c>
      <c r="N182" s="89" t="inlineStr">
        <is>
          <t>📉 Weak</t>
        </is>
      </c>
      <c r="O182" s="89" t="inlineStr">
        <is>
          <t>🔴 Not Qualified</t>
        </is>
      </c>
      <c r="P182" s="89" t="inlineStr">
        <is>
          <t>🔴 Avoid</t>
        </is>
      </c>
      <c r="Q182" s="68" t="inlineStr">
        <is>
          <t>FULL</t>
        </is>
      </c>
    </row>
    <row r="183" ht="16" customHeight="1">
      <c r="A183" s="90" t="n">
        <v>179</v>
      </c>
      <c r="B183" s="91" t="inlineStr">
        <is>
          <t>UTI Banking and Financial Services Fund - Regular Plan - Growth Option</t>
        </is>
      </c>
      <c r="C183" s="91" t="inlineStr">
        <is>
          <t>UTI Mutual Fund</t>
        </is>
      </c>
      <c r="D183" s="91" t="inlineStr">
        <is>
          <t>Sectoral/ Thematic</t>
        </is>
      </c>
      <c r="E183" s="92" t="n">
        <v>-2.24</v>
      </c>
      <c r="F183" s="92" t="n">
        <v>-1.3</v>
      </c>
      <c r="G183" s="92" t="n">
        <v>-7.04</v>
      </c>
      <c r="H183" s="92" t="n">
        <v>-4.41</v>
      </c>
      <c r="I183" s="93" t="n">
        <v>6.597373325987732</v>
      </c>
      <c r="J183" s="93" t="n">
        <v>39.74</v>
      </c>
      <c r="K183" s="78" t="n">
        <v>38</v>
      </c>
      <c r="L183" s="18" t="n">
        <v>0</v>
      </c>
      <c r="M183" s="19" t="n">
        <v>20.9</v>
      </c>
      <c r="N183" s="94" t="inlineStr">
        <is>
          <t>📉 Weak</t>
        </is>
      </c>
      <c r="O183" s="94" t="inlineStr">
        <is>
          <t>🔴 Not Qualified</t>
        </is>
      </c>
      <c r="P183" s="94" t="inlineStr">
        <is>
          <t>🔴 Avoid</t>
        </is>
      </c>
      <c r="Q183" s="68" t="inlineStr">
        <is>
          <t>FULL</t>
        </is>
      </c>
    </row>
    <row r="184" ht="16" customHeight="1">
      <c r="A184" s="95" t="n">
        <v>180</v>
      </c>
      <c r="B184" s="96" t="inlineStr">
        <is>
          <t>SBI Innovative Opportunities Fund - Regular Plan - Income Distribution Cum Capital Withdrawal Option</t>
        </is>
      </c>
      <c r="C184" s="96" t="inlineStr">
        <is>
          <t>SBI Mutual Fund</t>
        </is>
      </c>
      <c r="D184" s="96" t="inlineStr">
        <is>
          <t>Sectoral/ Thematic</t>
        </is>
      </c>
      <c r="E184" s="97" t="n">
        <v>-3.01</v>
      </c>
      <c r="F184" s="98" t="n">
        <v>5.94</v>
      </c>
      <c r="G184" s="97" t="n">
        <v>-8.84</v>
      </c>
      <c r="H184" s="97" t="n">
        <v>-7.01</v>
      </c>
      <c r="I184" s="98" t="n">
        <v>0</v>
      </c>
      <c r="J184" s="98" t="n">
        <v>0</v>
      </c>
      <c r="K184" s="78" t="n">
        <v>37.6</v>
      </c>
      <c r="L184" s="18" t="n">
        <v>0</v>
      </c>
      <c r="M184" s="19" t="n">
        <v>20.7</v>
      </c>
      <c r="N184" s="99" t="inlineStr">
        <is>
          <t>📉 Weak</t>
        </is>
      </c>
      <c r="O184" s="99" t="inlineStr">
        <is>
          <t>⏳ New Fund</t>
        </is>
      </c>
      <c r="P184" s="99" t="inlineStr">
        <is>
          <t>⏳ New Fund</t>
        </is>
      </c>
      <c r="Q184" s="100" t="inlineStr">
        <is>
          <t>MOMENTUM_ONLY</t>
        </is>
      </c>
    </row>
    <row r="185" ht="16" customHeight="1">
      <c r="A185" s="95" t="n">
        <v>180</v>
      </c>
      <c r="B185" s="96" t="inlineStr">
        <is>
          <t>SBI Innovative Opportunities Fund - Regular Plan - Growth</t>
        </is>
      </c>
      <c r="C185" s="96" t="inlineStr">
        <is>
          <t>SBI Mutual Fund</t>
        </is>
      </c>
      <c r="D185" s="96" t="inlineStr">
        <is>
          <t>Sectoral/ Thematic</t>
        </is>
      </c>
      <c r="E185" s="97" t="n">
        <v>-3.01</v>
      </c>
      <c r="F185" s="98" t="n">
        <v>5.94</v>
      </c>
      <c r="G185" s="97" t="n">
        <v>-8.84</v>
      </c>
      <c r="H185" s="97" t="n">
        <v>-7.01</v>
      </c>
      <c r="I185" s="98" t="n">
        <v>0</v>
      </c>
      <c r="J185" s="98" t="n">
        <v>0</v>
      </c>
      <c r="K185" s="78" t="n">
        <v>37.6</v>
      </c>
      <c r="L185" s="18" t="n">
        <v>0</v>
      </c>
      <c r="M185" s="19" t="n">
        <v>20.7</v>
      </c>
      <c r="N185" s="99" t="inlineStr">
        <is>
          <t>📉 Weak</t>
        </is>
      </c>
      <c r="O185" s="99" t="inlineStr">
        <is>
          <t>⏳ New Fund</t>
        </is>
      </c>
      <c r="P185" s="99" t="inlineStr">
        <is>
          <t>⏳ New Fund</t>
        </is>
      </c>
      <c r="Q185" s="100" t="inlineStr">
        <is>
          <t>MOMENTUM_ONLY</t>
        </is>
      </c>
    </row>
    <row r="186" ht="16" customHeight="1">
      <c r="A186" s="95" t="n">
        <v>182</v>
      </c>
      <c r="B186" s="96" t="inlineStr">
        <is>
          <t>LIC MF Consumption Fund-Regular Plan-Growth</t>
        </is>
      </c>
      <c r="C186" s="96" t="inlineStr">
        <is>
          <t>LIC Mutual Fund</t>
        </is>
      </c>
      <c r="D186" s="96" t="inlineStr">
        <is>
          <t>Sectoral/ Thematic</t>
        </is>
      </c>
      <c r="E186" s="97" t="n">
        <v>-3.73</v>
      </c>
      <c r="F186" s="98" t="n">
        <v>2.53</v>
      </c>
      <c r="G186" s="97" t="n">
        <v>-8.23</v>
      </c>
      <c r="H186" s="98" t="n">
        <v>0</v>
      </c>
      <c r="I186" s="98" t="n">
        <v>0</v>
      </c>
      <c r="J186" s="98" t="n">
        <v>0</v>
      </c>
      <c r="K186" s="78" t="n">
        <v>37.6</v>
      </c>
      <c r="L186" s="18" t="n">
        <v>0</v>
      </c>
      <c r="M186" s="19" t="n">
        <v>20.7</v>
      </c>
      <c r="N186" s="99" t="inlineStr">
        <is>
          <t>📉 Weak</t>
        </is>
      </c>
      <c r="O186" s="99" t="inlineStr">
        <is>
          <t>⏳ New Fund</t>
        </is>
      </c>
      <c r="P186" s="99" t="inlineStr">
        <is>
          <t>⏳ New Fund</t>
        </is>
      </c>
      <c r="Q186" s="100" t="inlineStr">
        <is>
          <t>MOMENTUM_ONLY</t>
        </is>
      </c>
    </row>
    <row r="187" ht="16" customHeight="1">
      <c r="A187" s="90" t="n">
        <v>183</v>
      </c>
      <c r="B187" s="91" t="inlineStr">
        <is>
          <t>Mirae Asset Great Consumer Fund - Regular Plan - Growth option</t>
        </is>
      </c>
      <c r="C187" s="91" t="inlineStr">
        <is>
          <t>Mirae Asset Mutual Fund</t>
        </is>
      </c>
      <c r="D187" s="91" t="inlineStr">
        <is>
          <t>Sectoral/ Thematic</t>
        </is>
      </c>
      <c r="E187" s="92" t="n">
        <v>-2.51</v>
      </c>
      <c r="F187" s="93" t="n">
        <v>3.22</v>
      </c>
      <c r="G187" s="92" t="n">
        <v>-9.630000000000001</v>
      </c>
      <c r="H187" s="92" t="n">
        <v>-6.53</v>
      </c>
      <c r="I187" s="92" t="n">
        <v>-1.354168866596295</v>
      </c>
      <c r="J187" s="93" t="n">
        <v>32.49</v>
      </c>
      <c r="K187" s="78" t="n">
        <v>37.5</v>
      </c>
      <c r="L187" s="18" t="n">
        <v>0</v>
      </c>
      <c r="M187" s="19" t="n">
        <v>20.6</v>
      </c>
      <c r="N187" s="94" t="inlineStr">
        <is>
          <t>📉 Weak</t>
        </is>
      </c>
      <c r="O187" s="94" t="inlineStr">
        <is>
          <t>🔴 Not Qualified</t>
        </is>
      </c>
      <c r="P187" s="94" t="inlineStr">
        <is>
          <t>🔴 Avoid</t>
        </is>
      </c>
      <c r="Q187" s="68" t="inlineStr">
        <is>
          <t>FULL</t>
        </is>
      </c>
    </row>
    <row r="188" ht="16" customHeight="1">
      <c r="A188" s="85" t="n">
        <v>184</v>
      </c>
      <c r="B188" s="86" t="inlineStr">
        <is>
          <t>ICICI Prudential India Opportunities Fund - Cumulative Option</t>
        </is>
      </c>
      <c r="C188" s="86" t="inlineStr">
        <is>
          <t>ICICI Prudential Mutual Fund</t>
        </is>
      </c>
      <c r="D188" s="86" t="inlineStr">
        <is>
          <t>Sectoral/ Thematic</t>
        </is>
      </c>
      <c r="E188" s="87" t="n">
        <v>-2.66</v>
      </c>
      <c r="F188" s="87" t="n">
        <v>-1.14</v>
      </c>
      <c r="G188" s="87" t="n">
        <v>-7.26</v>
      </c>
      <c r="H188" s="87" t="n">
        <v>-2.88</v>
      </c>
      <c r="I188" s="88" t="n">
        <v>4.880884817015163</v>
      </c>
      <c r="J188" s="88" t="n">
        <v>63.09</v>
      </c>
      <c r="K188" s="78" t="n">
        <v>37.1</v>
      </c>
      <c r="L188" s="18" t="n">
        <v>0</v>
      </c>
      <c r="M188" s="19" t="n">
        <v>20.4</v>
      </c>
      <c r="N188" s="89" t="inlineStr">
        <is>
          <t>📉 Weak</t>
        </is>
      </c>
      <c r="O188" s="89" t="inlineStr">
        <is>
          <t>🔴 Not Qualified</t>
        </is>
      </c>
      <c r="P188" s="89" t="inlineStr">
        <is>
          <t>🔴 Avoid</t>
        </is>
      </c>
      <c r="Q188" s="68" t="inlineStr">
        <is>
          <t>FULL</t>
        </is>
      </c>
    </row>
    <row r="189" ht="16" customHeight="1">
      <c r="A189" s="95" t="n">
        <v>185</v>
      </c>
      <c r="B189" s="96" t="inlineStr">
        <is>
          <t>Bandhan Multi-Factor Fund - Regular Plan - Growth</t>
        </is>
      </c>
      <c r="C189" s="96" t="inlineStr">
        <is>
          <t>Bandhan Mutual Fund</t>
        </is>
      </c>
      <c r="D189" s="96" t="inlineStr">
        <is>
          <t>Sectoral/ Thematic</t>
        </is>
      </c>
      <c r="E189" s="97" t="n">
        <v>-2.56</v>
      </c>
      <c r="F189" s="97" t="n">
        <v>-4.37</v>
      </c>
      <c r="G189" s="97" t="n">
        <v>-6.14</v>
      </c>
      <c r="H189" s="98" t="n">
        <v>0</v>
      </c>
      <c r="I189" s="98" t="n">
        <v>0</v>
      </c>
      <c r="J189" s="98" t="n">
        <v>0</v>
      </c>
      <c r="K189" s="78" t="n">
        <v>36.9</v>
      </c>
      <c r="L189" s="18" t="n">
        <v>0</v>
      </c>
      <c r="M189" s="19" t="n">
        <v>20.3</v>
      </c>
      <c r="N189" s="99" t="inlineStr">
        <is>
          <t>📉 Weak</t>
        </is>
      </c>
      <c r="O189" s="99" t="inlineStr">
        <is>
          <t>⏳ New Fund</t>
        </is>
      </c>
      <c r="P189" s="99" t="inlineStr">
        <is>
          <t>⏳ New Fund</t>
        </is>
      </c>
      <c r="Q189" s="100" t="inlineStr">
        <is>
          <t>MOMENTUM_ONLY</t>
        </is>
      </c>
    </row>
    <row r="190" ht="16" customHeight="1">
      <c r="A190" s="95" t="n">
        <v>186</v>
      </c>
      <c r="B190" s="96" t="inlineStr">
        <is>
          <t>BAJAJ FINSERV CONSUMPTION FUND - REGULAR - GROWTH</t>
        </is>
      </c>
      <c r="C190" s="96" t="inlineStr">
        <is>
          <t>Bajaj Finserv Mutual Fund</t>
        </is>
      </c>
      <c r="D190" s="96" t="inlineStr">
        <is>
          <t>Sectoral/ Thematic</t>
        </is>
      </c>
      <c r="E190" s="97" t="n">
        <v>-2.48</v>
      </c>
      <c r="F190" s="98" t="n">
        <v>4.37</v>
      </c>
      <c r="G190" s="97" t="n">
        <v>-9.050000000000001</v>
      </c>
      <c r="H190" s="97" t="n">
        <v>-11.01</v>
      </c>
      <c r="I190" s="98" t="n">
        <v>0</v>
      </c>
      <c r="J190" s="98" t="n">
        <v>0</v>
      </c>
      <c r="K190" s="78" t="n">
        <v>36.6</v>
      </c>
      <c r="L190" s="18" t="n">
        <v>0</v>
      </c>
      <c r="M190" s="19" t="n">
        <v>20.1</v>
      </c>
      <c r="N190" s="99" t="inlineStr">
        <is>
          <t>📉 Weak</t>
        </is>
      </c>
      <c r="O190" s="99" t="inlineStr">
        <is>
          <t>⏳ New Fund</t>
        </is>
      </c>
      <c r="P190" s="99" t="inlineStr">
        <is>
          <t>⏳ New Fund</t>
        </is>
      </c>
      <c r="Q190" s="100" t="inlineStr">
        <is>
          <t>MOMENTUM_ONLY</t>
        </is>
      </c>
    </row>
    <row r="191" ht="16" customHeight="1">
      <c r="A191" s="95" t="n">
        <v>187</v>
      </c>
      <c r="B191" s="96" t="inlineStr">
        <is>
          <t>Franklin India Multi-Factor Fund- Growth</t>
        </is>
      </c>
      <c r="C191" s="96" t="inlineStr">
        <is>
          <t>Franklin Templeton Mutual Fund</t>
        </is>
      </c>
      <c r="D191" s="96" t="inlineStr">
        <is>
          <t>Sectoral/ Thematic</t>
        </is>
      </c>
      <c r="E191" s="97" t="n">
        <v>-2.85</v>
      </c>
      <c r="F191" s="97" t="n">
        <v>-1.79</v>
      </c>
      <c r="G191" s="97" t="n">
        <v>-8.09</v>
      </c>
      <c r="H191" s="98" t="n">
        <v>0</v>
      </c>
      <c r="I191" s="98" t="n">
        <v>0</v>
      </c>
      <c r="J191" s="98" t="n">
        <v>0</v>
      </c>
      <c r="K191" s="78" t="n">
        <v>36.5</v>
      </c>
      <c r="L191" s="18" t="n">
        <v>0</v>
      </c>
      <c r="M191" s="19" t="n">
        <v>20.1</v>
      </c>
      <c r="N191" s="99" t="inlineStr">
        <is>
          <t>📉 Weak</t>
        </is>
      </c>
      <c r="O191" s="99" t="inlineStr">
        <is>
          <t>⏳ New Fund</t>
        </is>
      </c>
      <c r="P191" s="99" t="inlineStr">
        <is>
          <t>⏳ New Fund</t>
        </is>
      </c>
      <c r="Q191" s="100" t="inlineStr">
        <is>
          <t>MOMENTUM_ONLY</t>
        </is>
      </c>
    </row>
    <row r="192" ht="16" customHeight="1">
      <c r="A192" s="85" t="n">
        <v>188</v>
      </c>
      <c r="B192" s="86" t="inlineStr">
        <is>
          <t>ICICI PRUDENTIAL HOUSING OPPORTUNITIES FUND - Growth</t>
        </is>
      </c>
      <c r="C192" s="86" t="inlineStr">
        <is>
          <t>ICICI Prudential Mutual Fund</t>
        </is>
      </c>
      <c r="D192" s="86" t="inlineStr">
        <is>
          <t>Sectoral/ Thematic</t>
        </is>
      </c>
      <c r="E192" s="87" t="n">
        <v>-3.72</v>
      </c>
      <c r="F192" s="88" t="n">
        <v>0.79</v>
      </c>
      <c r="G192" s="87" t="n">
        <v>-4.66</v>
      </c>
      <c r="H192" s="87" t="n">
        <v>-3.83</v>
      </c>
      <c r="I192" s="88" t="n">
        <v>1.479061879778931</v>
      </c>
      <c r="J192" s="88" t="n">
        <v>45.31</v>
      </c>
      <c r="K192" s="78" t="n">
        <v>36.4</v>
      </c>
      <c r="L192" s="18" t="n">
        <v>0</v>
      </c>
      <c r="M192" s="19" t="n">
        <v>20</v>
      </c>
      <c r="N192" s="89" t="inlineStr">
        <is>
          <t>📉 Weak</t>
        </is>
      </c>
      <c r="O192" s="89" t="inlineStr">
        <is>
          <t>🔴 Not Qualified</t>
        </is>
      </c>
      <c r="P192" s="89" t="inlineStr">
        <is>
          <t>🔴 Avoid</t>
        </is>
      </c>
      <c r="Q192" s="68" t="inlineStr">
        <is>
          <t>FULL</t>
        </is>
      </c>
    </row>
    <row r="193" ht="16" customHeight="1">
      <c r="A193" s="90" t="n">
        <v>189</v>
      </c>
      <c r="B193" s="91" t="inlineStr">
        <is>
          <t>Nippon India Quant Fund -Growth Plan - Growth Option</t>
        </is>
      </c>
      <c r="C193" s="91" t="inlineStr">
        <is>
          <t>Nippon India Mutual Fund</t>
        </is>
      </c>
      <c r="D193" s="91" t="inlineStr">
        <is>
          <t>Sectoral/ Thematic</t>
        </is>
      </c>
      <c r="E193" s="92" t="n">
        <v>-2.98</v>
      </c>
      <c r="F193" s="92" t="n">
        <v>-1.89</v>
      </c>
      <c r="G193" s="92" t="n">
        <v>-6.36</v>
      </c>
      <c r="H193" s="92" t="n">
        <v>-2.97</v>
      </c>
      <c r="I193" s="93" t="n">
        <v>2.941731090942912</v>
      </c>
      <c r="J193" s="93" t="n">
        <v>51.6</v>
      </c>
      <c r="K193" s="78" t="n">
        <v>36.2</v>
      </c>
      <c r="L193" s="18" t="n">
        <v>0</v>
      </c>
      <c r="M193" s="19" t="n">
        <v>19.9</v>
      </c>
      <c r="N193" s="94" t="inlineStr">
        <is>
          <t>📉 Weak</t>
        </is>
      </c>
      <c r="O193" s="94" t="inlineStr">
        <is>
          <t>🔴 Not Qualified</t>
        </is>
      </c>
      <c r="P193" s="94" t="inlineStr">
        <is>
          <t>🔴 Avoid</t>
        </is>
      </c>
      <c r="Q193" s="68" t="inlineStr">
        <is>
          <t>FULL</t>
        </is>
      </c>
    </row>
    <row r="194" ht="16" customHeight="1">
      <c r="A194" s="85" t="n">
        <v>189</v>
      </c>
      <c r="B194" s="86" t="inlineStr">
        <is>
          <t>Nippon India Quant Fund -Growth Plan -Bonus Option</t>
        </is>
      </c>
      <c r="C194" s="86" t="inlineStr">
        <is>
          <t>Nippon India Mutual Fund</t>
        </is>
      </c>
      <c r="D194" s="86" t="inlineStr">
        <is>
          <t>Sectoral/ Thematic</t>
        </is>
      </c>
      <c r="E194" s="87" t="n">
        <v>-2.98</v>
      </c>
      <c r="F194" s="87" t="n">
        <v>-1.89</v>
      </c>
      <c r="G194" s="87" t="n">
        <v>-6.36</v>
      </c>
      <c r="H194" s="87" t="n">
        <v>-2.97</v>
      </c>
      <c r="I194" s="88" t="n">
        <v>2.941731090942912</v>
      </c>
      <c r="J194" s="88" t="n">
        <v>51.6</v>
      </c>
      <c r="K194" s="78" t="n">
        <v>36.2</v>
      </c>
      <c r="L194" s="18" t="n">
        <v>0</v>
      </c>
      <c r="M194" s="19" t="n">
        <v>19.9</v>
      </c>
      <c r="N194" s="89" t="inlineStr">
        <is>
          <t>📉 Weak</t>
        </is>
      </c>
      <c r="O194" s="89" t="inlineStr">
        <is>
          <t>🔴 Not Qualified</t>
        </is>
      </c>
      <c r="P194" s="89" t="inlineStr">
        <is>
          <t>🔴 Avoid</t>
        </is>
      </c>
      <c r="Q194" s="68" t="inlineStr">
        <is>
          <t>FULL</t>
        </is>
      </c>
    </row>
    <row r="195" ht="16" customHeight="1">
      <c r="A195" s="90" t="n">
        <v>191</v>
      </c>
      <c r="B195" s="91" t="inlineStr">
        <is>
          <t>HDFC Infrastructure Fund - Growth Plan</t>
        </is>
      </c>
      <c r="C195" s="91" t="inlineStr">
        <is>
          <t>HDFC Mutual Fund</t>
        </is>
      </c>
      <c r="D195" s="91" t="inlineStr">
        <is>
          <t>Sectoral/ Thematic</t>
        </is>
      </c>
      <c r="E195" s="92" t="n">
        <v>-3.67</v>
      </c>
      <c r="F195" s="93" t="n">
        <v>1.3</v>
      </c>
      <c r="G195" s="92" t="n">
        <v>-3.6</v>
      </c>
      <c r="H195" s="92" t="n">
        <v>-5.91</v>
      </c>
      <c r="I195" s="92" t="n">
        <v>-1.015152674765418</v>
      </c>
      <c r="J195" s="93" t="n">
        <v>72.23999999999999</v>
      </c>
      <c r="K195" s="78" t="n">
        <v>35.8</v>
      </c>
      <c r="L195" s="18" t="n">
        <v>0</v>
      </c>
      <c r="M195" s="19" t="n">
        <v>19.7</v>
      </c>
      <c r="N195" s="94" t="inlineStr">
        <is>
          <t>📉 Weak</t>
        </is>
      </c>
      <c r="O195" s="94" t="inlineStr">
        <is>
          <t>🔴 Not Qualified</t>
        </is>
      </c>
      <c r="P195" s="94" t="inlineStr">
        <is>
          <t>🔴 Avoid</t>
        </is>
      </c>
      <c r="Q195" s="68" t="inlineStr">
        <is>
          <t>FULL</t>
        </is>
      </c>
    </row>
    <row r="196" ht="16" customHeight="1">
      <c r="A196" s="85" t="n">
        <v>192</v>
      </c>
      <c r="B196" s="86" t="inlineStr">
        <is>
          <t>Axis ESG Integration Strategy Fund - Regular Plan - Growth Option</t>
        </is>
      </c>
      <c r="C196" s="86" t="inlineStr">
        <is>
          <t>Axis Mutual Fund</t>
        </is>
      </c>
      <c r="D196" s="86" t="inlineStr">
        <is>
          <t>Sectoral/ Thematic</t>
        </is>
      </c>
      <c r="E196" s="87" t="n">
        <v>-2.49</v>
      </c>
      <c r="F196" s="88" t="n">
        <v>0.5</v>
      </c>
      <c r="G196" s="87" t="n">
        <v>-8.34</v>
      </c>
      <c r="H196" s="87" t="n">
        <v>-6.37</v>
      </c>
      <c r="I196" s="87" t="n">
        <v>-0.4962312271540203</v>
      </c>
      <c r="J196" s="88" t="n">
        <v>27.55</v>
      </c>
      <c r="K196" s="78" t="n">
        <v>35.4</v>
      </c>
      <c r="L196" s="18" t="n">
        <v>0</v>
      </c>
      <c r="M196" s="19" t="n">
        <v>19.5</v>
      </c>
      <c r="N196" s="89" t="inlineStr">
        <is>
          <t>📉 Weak</t>
        </is>
      </c>
      <c r="O196" s="89" t="inlineStr">
        <is>
          <t>🔴 Not Qualified</t>
        </is>
      </c>
      <c r="P196" s="89" t="inlineStr">
        <is>
          <t>🔴 Avoid</t>
        </is>
      </c>
      <c r="Q196" s="68" t="inlineStr">
        <is>
          <t>FULL</t>
        </is>
      </c>
    </row>
    <row r="197" ht="16" customHeight="1">
      <c r="A197" s="90" t="n">
        <v>193</v>
      </c>
      <c r="B197" s="91" t="inlineStr">
        <is>
          <t>ICICI Prudential Business Cycle Fund Growth</t>
        </is>
      </c>
      <c r="C197" s="91" t="inlineStr">
        <is>
          <t>ICICI Prudential Mutual Fund</t>
        </is>
      </c>
      <c r="D197" s="91" t="inlineStr">
        <is>
          <t>Sectoral/ Thematic</t>
        </is>
      </c>
      <c r="E197" s="92" t="n">
        <v>-3.03</v>
      </c>
      <c r="F197" s="92" t="n">
        <v>-0.5</v>
      </c>
      <c r="G197" s="92" t="n">
        <v>-8</v>
      </c>
      <c r="H197" s="92" t="n">
        <v>-2.27</v>
      </c>
      <c r="I197" s="93" t="n">
        <v>3.985575922817297</v>
      </c>
      <c r="J197" s="93" t="n">
        <v>60.43</v>
      </c>
      <c r="K197" s="78" t="n">
        <v>34.8</v>
      </c>
      <c r="L197" s="18" t="n">
        <v>0</v>
      </c>
      <c r="M197" s="19" t="n">
        <v>19.2</v>
      </c>
      <c r="N197" s="94" t="inlineStr">
        <is>
          <t>📉 Weak</t>
        </is>
      </c>
      <c r="O197" s="94" t="inlineStr">
        <is>
          <t>🔴 Not Qualified</t>
        </is>
      </c>
      <c r="P197" s="94" t="inlineStr">
        <is>
          <t>🔴 Avoid</t>
        </is>
      </c>
      <c r="Q197" s="68" t="inlineStr">
        <is>
          <t>FULL</t>
        </is>
      </c>
    </row>
    <row r="198" ht="16" customHeight="1">
      <c r="A198" s="95" t="n">
        <v>194</v>
      </c>
      <c r="B198" s="96" t="inlineStr">
        <is>
          <t>Edelweiss Business Cycle Fund - Regular Plan - Growth</t>
        </is>
      </c>
      <c r="C198" s="96" t="inlineStr">
        <is>
          <t>Edelweiss Mutual Fund</t>
        </is>
      </c>
      <c r="D198" s="96" t="inlineStr">
        <is>
          <t>Sectoral/ Thematic</t>
        </is>
      </c>
      <c r="E198" s="97" t="n">
        <v>-3.21</v>
      </c>
      <c r="F198" s="97" t="n">
        <v>-0.93</v>
      </c>
      <c r="G198" s="97" t="n">
        <v>-4.53</v>
      </c>
      <c r="H198" s="97" t="n">
        <v>-5.62</v>
      </c>
      <c r="I198" s="98" t="n">
        <v>0</v>
      </c>
      <c r="J198" s="98" t="n">
        <v>0</v>
      </c>
      <c r="K198" s="78" t="n">
        <v>34.8</v>
      </c>
      <c r="L198" s="18" t="n">
        <v>0</v>
      </c>
      <c r="M198" s="19" t="n">
        <v>19.1</v>
      </c>
      <c r="N198" s="99" t="inlineStr">
        <is>
          <t>📉 Weak</t>
        </is>
      </c>
      <c r="O198" s="99" t="inlineStr">
        <is>
          <t>⏳ New Fund</t>
        </is>
      </c>
      <c r="P198" s="99" t="inlineStr">
        <is>
          <t>⏳ New Fund</t>
        </is>
      </c>
      <c r="Q198" s="100" t="inlineStr">
        <is>
          <t>MOMENTUM_ONLY</t>
        </is>
      </c>
    </row>
    <row r="199" ht="16" customHeight="1">
      <c r="A199" s="90" t="n">
        <v>195</v>
      </c>
      <c r="B199" s="91" t="inlineStr">
        <is>
          <t>Aditya Birla Sun Life ESG Integration Strategy Fund-Regular Plan-Growth</t>
        </is>
      </c>
      <c r="C199" s="91" t="inlineStr">
        <is>
          <t>Aditya Birla Sun Life Mutual Fund</t>
        </is>
      </c>
      <c r="D199" s="91" t="inlineStr">
        <is>
          <t>Sectoral/ Thematic</t>
        </is>
      </c>
      <c r="E199" s="92" t="n">
        <v>-2.54</v>
      </c>
      <c r="F199" s="93" t="n">
        <v>0.12</v>
      </c>
      <c r="G199" s="92" t="n">
        <v>-8.550000000000001</v>
      </c>
      <c r="H199" s="92" t="n">
        <v>-5.38</v>
      </c>
      <c r="I199" s="93" t="n">
        <v>2.391405889361642</v>
      </c>
      <c r="J199" s="93" t="n">
        <v>36.43</v>
      </c>
      <c r="K199" s="78" t="n">
        <v>34.7</v>
      </c>
      <c r="L199" s="18" t="n">
        <v>0</v>
      </c>
      <c r="M199" s="19" t="n">
        <v>19.1</v>
      </c>
      <c r="N199" s="94" t="inlineStr">
        <is>
          <t>📉 Weak</t>
        </is>
      </c>
      <c r="O199" s="94" t="inlineStr">
        <is>
          <t>🔴 Not Qualified</t>
        </is>
      </c>
      <c r="P199" s="94" t="inlineStr">
        <is>
          <t>🔴 Avoid</t>
        </is>
      </c>
      <c r="Q199" s="68" t="inlineStr">
        <is>
          <t>FULL</t>
        </is>
      </c>
    </row>
    <row r="200" ht="16" customHeight="1">
      <c r="A200" s="85" t="n">
        <v>196</v>
      </c>
      <c r="B200" s="86" t="inlineStr">
        <is>
          <t>Aditya Birla Sun Life Banking and Financial Services Fund - Regular Plan - Growth</t>
        </is>
      </c>
      <c r="C200" s="86" t="inlineStr">
        <is>
          <t>Aditya Birla Sun Life Mutual Fund</t>
        </is>
      </c>
      <c r="D200" s="86" t="inlineStr">
        <is>
          <t>Sectoral/ Thematic</t>
        </is>
      </c>
      <c r="E200" s="87" t="n">
        <v>-3.01</v>
      </c>
      <c r="F200" s="88" t="n">
        <v>0.07000000000000001</v>
      </c>
      <c r="G200" s="87" t="n">
        <v>-7.58</v>
      </c>
      <c r="H200" s="87" t="n">
        <v>-3.83</v>
      </c>
      <c r="I200" s="88" t="n">
        <v>5.56988206870368</v>
      </c>
      <c r="J200" s="88" t="n">
        <v>36.64</v>
      </c>
      <c r="K200" s="78" t="n">
        <v>34.4</v>
      </c>
      <c r="L200" s="18" t="n">
        <v>0</v>
      </c>
      <c r="M200" s="19" t="n">
        <v>18.9</v>
      </c>
      <c r="N200" s="89" t="inlineStr">
        <is>
          <t>📉 Weak</t>
        </is>
      </c>
      <c r="O200" s="89" t="inlineStr">
        <is>
          <t>🔴 Not Qualified</t>
        </is>
      </c>
      <c r="P200" s="89" t="inlineStr">
        <is>
          <t>🔴 Avoid</t>
        </is>
      </c>
      <c r="Q200" s="68" t="inlineStr">
        <is>
          <t>FULL</t>
        </is>
      </c>
    </row>
    <row r="201" ht="16" customHeight="1">
      <c r="A201" s="95" t="n">
        <v>197</v>
      </c>
      <c r="B201" s="96" t="inlineStr">
        <is>
          <t>Edelweiss Consumption Fund - Regular - Growth</t>
        </is>
      </c>
      <c r="C201" s="96" t="inlineStr">
        <is>
          <t>Edelweiss Mutual Fund</t>
        </is>
      </c>
      <c r="D201" s="96" t="inlineStr">
        <is>
          <t>Sectoral/ Thematic</t>
        </is>
      </c>
      <c r="E201" s="97" t="n">
        <v>-3.06</v>
      </c>
      <c r="F201" s="98" t="n">
        <v>2.48</v>
      </c>
      <c r="G201" s="97" t="n">
        <v>-8.84</v>
      </c>
      <c r="H201" s="97" t="n">
        <v>-5.33</v>
      </c>
      <c r="I201" s="98" t="n">
        <v>0</v>
      </c>
      <c r="J201" s="98" t="n">
        <v>0</v>
      </c>
      <c r="K201" s="78" t="n">
        <v>34.3</v>
      </c>
      <c r="L201" s="18" t="n">
        <v>0</v>
      </c>
      <c r="M201" s="19" t="n">
        <v>18.9</v>
      </c>
      <c r="N201" s="99" t="inlineStr">
        <is>
          <t>📉 Weak</t>
        </is>
      </c>
      <c r="O201" s="99" t="inlineStr">
        <is>
          <t>⏳ New Fund</t>
        </is>
      </c>
      <c r="P201" s="99" t="inlineStr">
        <is>
          <t>⏳ New Fund</t>
        </is>
      </c>
      <c r="Q201" s="100" t="inlineStr">
        <is>
          <t>MOMENTUM_ONLY</t>
        </is>
      </c>
    </row>
    <row r="202" ht="16" customHeight="1">
      <c r="A202" s="95" t="n">
        <v>198</v>
      </c>
      <c r="B202" s="96" t="inlineStr">
        <is>
          <t>Bank of India Consumption Fund - Regular - Growth</t>
        </is>
      </c>
      <c r="C202" s="96" t="inlineStr">
        <is>
          <t>Bank of India Mutual Fund</t>
        </is>
      </c>
      <c r="D202" s="96" t="inlineStr">
        <is>
          <t>Sectoral/ Thematic</t>
        </is>
      </c>
      <c r="E202" s="97" t="n">
        <v>-2.87</v>
      </c>
      <c r="F202" s="98" t="n">
        <v>1.4</v>
      </c>
      <c r="G202" s="97" t="n">
        <v>-9.140000000000001</v>
      </c>
      <c r="H202" s="97" t="n">
        <v>-4.25</v>
      </c>
      <c r="I202" s="98" t="n">
        <v>0</v>
      </c>
      <c r="J202" s="98" t="n">
        <v>0</v>
      </c>
      <c r="K202" s="78" t="n">
        <v>34.2</v>
      </c>
      <c r="L202" s="18" t="n">
        <v>0</v>
      </c>
      <c r="M202" s="19" t="n">
        <v>18.8</v>
      </c>
      <c r="N202" s="99" t="inlineStr">
        <is>
          <t>📉 Weak</t>
        </is>
      </c>
      <c r="O202" s="99" t="inlineStr">
        <is>
          <t>⏳ New Fund</t>
        </is>
      </c>
      <c r="P202" s="99" t="inlineStr">
        <is>
          <t>⏳ New Fund</t>
        </is>
      </c>
      <c r="Q202" s="100" t="inlineStr">
        <is>
          <t>MOMENTUM_ONLY</t>
        </is>
      </c>
    </row>
    <row r="203" ht="16" customHeight="1">
      <c r="A203" s="90" t="n">
        <v>199</v>
      </c>
      <c r="B203" s="91" t="inlineStr">
        <is>
          <t>Invesco India PSU Equity Fund - Regular Plan - Growth</t>
        </is>
      </c>
      <c r="C203" s="91" t="inlineStr">
        <is>
          <t>Invesco Mutual Fund</t>
        </is>
      </c>
      <c r="D203" s="91" t="inlineStr">
        <is>
          <t>Sectoral/ Thematic</t>
        </is>
      </c>
      <c r="E203" s="92" t="n">
        <v>-5.21</v>
      </c>
      <c r="F203" s="92" t="n">
        <v>-4.82</v>
      </c>
      <c r="G203" s="92" t="n">
        <v>-1.39</v>
      </c>
      <c r="H203" s="92" t="n">
        <v>-3.24</v>
      </c>
      <c r="I203" s="92" t="n">
        <v>-0.4711097218501048</v>
      </c>
      <c r="J203" s="93" t="n">
        <v>88.54000000000001</v>
      </c>
      <c r="K203" s="78" t="n">
        <v>33.4</v>
      </c>
      <c r="L203" s="18" t="n">
        <v>0</v>
      </c>
      <c r="M203" s="19" t="n">
        <v>18.4</v>
      </c>
      <c r="N203" s="94" t="inlineStr">
        <is>
          <t>📉 Weak</t>
        </is>
      </c>
      <c r="O203" s="94" t="inlineStr">
        <is>
          <t>🔴 Not Qualified</t>
        </is>
      </c>
      <c r="P203" s="94" t="inlineStr">
        <is>
          <t>🔴 Avoid</t>
        </is>
      </c>
      <c r="Q203" s="68" t="inlineStr">
        <is>
          <t>FULL</t>
        </is>
      </c>
    </row>
    <row r="204" ht="16" customHeight="1">
      <c r="A204" s="85" t="n">
        <v>200</v>
      </c>
      <c r="B204" s="86" t="inlineStr">
        <is>
          <t>Tata Housing Opportunities Fund - Regular Plan - Growth</t>
        </is>
      </c>
      <c r="C204" s="86" t="inlineStr">
        <is>
          <t>Tata Mutual Fund</t>
        </is>
      </c>
      <c r="D204" s="86" t="inlineStr">
        <is>
          <t>Sectoral/ Thematic</t>
        </is>
      </c>
      <c r="E204" s="87" t="n">
        <v>-3.28</v>
      </c>
      <c r="F204" s="88" t="n">
        <v>2.34</v>
      </c>
      <c r="G204" s="87" t="n">
        <v>-6.62</v>
      </c>
      <c r="H204" s="87" t="n">
        <v>-9.039999999999999</v>
      </c>
      <c r="I204" s="87" t="n">
        <v>-4.805462341581801</v>
      </c>
      <c r="J204" s="88" t="n">
        <v>25.88</v>
      </c>
      <c r="K204" s="78" t="n">
        <v>33.3</v>
      </c>
      <c r="L204" s="18" t="n">
        <v>0</v>
      </c>
      <c r="M204" s="19" t="n">
        <v>18.3</v>
      </c>
      <c r="N204" s="89" t="inlineStr">
        <is>
          <t>📉 Weak</t>
        </is>
      </c>
      <c r="O204" s="89" t="inlineStr">
        <is>
          <t>🔴 Not Qualified</t>
        </is>
      </c>
      <c r="P204" s="89" t="inlineStr">
        <is>
          <t>🔴 Avoid</t>
        </is>
      </c>
      <c r="Q204" s="68" t="inlineStr">
        <is>
          <t>FULL</t>
        </is>
      </c>
    </row>
    <row r="205" ht="16" customHeight="1">
      <c r="A205" s="95" t="n">
        <v>201</v>
      </c>
      <c r="B205" s="96" t="inlineStr">
        <is>
          <t>WhiteOak Capital Quality Equity Fund Regular Plan Growth</t>
        </is>
      </c>
      <c r="C205" s="96" t="inlineStr">
        <is>
          <t>WhiteOak Capital Mutual Fund</t>
        </is>
      </c>
      <c r="D205" s="96" t="inlineStr">
        <is>
          <t>Sectoral/ Thematic</t>
        </is>
      </c>
      <c r="E205" s="97" t="n">
        <v>-2.61</v>
      </c>
      <c r="F205" s="98" t="n">
        <v>2.64</v>
      </c>
      <c r="G205" s="97" t="n">
        <v>-9.630000000000001</v>
      </c>
      <c r="H205" s="97" t="n">
        <v>-8.56</v>
      </c>
      <c r="I205" s="98" t="n">
        <v>0</v>
      </c>
      <c r="J205" s="98" t="n">
        <v>0</v>
      </c>
      <c r="K205" s="78" t="n">
        <v>32.6</v>
      </c>
      <c r="L205" s="18" t="n">
        <v>0</v>
      </c>
      <c r="M205" s="19" t="n">
        <v>17.9</v>
      </c>
      <c r="N205" s="99" t="inlineStr">
        <is>
          <t>📉 Weak</t>
        </is>
      </c>
      <c r="O205" s="99" t="inlineStr">
        <is>
          <t>⏳ New Fund</t>
        </is>
      </c>
      <c r="P205" s="99" t="inlineStr">
        <is>
          <t>⏳ New Fund</t>
        </is>
      </c>
      <c r="Q205" s="100" t="inlineStr">
        <is>
          <t>MOMENTUM_ONLY</t>
        </is>
      </c>
    </row>
    <row r="206" ht="16" customHeight="1">
      <c r="A206" s="85" t="n">
        <v>202</v>
      </c>
      <c r="B206" s="86" t="inlineStr">
        <is>
          <t>HSBC Business Cycles Fund - Regular Growth</t>
        </is>
      </c>
      <c r="C206" s="86" t="inlineStr">
        <is>
          <t>HSBC Mutual Fund</t>
        </is>
      </c>
      <c r="D206" s="86" t="inlineStr">
        <is>
          <t>Sectoral/ Thematic</t>
        </is>
      </c>
      <c r="E206" s="87" t="n">
        <v>-4.4</v>
      </c>
      <c r="F206" s="88" t="n">
        <v>3.53</v>
      </c>
      <c r="G206" s="87" t="n">
        <v>-4.56</v>
      </c>
      <c r="H206" s="87" t="n">
        <v>-9.59</v>
      </c>
      <c r="I206" s="88" t="n">
        <v>0.493780902103591</v>
      </c>
      <c r="J206" s="88" t="n">
        <v>50.25</v>
      </c>
      <c r="K206" s="78" t="n">
        <v>32.3</v>
      </c>
      <c r="L206" s="18" t="n">
        <v>0</v>
      </c>
      <c r="M206" s="19" t="n">
        <v>17.7</v>
      </c>
      <c r="N206" s="89" t="inlineStr">
        <is>
          <t>📉 Weak</t>
        </is>
      </c>
      <c r="O206" s="89" t="inlineStr">
        <is>
          <t>🔴 Not Qualified</t>
        </is>
      </c>
      <c r="P206" s="89" t="inlineStr">
        <is>
          <t>🔴 Avoid</t>
        </is>
      </c>
      <c r="Q206" s="68" t="inlineStr">
        <is>
          <t>FULL</t>
        </is>
      </c>
    </row>
    <row r="207" ht="16" customHeight="1">
      <c r="A207" s="90" t="n">
        <v>202</v>
      </c>
      <c r="B207" s="91" t="inlineStr">
        <is>
          <t>Invesco India ESG Integration Strategy Fund - Regular Plan - Growth</t>
        </is>
      </c>
      <c r="C207" s="91" t="inlineStr">
        <is>
          <t>Invesco Mutual Fund</t>
        </is>
      </c>
      <c r="D207" s="91" t="inlineStr">
        <is>
          <t>Sectoral/ Thematic</t>
        </is>
      </c>
      <c r="E207" s="92" t="n">
        <v>-1.94</v>
      </c>
      <c r="F207" s="93" t="n">
        <v>2.56</v>
      </c>
      <c r="G207" s="92" t="n">
        <v>-11.39</v>
      </c>
      <c r="H207" s="92" t="n">
        <v>-12.78</v>
      </c>
      <c r="I207" s="92" t="n">
        <v>-2.286131997551133</v>
      </c>
      <c r="J207" s="93" t="n">
        <v>27.18</v>
      </c>
      <c r="K207" s="78" t="n">
        <v>32.3</v>
      </c>
      <c r="L207" s="18" t="n">
        <v>0</v>
      </c>
      <c r="M207" s="19" t="n">
        <v>17.7</v>
      </c>
      <c r="N207" s="94" t="inlineStr">
        <is>
          <t>📉 Weak</t>
        </is>
      </c>
      <c r="O207" s="94" t="inlineStr">
        <is>
          <t>🔴 Not Qualified</t>
        </is>
      </c>
      <c r="P207" s="94" t="inlineStr">
        <is>
          <t>🔴 Avoid</t>
        </is>
      </c>
      <c r="Q207" s="68" t="inlineStr">
        <is>
          <t>FULL</t>
        </is>
      </c>
    </row>
    <row r="208" ht="16" customHeight="1">
      <c r="A208" s="95" t="n">
        <v>204</v>
      </c>
      <c r="B208" s="96" t="inlineStr">
        <is>
          <t>Sundaram Business Cycle Fund Regular Plan Growth</t>
        </is>
      </c>
      <c r="C208" s="96" t="inlineStr">
        <is>
          <t>Sundaram Mutual Fund</t>
        </is>
      </c>
      <c r="D208" s="96" t="inlineStr">
        <is>
          <t>Sectoral/ Thematic</t>
        </is>
      </c>
      <c r="E208" s="97" t="n">
        <v>-3.79</v>
      </c>
      <c r="F208" s="98" t="n">
        <v>4.82</v>
      </c>
      <c r="G208" s="97" t="n">
        <v>-7.57</v>
      </c>
      <c r="H208" s="97" t="n">
        <v>-8.34</v>
      </c>
      <c r="I208" s="98" t="n">
        <v>0</v>
      </c>
      <c r="J208" s="98" t="n">
        <v>0</v>
      </c>
      <c r="K208" s="78" t="n">
        <v>32</v>
      </c>
      <c r="L208" s="18" t="n">
        <v>0</v>
      </c>
      <c r="M208" s="19" t="n">
        <v>17.6</v>
      </c>
      <c r="N208" s="99" t="inlineStr">
        <is>
          <t>📉 Weak</t>
        </is>
      </c>
      <c r="O208" s="99" t="inlineStr">
        <is>
          <t>⏳ New Fund</t>
        </is>
      </c>
      <c r="P208" s="99" t="inlineStr">
        <is>
          <t>⏳ New Fund</t>
        </is>
      </c>
      <c r="Q208" s="100" t="inlineStr">
        <is>
          <t>MOMENTUM_ONLY</t>
        </is>
      </c>
    </row>
    <row r="209" ht="16" customHeight="1">
      <c r="A209" s="95" t="n">
        <v>205</v>
      </c>
      <c r="B209" s="96" t="inlineStr">
        <is>
          <t>Axis Consumption Fund Regular Plan - Growth</t>
        </is>
      </c>
      <c r="C209" s="96" t="inlineStr">
        <is>
          <t>Axis Mutual Fund</t>
        </is>
      </c>
      <c r="D209" s="96" t="inlineStr">
        <is>
          <t>Sectoral/ Thematic</t>
        </is>
      </c>
      <c r="E209" s="97" t="n">
        <v>-2.81</v>
      </c>
      <c r="F209" s="98" t="n">
        <v>2.37</v>
      </c>
      <c r="G209" s="97" t="n">
        <v>-10</v>
      </c>
      <c r="H209" s="97" t="n">
        <v>-7.3</v>
      </c>
      <c r="I209" s="98" t="n">
        <v>0</v>
      </c>
      <c r="J209" s="98" t="n">
        <v>0</v>
      </c>
      <c r="K209" s="78" t="n">
        <v>31.8</v>
      </c>
      <c r="L209" s="18" t="n">
        <v>0</v>
      </c>
      <c r="M209" s="19" t="n">
        <v>17.5</v>
      </c>
      <c r="N209" s="99" t="inlineStr">
        <is>
          <t>📉 Weak</t>
        </is>
      </c>
      <c r="O209" s="99" t="inlineStr">
        <is>
          <t>⏳ New Fund</t>
        </is>
      </c>
      <c r="P209" s="99" t="inlineStr">
        <is>
          <t>⏳ New Fund</t>
        </is>
      </c>
      <c r="Q209" s="100" t="inlineStr">
        <is>
          <t>MOMENTUM_ONLY</t>
        </is>
      </c>
    </row>
    <row r="210" ht="16" customHeight="1">
      <c r="A210" s="95" t="n">
        <v>206</v>
      </c>
      <c r="B210" s="96" t="inlineStr">
        <is>
          <t>Bandhan Business Cycle Fund - Regular Plan - Growth</t>
        </is>
      </c>
      <c r="C210" s="96" t="inlineStr">
        <is>
          <t>Bandhan Mutual Fund</t>
        </is>
      </c>
      <c r="D210" s="96" t="inlineStr">
        <is>
          <t>Sectoral/ Thematic</t>
        </is>
      </c>
      <c r="E210" s="97" t="n">
        <v>-2.86</v>
      </c>
      <c r="F210" s="98" t="n">
        <v>1.64</v>
      </c>
      <c r="G210" s="97" t="n">
        <v>-8.800000000000001</v>
      </c>
      <c r="H210" s="97" t="n">
        <v>-7.6</v>
      </c>
      <c r="I210" s="98" t="n">
        <v>0</v>
      </c>
      <c r="J210" s="98" t="n">
        <v>0</v>
      </c>
      <c r="K210" s="78" t="n">
        <v>31.7</v>
      </c>
      <c r="L210" s="18" t="n">
        <v>0</v>
      </c>
      <c r="M210" s="19" t="n">
        <v>17.4</v>
      </c>
      <c r="N210" s="99" t="inlineStr">
        <is>
          <t>📉 Weak</t>
        </is>
      </c>
      <c r="O210" s="99" t="inlineStr">
        <is>
          <t>⏳ New Fund</t>
        </is>
      </c>
      <c r="P210" s="99" t="inlineStr">
        <is>
          <t>⏳ New Fund</t>
        </is>
      </c>
      <c r="Q210" s="100" t="inlineStr">
        <is>
          <t>MOMENTUM_ONLY</t>
        </is>
      </c>
    </row>
    <row r="211" ht="16" customHeight="1">
      <c r="A211" s="90" t="n">
        <v>207</v>
      </c>
      <c r="B211" s="91" t="inlineStr">
        <is>
          <t>Tata Banking And Financial Services Fund-Regular Plan-Growth</t>
        </is>
      </c>
      <c r="C211" s="91" t="inlineStr">
        <is>
          <t>Tata Mutual Fund</t>
        </is>
      </c>
      <c r="D211" s="91" t="inlineStr">
        <is>
          <t>Sectoral/ Thematic</t>
        </is>
      </c>
      <c r="E211" s="92" t="n">
        <v>-2.59</v>
      </c>
      <c r="F211" s="92" t="n">
        <v>-1.74</v>
      </c>
      <c r="G211" s="92" t="n">
        <v>-8.390000000000001</v>
      </c>
      <c r="H211" s="92" t="n">
        <v>-5.42</v>
      </c>
      <c r="I211" s="93" t="n">
        <v>6.512910015640827</v>
      </c>
      <c r="J211" s="93" t="n">
        <v>38.33</v>
      </c>
      <c r="K211" s="78" t="n">
        <v>31.1</v>
      </c>
      <c r="L211" s="18" t="n">
        <v>0</v>
      </c>
      <c r="M211" s="19" t="n">
        <v>17.1</v>
      </c>
      <c r="N211" s="94" t="inlineStr">
        <is>
          <t>📉 Weak</t>
        </is>
      </c>
      <c r="O211" s="94" t="inlineStr">
        <is>
          <t>🔴 Not Qualified</t>
        </is>
      </c>
      <c r="P211" s="94" t="inlineStr">
        <is>
          <t>🔴 Avoid</t>
        </is>
      </c>
      <c r="Q211" s="68" t="inlineStr">
        <is>
          <t>FULL</t>
        </is>
      </c>
    </row>
    <row r="212" ht="16" customHeight="1">
      <c r="A212" s="95" t="n">
        <v>208</v>
      </c>
      <c r="B212" s="96" t="inlineStr">
        <is>
          <t>Invesco India Technology Fund - Regular Plan - Growth</t>
        </is>
      </c>
      <c r="C212" s="96" t="inlineStr">
        <is>
          <t>Invesco Mutual Fund</t>
        </is>
      </c>
      <c r="D212" s="96" t="inlineStr">
        <is>
          <t>Sectoral/ Thematic</t>
        </is>
      </c>
      <c r="E212" s="97" t="n">
        <v>-3.5</v>
      </c>
      <c r="F212" s="98" t="n">
        <v>8.619999999999999</v>
      </c>
      <c r="G212" s="97" t="n">
        <v>-12.33</v>
      </c>
      <c r="H212" s="97" t="n">
        <v>-8.880000000000001</v>
      </c>
      <c r="I212" s="98" t="n">
        <v>0</v>
      </c>
      <c r="J212" s="98" t="n">
        <v>0</v>
      </c>
      <c r="K212" s="78" t="n">
        <v>30.1</v>
      </c>
      <c r="L212" s="18" t="n">
        <v>0</v>
      </c>
      <c r="M212" s="19" t="n">
        <v>16.6</v>
      </c>
      <c r="N212" s="99" t="inlineStr">
        <is>
          <t>📉 Weak</t>
        </is>
      </c>
      <c r="O212" s="99" t="inlineStr">
        <is>
          <t>⏳ New Fund</t>
        </is>
      </c>
      <c r="P212" s="99" t="inlineStr">
        <is>
          <t>⏳ New Fund</t>
        </is>
      </c>
      <c r="Q212" s="100" t="inlineStr">
        <is>
          <t>MOMENTUM_ONLY</t>
        </is>
      </c>
    </row>
    <row r="213" ht="16" customHeight="1">
      <c r="A213" s="95" t="n">
        <v>209</v>
      </c>
      <c r="B213" s="96" t="inlineStr">
        <is>
          <t>HDFC Consumption Fund - Growth Option</t>
        </is>
      </c>
      <c r="C213" s="96" t="inlineStr">
        <is>
          <t>HDFC Mutual Fund</t>
        </is>
      </c>
      <c r="D213" s="96" t="inlineStr">
        <is>
          <t>Sectoral/ Thematic</t>
        </is>
      </c>
      <c r="E213" s="97" t="n">
        <v>-3.02</v>
      </c>
      <c r="F213" s="98" t="n">
        <v>2.59</v>
      </c>
      <c r="G213" s="97" t="n">
        <v>-9.449999999999999</v>
      </c>
      <c r="H213" s="97" t="n">
        <v>-8.77</v>
      </c>
      <c r="I213" s="97" t="n">
        <v>-1.242721787201939</v>
      </c>
      <c r="J213" s="98" t="n">
        <v>0</v>
      </c>
      <c r="K213" s="78" t="n">
        <v>30.1</v>
      </c>
      <c r="L213" s="18" t="n">
        <v>0</v>
      </c>
      <c r="M213" s="19" t="n">
        <v>16.5</v>
      </c>
      <c r="N213" s="99" t="inlineStr">
        <is>
          <t>📉 Weak</t>
        </is>
      </c>
      <c r="O213" s="99" t="inlineStr">
        <is>
          <t>⏳ New Fund</t>
        </is>
      </c>
      <c r="P213" s="99" t="inlineStr">
        <is>
          <t>⏳ New Fund</t>
        </is>
      </c>
      <c r="Q213" s="100" t="inlineStr">
        <is>
          <t>MOMENTUM_ONLY</t>
        </is>
      </c>
    </row>
    <row r="214" ht="16" customHeight="1">
      <c r="A214" s="95" t="n">
        <v>210</v>
      </c>
      <c r="B214" s="96" t="inlineStr">
        <is>
          <t>Baroda BNP Paribas Business Conglomerates Fund Regular Growth Option</t>
        </is>
      </c>
      <c r="C214" s="96" t="inlineStr">
        <is>
          <t>Baroda BNP Paribas Mutual Fund</t>
        </is>
      </c>
      <c r="D214" s="96" t="inlineStr">
        <is>
          <t>Sectoral/ Thematic</t>
        </is>
      </c>
      <c r="E214" s="97" t="n">
        <v>-4.14</v>
      </c>
      <c r="F214" s="98" t="n">
        <v>0.02</v>
      </c>
      <c r="G214" s="97" t="n">
        <v>-8.720000000000001</v>
      </c>
      <c r="H214" s="98" t="n">
        <v>0</v>
      </c>
      <c r="I214" s="98" t="n">
        <v>0</v>
      </c>
      <c r="J214" s="98" t="n">
        <v>0</v>
      </c>
      <c r="K214" s="78" t="n">
        <v>30</v>
      </c>
      <c r="L214" s="18" t="n">
        <v>0</v>
      </c>
      <c r="M214" s="19" t="n">
        <v>16.5</v>
      </c>
      <c r="N214" s="99" t="inlineStr">
        <is>
          <t>📉 Weak</t>
        </is>
      </c>
      <c r="O214" s="99" t="inlineStr">
        <is>
          <t>⏳ New Fund</t>
        </is>
      </c>
      <c r="P214" s="99" t="inlineStr">
        <is>
          <t>⏳ New Fund</t>
        </is>
      </c>
      <c r="Q214" s="100" t="inlineStr">
        <is>
          <t>MOMENTUM_ONLY</t>
        </is>
      </c>
    </row>
    <row r="215" ht="16" customHeight="1">
      <c r="A215" s="90" t="n">
        <v>211</v>
      </c>
      <c r="B215" s="91" t="inlineStr">
        <is>
          <t>SBI BANKING &amp; FINANCIAL SERVICES FUND - REGULAR PLAN - GROWTH</t>
        </is>
      </c>
      <c r="C215" s="91" t="inlineStr">
        <is>
          <t>SBI Mutual Fund</t>
        </is>
      </c>
      <c r="D215" s="91" t="inlineStr">
        <is>
          <t>Sectoral/ Thematic</t>
        </is>
      </c>
      <c r="E215" s="92" t="n">
        <v>-3.3</v>
      </c>
      <c r="F215" s="92" t="n">
        <v>-2.22</v>
      </c>
      <c r="G215" s="92" t="n">
        <v>-8.800000000000001</v>
      </c>
      <c r="H215" s="92" t="n">
        <v>-1.9</v>
      </c>
      <c r="I215" s="93" t="n">
        <v>8.590975683985814</v>
      </c>
      <c r="J215" s="93" t="n">
        <v>54.24</v>
      </c>
      <c r="K215" s="78" t="n">
        <v>29.8</v>
      </c>
      <c r="L215" s="18" t="n">
        <v>0</v>
      </c>
      <c r="M215" s="19" t="n">
        <v>16.4</v>
      </c>
      <c r="N215" s="94" t="inlineStr">
        <is>
          <t>📉 Weak</t>
        </is>
      </c>
      <c r="O215" s="94" t="inlineStr">
        <is>
          <t>🔴 Not Qualified</t>
        </is>
      </c>
      <c r="P215" s="94" t="inlineStr">
        <is>
          <t>🔴 Avoid</t>
        </is>
      </c>
      <c r="Q215" s="68" t="inlineStr">
        <is>
          <t>FULL</t>
        </is>
      </c>
    </row>
    <row r="216" ht="16" customHeight="1">
      <c r="A216" s="95" t="n">
        <v>212</v>
      </c>
      <c r="B216" s="96" t="inlineStr">
        <is>
          <t>HSBC Consumption Fund - Regular Growth</t>
        </is>
      </c>
      <c r="C216" s="96" t="inlineStr">
        <is>
          <t>HSBC Mutual Fund</t>
        </is>
      </c>
      <c r="D216" s="96" t="inlineStr">
        <is>
          <t>Sectoral/ Thematic</t>
        </is>
      </c>
      <c r="E216" s="97" t="n">
        <v>-4.34</v>
      </c>
      <c r="F216" s="98" t="n">
        <v>3.13</v>
      </c>
      <c r="G216" s="97" t="n">
        <v>-7.79</v>
      </c>
      <c r="H216" s="97" t="n">
        <v>-5.62</v>
      </c>
      <c r="I216" s="98" t="n">
        <v>1.784085199995777</v>
      </c>
      <c r="J216" s="98" t="n">
        <v>0</v>
      </c>
      <c r="K216" s="78" t="n">
        <v>29.6</v>
      </c>
      <c r="L216" s="18" t="n">
        <v>0</v>
      </c>
      <c r="M216" s="19" t="n">
        <v>16.3</v>
      </c>
      <c r="N216" s="99" t="inlineStr">
        <is>
          <t>📉 Weak</t>
        </is>
      </c>
      <c r="O216" s="99" t="inlineStr">
        <is>
          <t>⏳ New Fund</t>
        </is>
      </c>
      <c r="P216" s="99" t="inlineStr">
        <is>
          <t>⏳ New Fund</t>
        </is>
      </c>
      <c r="Q216" s="100" t="inlineStr">
        <is>
          <t>MOMENTUM_ONLY</t>
        </is>
      </c>
    </row>
    <row r="217" ht="16" customHeight="1">
      <c r="A217" s="95" t="n">
        <v>213</v>
      </c>
      <c r="B217" s="96" t="inlineStr">
        <is>
          <t>Quantum Ethical Fund - Regular Plan Growth Option</t>
        </is>
      </c>
      <c r="C217" s="96" t="inlineStr">
        <is>
          <t>Quantum Mutual Fund</t>
        </is>
      </c>
      <c r="D217" s="96" t="inlineStr">
        <is>
          <t>Sectoral/ Thematic</t>
        </is>
      </c>
      <c r="E217" s="97" t="n">
        <v>-4.19</v>
      </c>
      <c r="F217" s="98" t="n">
        <v>2.35</v>
      </c>
      <c r="G217" s="97" t="n">
        <v>-6.45</v>
      </c>
      <c r="H217" s="97" t="n">
        <v>-8.42</v>
      </c>
      <c r="I217" s="98" t="n">
        <v>0</v>
      </c>
      <c r="J217" s="98" t="n">
        <v>0</v>
      </c>
      <c r="K217" s="78" t="n">
        <v>29.1</v>
      </c>
      <c r="L217" s="18" t="n">
        <v>0</v>
      </c>
      <c r="M217" s="19" t="n">
        <v>16</v>
      </c>
      <c r="N217" s="99" t="inlineStr">
        <is>
          <t>📉 Weak</t>
        </is>
      </c>
      <c r="O217" s="99" t="inlineStr">
        <is>
          <t>⏳ New Fund</t>
        </is>
      </c>
      <c r="P217" s="99" t="inlineStr">
        <is>
          <t>⏳ New Fund</t>
        </is>
      </c>
      <c r="Q217" s="100" t="inlineStr">
        <is>
          <t>MOMENTUM_ONLY</t>
        </is>
      </c>
    </row>
    <row r="218" ht="16" customHeight="1">
      <c r="A218" s="95" t="n">
        <v>214</v>
      </c>
      <c r="B218" s="96" t="inlineStr">
        <is>
          <t>UTI Quant Fund - Regular Plan - Growth Option</t>
        </is>
      </c>
      <c r="C218" s="96" t="inlineStr">
        <is>
          <t>UTI Mutual Fund</t>
        </is>
      </c>
      <c r="D218" s="96" t="inlineStr">
        <is>
          <t>Sectoral/ Thematic</t>
        </is>
      </c>
      <c r="E218" s="97" t="n">
        <v>-3.33</v>
      </c>
      <c r="F218" s="98" t="n">
        <v>0.76</v>
      </c>
      <c r="G218" s="97" t="n">
        <v>-7.33</v>
      </c>
      <c r="H218" s="97" t="n">
        <v>-8.01</v>
      </c>
      <c r="I218" s="98" t="n">
        <v>0</v>
      </c>
      <c r="J218" s="98" t="n">
        <v>0</v>
      </c>
      <c r="K218" s="78" t="n">
        <v>29.1</v>
      </c>
      <c r="L218" s="18" t="n">
        <v>0</v>
      </c>
      <c r="M218" s="19" t="n">
        <v>16</v>
      </c>
      <c r="N218" s="99" t="inlineStr">
        <is>
          <t>📉 Weak</t>
        </is>
      </c>
      <c r="O218" s="99" t="inlineStr">
        <is>
          <t>⏳ New Fund</t>
        </is>
      </c>
      <c r="P218" s="99" t="inlineStr">
        <is>
          <t>⏳ New Fund</t>
        </is>
      </c>
      <c r="Q218" s="100" t="inlineStr">
        <is>
          <t>MOMENTUM_ONLY</t>
        </is>
      </c>
    </row>
    <row r="219" ht="16" customHeight="1">
      <c r="A219" s="90" t="n">
        <v>215</v>
      </c>
      <c r="B219" s="91" t="inlineStr">
        <is>
          <t>ICICI Prudential Bharat Consumption Fund - Growth Option</t>
        </is>
      </c>
      <c r="C219" s="91" t="inlineStr">
        <is>
          <t>ICICI Prudential Mutual Fund</t>
        </is>
      </c>
      <c r="D219" s="91" t="inlineStr">
        <is>
          <t>Sectoral/ Thematic</t>
        </is>
      </c>
      <c r="E219" s="92" t="n">
        <v>-3.65</v>
      </c>
      <c r="F219" s="93" t="n">
        <v>2.84</v>
      </c>
      <c r="G219" s="92" t="n">
        <v>-8.550000000000001</v>
      </c>
      <c r="H219" s="92" t="n">
        <v>-7.53</v>
      </c>
      <c r="I219" s="92" t="n">
        <v>-2.250319693617409</v>
      </c>
      <c r="J219" s="93" t="n">
        <v>36.39</v>
      </c>
      <c r="K219" s="78" t="n">
        <v>29.1</v>
      </c>
      <c r="L219" s="18" t="n">
        <v>0</v>
      </c>
      <c r="M219" s="19" t="n">
        <v>16</v>
      </c>
      <c r="N219" s="94" t="inlineStr">
        <is>
          <t>📉 Weak</t>
        </is>
      </c>
      <c r="O219" s="94" t="inlineStr">
        <is>
          <t>🔴 Not Qualified</t>
        </is>
      </c>
      <c r="P219" s="94" t="inlineStr">
        <is>
          <t>🔴 Avoid</t>
        </is>
      </c>
      <c r="Q219" s="68" t="inlineStr">
        <is>
          <t>FULL</t>
        </is>
      </c>
    </row>
    <row r="220" ht="16" customHeight="1">
      <c r="A220" s="85" t="n">
        <v>216</v>
      </c>
      <c r="B220" s="86" t="inlineStr">
        <is>
          <t>Taurus Ethical Fund - Regular Plan - Payout of Income Distribution cum Capital Withdrawal option</t>
        </is>
      </c>
      <c r="C220" s="86" t="inlineStr">
        <is>
          <t>Taurus Mutual Fund</t>
        </is>
      </c>
      <c r="D220" s="86" t="inlineStr">
        <is>
          <t>Sectoral/ Thematic</t>
        </is>
      </c>
      <c r="E220" s="87" t="n">
        <v>-4.09</v>
      </c>
      <c r="F220" s="88" t="n">
        <v>0.54</v>
      </c>
      <c r="G220" s="87" t="n">
        <v>-6.64</v>
      </c>
      <c r="H220" s="87" t="n">
        <v>-5.69</v>
      </c>
      <c r="I220" s="87" t="n">
        <v>-2.045929130025437</v>
      </c>
      <c r="J220" s="88" t="n">
        <v>42.03</v>
      </c>
      <c r="K220" s="78" t="n">
        <v>28</v>
      </c>
      <c r="L220" s="18" t="n">
        <v>0</v>
      </c>
      <c r="M220" s="19" t="n">
        <v>15.4</v>
      </c>
      <c r="N220" s="89" t="inlineStr">
        <is>
          <t>📉 Weak</t>
        </is>
      </c>
      <c r="O220" s="89" t="inlineStr">
        <is>
          <t>🔴 Not Qualified</t>
        </is>
      </c>
      <c r="P220" s="89" t="inlineStr">
        <is>
          <t>🔴 Avoid</t>
        </is>
      </c>
      <c r="Q220" s="68" t="inlineStr">
        <is>
          <t>FULL</t>
        </is>
      </c>
    </row>
    <row r="221" ht="16" customHeight="1">
      <c r="A221" s="90" t="n">
        <v>217</v>
      </c>
      <c r="B221" s="91" t="inlineStr">
        <is>
          <t>Taurus Ethical Fund - Regular Plan - Growth</t>
        </is>
      </c>
      <c r="C221" s="91" t="inlineStr">
        <is>
          <t>Taurus Mutual Fund</t>
        </is>
      </c>
      <c r="D221" s="91" t="inlineStr">
        <is>
          <t>Sectoral/ Thematic</t>
        </is>
      </c>
      <c r="E221" s="92" t="n">
        <v>-4.1</v>
      </c>
      <c r="F221" s="93" t="n">
        <v>0.55</v>
      </c>
      <c r="G221" s="92" t="n">
        <v>-6.64</v>
      </c>
      <c r="H221" s="92" t="n">
        <v>-5.69</v>
      </c>
      <c r="I221" s="92" t="n">
        <v>-2.045929130025437</v>
      </c>
      <c r="J221" s="93" t="n">
        <v>42.04</v>
      </c>
      <c r="K221" s="78" t="n">
        <v>28</v>
      </c>
      <c r="L221" s="18" t="n">
        <v>0</v>
      </c>
      <c r="M221" s="19" t="n">
        <v>15.4</v>
      </c>
      <c r="N221" s="94" t="inlineStr">
        <is>
          <t>📉 Weak</t>
        </is>
      </c>
      <c r="O221" s="94" t="inlineStr">
        <is>
          <t>🔴 Not Qualified</t>
        </is>
      </c>
      <c r="P221" s="94" t="inlineStr">
        <is>
          <t>🔴 Avoid</t>
        </is>
      </c>
      <c r="Q221" s="68" t="inlineStr">
        <is>
          <t>FULL</t>
        </is>
      </c>
    </row>
    <row r="222" ht="16" customHeight="1">
      <c r="A222" s="95" t="n">
        <v>218</v>
      </c>
      <c r="B222" s="96" t="inlineStr">
        <is>
          <t>Kotak Transportation &amp; Logistics Fund-Regular-Growth</t>
        </is>
      </c>
      <c r="C222" s="96" t="inlineStr">
        <is>
          <t>Kotak Mahindra Mutual Fund</t>
        </is>
      </c>
      <c r="D222" s="96" t="inlineStr">
        <is>
          <t>Sectoral/ Thematic</t>
        </is>
      </c>
      <c r="E222" s="97" t="n">
        <v>-5.75</v>
      </c>
      <c r="F222" s="97" t="n">
        <v>-0.67</v>
      </c>
      <c r="G222" s="97" t="n">
        <v>-9.98</v>
      </c>
      <c r="H222" s="98" t="n">
        <v>1.11</v>
      </c>
      <c r="I222" s="98" t="n">
        <v>0</v>
      </c>
      <c r="J222" s="98" t="n">
        <v>0</v>
      </c>
      <c r="K222" s="78" t="n">
        <v>26.4</v>
      </c>
      <c r="L222" s="18" t="n">
        <v>0</v>
      </c>
      <c r="M222" s="19" t="n">
        <v>14.5</v>
      </c>
      <c r="N222" s="99" t="inlineStr">
        <is>
          <t>📉 Weak</t>
        </is>
      </c>
      <c r="O222" s="99" t="inlineStr">
        <is>
          <t>⏳ New Fund</t>
        </is>
      </c>
      <c r="P222" s="99" t="inlineStr">
        <is>
          <t>⏳ New Fund</t>
        </is>
      </c>
      <c r="Q222" s="100" t="inlineStr">
        <is>
          <t>MOMENTUM_ONLY</t>
        </is>
      </c>
    </row>
    <row r="223" ht="16" customHeight="1">
      <c r="A223" s="90" t="n">
        <v>219</v>
      </c>
      <c r="B223" s="91" t="inlineStr">
        <is>
          <t>Nippon India Banking &amp; Financial Services Fund-Growth Plan-Growth Option</t>
        </is>
      </c>
      <c r="C223" s="91" t="inlineStr">
        <is>
          <t>Nippon India Mutual Fund</t>
        </is>
      </c>
      <c r="D223" s="91" t="inlineStr">
        <is>
          <t>Sectoral/ Thematic</t>
        </is>
      </c>
      <c r="E223" s="92" t="n">
        <v>-3.56</v>
      </c>
      <c r="F223" s="92" t="n">
        <v>-0.67</v>
      </c>
      <c r="G223" s="92" t="n">
        <v>-8.27</v>
      </c>
      <c r="H223" s="92" t="n">
        <v>-5.06</v>
      </c>
      <c r="I223" s="93" t="n">
        <v>6.315568003938177</v>
      </c>
      <c r="J223" s="93" t="n">
        <v>40.8</v>
      </c>
      <c r="K223" s="78" t="n">
        <v>26.3</v>
      </c>
      <c r="L223" s="18" t="n">
        <v>0</v>
      </c>
      <c r="M223" s="19" t="n">
        <v>14.5</v>
      </c>
      <c r="N223" s="94" t="inlineStr">
        <is>
          <t>📉 Weak</t>
        </is>
      </c>
      <c r="O223" s="94" t="inlineStr">
        <is>
          <t>🔴 Not Qualified</t>
        </is>
      </c>
      <c r="P223" s="94" t="inlineStr">
        <is>
          <t>🔴 Avoid</t>
        </is>
      </c>
      <c r="Q223" s="68" t="inlineStr">
        <is>
          <t>FULL</t>
        </is>
      </c>
    </row>
    <row r="224" ht="16" customHeight="1">
      <c r="A224" s="85" t="n">
        <v>219</v>
      </c>
      <c r="B224" s="86" t="inlineStr">
        <is>
          <t>Nippon India Banking &amp; Financial Services Fund-Growth Plan-Bonus Option</t>
        </is>
      </c>
      <c r="C224" s="86" t="inlineStr">
        <is>
          <t>Nippon India Mutual Fund</t>
        </is>
      </c>
      <c r="D224" s="86" t="inlineStr">
        <is>
          <t>Sectoral/ Thematic</t>
        </is>
      </c>
      <c r="E224" s="87" t="n">
        <v>-3.56</v>
      </c>
      <c r="F224" s="87" t="n">
        <v>-0.67</v>
      </c>
      <c r="G224" s="87" t="n">
        <v>-8.27</v>
      </c>
      <c r="H224" s="87" t="n">
        <v>-5.06</v>
      </c>
      <c r="I224" s="88" t="n">
        <v>6.315568003938177</v>
      </c>
      <c r="J224" s="88" t="n">
        <v>40.8</v>
      </c>
      <c r="K224" s="78" t="n">
        <v>26.3</v>
      </c>
      <c r="L224" s="18" t="n">
        <v>0</v>
      </c>
      <c r="M224" s="19" t="n">
        <v>14.5</v>
      </c>
      <c r="N224" s="89" t="inlineStr">
        <is>
          <t>📉 Weak</t>
        </is>
      </c>
      <c r="O224" s="89" t="inlineStr">
        <is>
          <t>🔴 Not Qualified</t>
        </is>
      </c>
      <c r="P224" s="89" t="inlineStr">
        <is>
          <t>🔴 Avoid</t>
        </is>
      </c>
      <c r="Q224" s="68" t="inlineStr">
        <is>
          <t>FULL</t>
        </is>
      </c>
    </row>
    <row r="225" ht="16" customHeight="1">
      <c r="A225" s="90" t="n">
        <v>221</v>
      </c>
      <c r="B225" s="91" t="inlineStr">
        <is>
          <t>ICICI Prudential Technology Fund - Growth</t>
        </is>
      </c>
      <c r="C225" s="91" t="inlineStr">
        <is>
          <t>ICICI Prudential Mutual Fund</t>
        </is>
      </c>
      <c r="D225" s="91" t="inlineStr">
        <is>
          <t>Sectoral/ Thematic</t>
        </is>
      </c>
      <c r="E225" s="92" t="n">
        <v>-2.04</v>
      </c>
      <c r="F225" s="93" t="n">
        <v>0.57</v>
      </c>
      <c r="G225" s="92" t="n">
        <v>-20.25</v>
      </c>
      <c r="H225" s="92" t="n">
        <v>-17.35</v>
      </c>
      <c r="I225" s="92" t="n">
        <v>-2.557709386529705</v>
      </c>
      <c r="J225" s="93" t="n">
        <v>24.7</v>
      </c>
      <c r="K225" s="78" t="n">
        <v>25.9</v>
      </c>
      <c r="L225" s="18" t="n">
        <v>0</v>
      </c>
      <c r="M225" s="19" t="n">
        <v>14.3</v>
      </c>
      <c r="N225" s="94" t="inlineStr">
        <is>
          <t>📉 Weak</t>
        </is>
      </c>
      <c r="O225" s="94" t="inlineStr">
        <is>
          <t>🔴 Not Qualified</t>
        </is>
      </c>
      <c r="P225" s="94" t="inlineStr">
        <is>
          <t>🔴 Avoid</t>
        </is>
      </c>
      <c r="Q225" s="68" t="inlineStr">
        <is>
          <t>FULL</t>
        </is>
      </c>
    </row>
    <row r="226" ht="16" customHeight="1">
      <c r="A226" s="85" t="n">
        <v>222</v>
      </c>
      <c r="B226" s="86" t="inlineStr">
        <is>
          <t>DSP Quant Fund - Regular Plan - Growth</t>
        </is>
      </c>
      <c r="C226" s="86" t="inlineStr">
        <is>
          <t>DSP Mutual Fund</t>
        </is>
      </c>
      <c r="D226" s="86" t="inlineStr">
        <is>
          <t>Sectoral/ Thematic</t>
        </is>
      </c>
      <c r="E226" s="87" t="n">
        <v>-3.22</v>
      </c>
      <c r="F226" s="87" t="n">
        <v>-1.78</v>
      </c>
      <c r="G226" s="87" t="n">
        <v>-9.32</v>
      </c>
      <c r="H226" s="87" t="n">
        <v>-4.93</v>
      </c>
      <c r="I226" s="88" t="n">
        <v>0.1448950271555338</v>
      </c>
      <c r="J226" s="88" t="n">
        <v>23.36</v>
      </c>
      <c r="K226" s="78" t="n">
        <v>25.7</v>
      </c>
      <c r="L226" s="18" t="n">
        <v>0</v>
      </c>
      <c r="M226" s="19" t="n">
        <v>14.2</v>
      </c>
      <c r="N226" s="89" t="inlineStr">
        <is>
          <t>📉 Weak</t>
        </is>
      </c>
      <c r="O226" s="89" t="inlineStr">
        <is>
          <t>🔴 Not Qualified</t>
        </is>
      </c>
      <c r="P226" s="89" t="inlineStr">
        <is>
          <t>🔴 Avoid</t>
        </is>
      </c>
      <c r="Q226" s="68" t="inlineStr">
        <is>
          <t>FULL</t>
        </is>
      </c>
    </row>
    <row r="227" ht="16" customHeight="1">
      <c r="A227" s="95" t="n">
        <v>223</v>
      </c>
      <c r="B227" s="96" t="inlineStr">
        <is>
          <t>WhiteOak Capital ESG Best-In-Class Strategy Fund Regular Plan Growth</t>
        </is>
      </c>
      <c r="C227" s="96" t="inlineStr">
        <is>
          <t>WhiteOak Capital Mutual Fund</t>
        </is>
      </c>
      <c r="D227" s="96" t="inlineStr">
        <is>
          <t>Sectoral/ Thematic</t>
        </is>
      </c>
      <c r="E227" s="97" t="n">
        <v>-2.78</v>
      </c>
      <c r="F227" s="98" t="n">
        <v>1.29</v>
      </c>
      <c r="G227" s="97" t="n">
        <v>-11.2</v>
      </c>
      <c r="H227" s="97" t="n">
        <v>-9.42</v>
      </c>
      <c r="I227" s="98" t="n">
        <v>0</v>
      </c>
      <c r="J227" s="98" t="n">
        <v>0</v>
      </c>
      <c r="K227" s="78" t="n">
        <v>25.7</v>
      </c>
      <c r="L227" s="18" t="n">
        <v>0</v>
      </c>
      <c r="M227" s="19" t="n">
        <v>14.1</v>
      </c>
      <c r="N227" s="99" t="inlineStr">
        <is>
          <t>📉 Weak</t>
        </is>
      </c>
      <c r="O227" s="99" t="inlineStr">
        <is>
          <t>⏳ New Fund</t>
        </is>
      </c>
      <c r="P227" s="99" t="inlineStr">
        <is>
          <t>⏳ New Fund</t>
        </is>
      </c>
      <c r="Q227" s="100" t="inlineStr">
        <is>
          <t>MOMENTUM_ONLY</t>
        </is>
      </c>
    </row>
    <row r="228" ht="16" customHeight="1">
      <c r="A228" s="85" t="n">
        <v>224</v>
      </c>
      <c r="B228" s="86" t="inlineStr">
        <is>
          <t>UTI India Consumer Fund - Regular Plan - Growth Option</t>
        </is>
      </c>
      <c r="C228" s="86" t="inlineStr">
        <is>
          <t>UTI Mutual Fund</t>
        </is>
      </c>
      <c r="D228" s="86" t="inlineStr">
        <is>
          <t>Sectoral/ Thematic</t>
        </is>
      </c>
      <c r="E228" s="87" t="n">
        <v>-3.63</v>
      </c>
      <c r="F228" s="88" t="n">
        <v>2.05</v>
      </c>
      <c r="G228" s="87" t="n">
        <v>-10.49</v>
      </c>
      <c r="H228" s="87" t="n">
        <v>-6.87</v>
      </c>
      <c r="I228" s="87" t="n">
        <v>-2.373159428362126</v>
      </c>
      <c r="J228" s="88" t="n">
        <v>29.84</v>
      </c>
      <c r="K228" s="78" t="n">
        <v>25.1</v>
      </c>
      <c r="L228" s="18" t="n">
        <v>0</v>
      </c>
      <c r="M228" s="19" t="n">
        <v>13.8</v>
      </c>
      <c r="N228" s="89" t="inlineStr">
        <is>
          <t>📉 Weak</t>
        </is>
      </c>
      <c r="O228" s="89" t="inlineStr">
        <is>
          <t>🔴 Not Qualified</t>
        </is>
      </c>
      <c r="P228" s="89" t="inlineStr">
        <is>
          <t>🔴 Avoid</t>
        </is>
      </c>
      <c r="Q228" s="68" t="inlineStr">
        <is>
          <t>FULL</t>
        </is>
      </c>
    </row>
    <row r="229" ht="16" customHeight="1">
      <c r="A229" s="90" t="n">
        <v>225</v>
      </c>
      <c r="B229" s="91" t="inlineStr">
        <is>
          <t>Aditya Birla Sun Life Digital India Fund - Growth - Regular Plan</t>
        </is>
      </c>
      <c r="C229" s="91" t="inlineStr">
        <is>
          <t>Aditya Birla Sun Life Mutual Fund</t>
        </is>
      </c>
      <c r="D229" s="91" t="inlineStr">
        <is>
          <t>Sectoral/ Thematic</t>
        </is>
      </c>
      <c r="E229" s="92" t="n">
        <v>-2.59</v>
      </c>
      <c r="F229" s="93" t="n">
        <v>2.12</v>
      </c>
      <c r="G229" s="92" t="n">
        <v>-20.88</v>
      </c>
      <c r="H229" s="92" t="n">
        <v>-18.07</v>
      </c>
      <c r="I229" s="92" t="n">
        <v>-5.063178903019927</v>
      </c>
      <c r="J229" s="93" t="n">
        <v>16.59</v>
      </c>
      <c r="K229" s="78" t="n">
        <v>25</v>
      </c>
      <c r="L229" s="18" t="n">
        <v>0</v>
      </c>
      <c r="M229" s="19" t="n">
        <v>13.8</v>
      </c>
      <c r="N229" s="94" t="inlineStr">
        <is>
          <t>📉 Weak</t>
        </is>
      </c>
      <c r="O229" s="94" t="inlineStr">
        <is>
          <t>🔴 Not Qualified</t>
        </is>
      </c>
      <c r="P229" s="94" t="inlineStr">
        <is>
          <t>🔴 Avoid</t>
        </is>
      </c>
      <c r="Q229" s="68" t="inlineStr">
        <is>
          <t>FULL</t>
        </is>
      </c>
    </row>
    <row r="230" ht="16" customHeight="1">
      <c r="A230" s="95" t="n">
        <v>226</v>
      </c>
      <c r="B230" s="96" t="inlineStr">
        <is>
          <t>Kotak Technology Fund - Regular Plan - Growth Option</t>
        </is>
      </c>
      <c r="C230" s="96" t="inlineStr">
        <is>
          <t>Kotak Mahindra Mutual Fund</t>
        </is>
      </c>
      <c r="D230" s="96" t="inlineStr">
        <is>
          <t>Sectoral/ Thematic</t>
        </is>
      </c>
      <c r="E230" s="97" t="n">
        <v>-1.39</v>
      </c>
      <c r="F230" s="97" t="n">
        <v>-1.38</v>
      </c>
      <c r="G230" s="97" t="n">
        <v>-21.13</v>
      </c>
      <c r="H230" s="97" t="n">
        <v>-19.06</v>
      </c>
      <c r="I230" s="97" t="n">
        <v>-4.015626271772755</v>
      </c>
      <c r="J230" s="98" t="n">
        <v>0</v>
      </c>
      <c r="K230" s="78" t="n">
        <v>24.6</v>
      </c>
      <c r="L230" s="18" t="n">
        <v>0</v>
      </c>
      <c r="M230" s="19" t="n">
        <v>13.5</v>
      </c>
      <c r="N230" s="99" t="inlineStr">
        <is>
          <t>📉 Weak</t>
        </is>
      </c>
      <c r="O230" s="99" t="inlineStr">
        <is>
          <t>⏳ New Fund</t>
        </is>
      </c>
      <c r="P230" s="99" t="inlineStr">
        <is>
          <t>⏳ New Fund</t>
        </is>
      </c>
      <c r="Q230" s="100" t="inlineStr">
        <is>
          <t>MOMENTUM_ONLY</t>
        </is>
      </c>
    </row>
    <row r="231" ht="16" customHeight="1">
      <c r="A231" s="90" t="n">
        <v>227</v>
      </c>
      <c r="B231" s="91" t="inlineStr">
        <is>
          <t>ICICI Prudential Banking and Financial Services Fund -  Growth</t>
        </is>
      </c>
      <c r="C231" s="91" t="inlineStr">
        <is>
          <t>ICICI Prudential Mutual Fund</t>
        </is>
      </c>
      <c r="D231" s="91" t="inlineStr">
        <is>
          <t>Sectoral/ Thematic</t>
        </is>
      </c>
      <c r="E231" s="92" t="n">
        <v>-2.83</v>
      </c>
      <c r="F231" s="92" t="n">
        <v>-1.34</v>
      </c>
      <c r="G231" s="92" t="n">
        <v>-10.2</v>
      </c>
      <c r="H231" s="92" t="n">
        <v>-7.09</v>
      </c>
      <c r="I231" s="93" t="n">
        <v>5.285326612971097</v>
      </c>
      <c r="J231" s="93" t="n">
        <v>31.97</v>
      </c>
      <c r="K231" s="78" t="n">
        <v>24.4</v>
      </c>
      <c r="L231" s="18" t="n">
        <v>0</v>
      </c>
      <c r="M231" s="19" t="n">
        <v>13.4</v>
      </c>
      <c r="N231" s="94" t="inlineStr">
        <is>
          <t>📉 Weak</t>
        </is>
      </c>
      <c r="O231" s="94" t="inlineStr">
        <is>
          <t>🔴 Not Qualified</t>
        </is>
      </c>
      <c r="P231" s="94" t="inlineStr">
        <is>
          <t>🔴 Avoid</t>
        </is>
      </c>
      <c r="Q231" s="68" t="inlineStr">
        <is>
          <t>FULL</t>
        </is>
      </c>
    </row>
    <row r="232" ht="16" customHeight="1">
      <c r="A232" s="95" t="n">
        <v>228</v>
      </c>
      <c r="B232" s="96" t="inlineStr">
        <is>
          <t>UTI Innovation Fund - Regular Plan - Growth Option</t>
        </is>
      </c>
      <c r="C232" s="96" t="inlineStr">
        <is>
          <t>UTI Mutual Fund</t>
        </is>
      </c>
      <c r="D232" s="96" t="inlineStr">
        <is>
          <t>Sectoral/ Thematic</t>
        </is>
      </c>
      <c r="E232" s="97" t="n">
        <v>-5.09</v>
      </c>
      <c r="F232" s="98" t="n">
        <v>10.31</v>
      </c>
      <c r="G232" s="97" t="n">
        <v>-11.98</v>
      </c>
      <c r="H232" s="97" t="n">
        <v>-13.16</v>
      </c>
      <c r="I232" s="97" t="n">
        <v>-3.041245882591914</v>
      </c>
      <c r="J232" s="98" t="n">
        <v>0</v>
      </c>
      <c r="K232" s="78" t="n">
        <v>24.4</v>
      </c>
      <c r="L232" s="18" t="n">
        <v>0</v>
      </c>
      <c r="M232" s="19" t="n">
        <v>13.4</v>
      </c>
      <c r="N232" s="99" t="inlineStr">
        <is>
          <t>📉 Weak</t>
        </is>
      </c>
      <c r="O232" s="99" t="inlineStr">
        <is>
          <t>⏳ New Fund</t>
        </is>
      </c>
      <c r="P232" s="99" t="inlineStr">
        <is>
          <t>⏳ New Fund</t>
        </is>
      </c>
      <c r="Q232" s="100" t="inlineStr">
        <is>
          <t>MOMENTUM_ONLY</t>
        </is>
      </c>
    </row>
    <row r="233" ht="16" customHeight="1">
      <c r="A233" s="90" t="n">
        <v>229</v>
      </c>
      <c r="B233" s="91" t="inlineStr">
        <is>
          <t>Taurus Infrastructure Fund - Regular Plan - Growth</t>
        </is>
      </c>
      <c r="C233" s="91" t="inlineStr">
        <is>
          <t>Taurus Mutual Fund</t>
        </is>
      </c>
      <c r="D233" s="91" t="inlineStr">
        <is>
          <t>Sectoral/ Thematic</t>
        </is>
      </c>
      <c r="E233" s="92" t="n">
        <v>-4.46</v>
      </c>
      <c r="F233" s="93" t="n">
        <v>1.62</v>
      </c>
      <c r="G233" s="92" t="n">
        <v>-6.89</v>
      </c>
      <c r="H233" s="92" t="n">
        <v>-9.210000000000001</v>
      </c>
      <c r="I233" s="92" t="n">
        <v>-4.067732227367838</v>
      </c>
      <c r="J233" s="93" t="n">
        <v>47.52</v>
      </c>
      <c r="K233" s="78" t="n">
        <v>24.4</v>
      </c>
      <c r="L233" s="18" t="n">
        <v>0</v>
      </c>
      <c r="M233" s="19" t="n">
        <v>13.4</v>
      </c>
      <c r="N233" s="94" t="inlineStr">
        <is>
          <t>📉 Weak</t>
        </is>
      </c>
      <c r="O233" s="94" t="inlineStr">
        <is>
          <t>🔴 Not Qualified</t>
        </is>
      </c>
      <c r="P233" s="94" t="inlineStr">
        <is>
          <t>🔴 Avoid</t>
        </is>
      </c>
      <c r="Q233" s="68" t="inlineStr">
        <is>
          <t>FULL</t>
        </is>
      </c>
    </row>
    <row r="234" ht="16" customHeight="1">
      <c r="A234" s="95" t="n">
        <v>230</v>
      </c>
      <c r="B234" s="96" t="inlineStr">
        <is>
          <t>Motilal Oswal Quant Fund - Regular - Growth</t>
        </is>
      </c>
      <c r="C234" s="96" t="inlineStr">
        <is>
          <t>Motilal Oswal Mutual Fund</t>
        </is>
      </c>
      <c r="D234" s="96" t="inlineStr">
        <is>
          <t>Sectoral/ Thematic</t>
        </is>
      </c>
      <c r="E234" s="97" t="n">
        <v>-5.92</v>
      </c>
      <c r="F234" s="97" t="n">
        <v>-0.55</v>
      </c>
      <c r="G234" s="97" t="n">
        <v>-5.05</v>
      </c>
      <c r="H234" s="97" t="n">
        <v>-7.51</v>
      </c>
      <c r="I234" s="98" t="n">
        <v>0</v>
      </c>
      <c r="J234" s="98" t="n">
        <v>0</v>
      </c>
      <c r="K234" s="78" t="n">
        <v>24.4</v>
      </c>
      <c r="L234" s="18" t="n">
        <v>0</v>
      </c>
      <c r="M234" s="19" t="n">
        <v>13.4</v>
      </c>
      <c r="N234" s="99" t="inlineStr">
        <is>
          <t>📉 Weak</t>
        </is>
      </c>
      <c r="O234" s="99" t="inlineStr">
        <is>
          <t>⏳ New Fund</t>
        </is>
      </c>
      <c r="P234" s="99" t="inlineStr">
        <is>
          <t>⏳ New Fund</t>
        </is>
      </c>
      <c r="Q234" s="100" t="inlineStr">
        <is>
          <t>MOMENTUM_ONLY</t>
        </is>
      </c>
    </row>
    <row r="235" ht="16" customHeight="1">
      <c r="A235" s="95" t="n">
        <v>231</v>
      </c>
      <c r="B235" s="96" t="inlineStr">
        <is>
          <t>BANDHAN FINANCIAL SERVICES FUND - REGULAR PLAN - GROWTH</t>
        </is>
      </c>
      <c r="C235" s="96" t="inlineStr">
        <is>
          <t>Bandhan Mutual Fund</t>
        </is>
      </c>
      <c r="D235" s="96" t="inlineStr">
        <is>
          <t>Sectoral/ Thematic</t>
        </is>
      </c>
      <c r="E235" s="97" t="n">
        <v>-3.43</v>
      </c>
      <c r="F235" s="98" t="n">
        <v>0.02</v>
      </c>
      <c r="G235" s="97" t="n">
        <v>-9.42</v>
      </c>
      <c r="H235" s="97" t="n">
        <v>-6.73</v>
      </c>
      <c r="I235" s="98" t="n">
        <v>5.138004546405583</v>
      </c>
      <c r="J235" s="98" t="n">
        <v>0</v>
      </c>
      <c r="K235" s="78" t="n">
        <v>24.1</v>
      </c>
      <c r="L235" s="18" t="n">
        <v>0</v>
      </c>
      <c r="M235" s="19" t="n">
        <v>13.3</v>
      </c>
      <c r="N235" s="99" t="inlineStr">
        <is>
          <t>📉 Weak</t>
        </is>
      </c>
      <c r="O235" s="99" t="inlineStr">
        <is>
          <t>⏳ New Fund</t>
        </is>
      </c>
      <c r="P235" s="99" t="inlineStr">
        <is>
          <t>⏳ New Fund</t>
        </is>
      </c>
      <c r="Q235" s="100" t="inlineStr">
        <is>
          <t>MOMENTUM_ONLY</t>
        </is>
      </c>
    </row>
    <row r="236" ht="16" customHeight="1">
      <c r="A236" s="95" t="n">
        <v>232</v>
      </c>
      <c r="B236" s="96" t="inlineStr">
        <is>
          <t>Sundaram Multi-Factor Fund - Regular - Growth</t>
        </is>
      </c>
      <c r="C236" s="96" t="inlineStr">
        <is>
          <t>Sundaram Mutual Fund</t>
        </is>
      </c>
      <c r="D236" s="96" t="inlineStr">
        <is>
          <t>Sectoral/ Thematic</t>
        </is>
      </c>
      <c r="E236" s="97" t="n">
        <v>-4.38</v>
      </c>
      <c r="F236" s="97" t="n">
        <v>-2.63</v>
      </c>
      <c r="G236" s="97" t="n">
        <v>-9.23</v>
      </c>
      <c r="H236" s="98" t="n">
        <v>0</v>
      </c>
      <c r="I236" s="98" t="n">
        <v>0</v>
      </c>
      <c r="J236" s="98" t="n">
        <v>0</v>
      </c>
      <c r="K236" s="78" t="n">
        <v>24.1</v>
      </c>
      <c r="L236" s="18" t="n">
        <v>0</v>
      </c>
      <c r="M236" s="19" t="n">
        <v>13.2</v>
      </c>
      <c r="N236" s="99" t="inlineStr">
        <is>
          <t>📉 Weak</t>
        </is>
      </c>
      <c r="O236" s="99" t="inlineStr">
        <is>
          <t>⏳ New Fund</t>
        </is>
      </c>
      <c r="P236" s="99" t="inlineStr">
        <is>
          <t>⏳ New Fund</t>
        </is>
      </c>
      <c r="Q236" s="100" t="inlineStr">
        <is>
          <t>MOMENTUM_ONLY</t>
        </is>
      </c>
    </row>
    <row r="237" ht="16" customHeight="1">
      <c r="A237" s="90" t="n">
        <v>233</v>
      </c>
      <c r="B237" s="91" t="inlineStr">
        <is>
          <t>HDFC Housing Opportunities Fund  - Growth Option</t>
        </is>
      </c>
      <c r="C237" s="91" t="inlineStr">
        <is>
          <t>HDFC Mutual Fund</t>
        </is>
      </c>
      <c r="D237" s="91" t="inlineStr">
        <is>
          <t>Sectoral/ Thematic</t>
        </is>
      </c>
      <c r="E237" s="92" t="n">
        <v>-3.76</v>
      </c>
      <c r="F237" s="92" t="n">
        <v>-1.1</v>
      </c>
      <c r="G237" s="92" t="n">
        <v>-6.89</v>
      </c>
      <c r="H237" s="92" t="n">
        <v>-7.79</v>
      </c>
      <c r="I237" s="92" t="n">
        <v>-5.501322760580396</v>
      </c>
      <c r="J237" s="93" t="n">
        <v>42.97</v>
      </c>
      <c r="K237" s="78" t="n">
        <v>24.1</v>
      </c>
      <c r="L237" s="18" t="n">
        <v>0</v>
      </c>
      <c r="M237" s="19" t="n">
        <v>13.2</v>
      </c>
      <c r="N237" s="94" t="inlineStr">
        <is>
          <t>📉 Weak</t>
        </is>
      </c>
      <c r="O237" s="94" t="inlineStr">
        <is>
          <t>🔴 Not Qualified</t>
        </is>
      </c>
      <c r="P237" s="94" t="inlineStr">
        <is>
          <t>🔴 Avoid</t>
        </is>
      </c>
      <c r="Q237" s="68" t="inlineStr">
        <is>
          <t>FULL</t>
        </is>
      </c>
    </row>
    <row r="238" ht="16" customHeight="1">
      <c r="A238" s="85" t="n">
        <v>234</v>
      </c>
      <c r="B238" s="86" t="inlineStr">
        <is>
          <t>Taurus Infrastructure Fund - Regular Plan - Payout of Income Distribution cum Capital Withdrawal option</t>
        </is>
      </c>
      <c r="C238" s="86" t="inlineStr">
        <is>
          <t>Taurus Mutual Fund</t>
        </is>
      </c>
      <c r="D238" s="86" t="inlineStr">
        <is>
          <t>Sectoral/ Thematic</t>
        </is>
      </c>
      <c r="E238" s="87" t="n">
        <v>-4.48</v>
      </c>
      <c r="F238" s="88" t="n">
        <v>1.62</v>
      </c>
      <c r="G238" s="87" t="n">
        <v>-6.91</v>
      </c>
      <c r="H238" s="87" t="n">
        <v>-9.23</v>
      </c>
      <c r="I238" s="87" t="n">
        <v>-4.072944379596432</v>
      </c>
      <c r="J238" s="88" t="n">
        <v>47.49</v>
      </c>
      <c r="K238" s="78" t="n">
        <v>24</v>
      </c>
      <c r="L238" s="18" t="n">
        <v>0</v>
      </c>
      <c r="M238" s="19" t="n">
        <v>13.2</v>
      </c>
      <c r="N238" s="89" t="inlineStr">
        <is>
          <t>📉 Weak</t>
        </is>
      </c>
      <c r="O238" s="89" t="inlineStr">
        <is>
          <t>🔴 Not Qualified</t>
        </is>
      </c>
      <c r="P238" s="89" t="inlineStr">
        <is>
          <t>🔴 Avoid</t>
        </is>
      </c>
      <c r="Q238" s="68" t="inlineStr">
        <is>
          <t>FULL</t>
        </is>
      </c>
    </row>
    <row r="239" ht="16" customHeight="1">
      <c r="A239" s="90" t="n">
        <v>235</v>
      </c>
      <c r="B239" s="91" t="inlineStr">
        <is>
          <t>Nippon India Consumption Fund-Growth Plan-Bonus Option</t>
        </is>
      </c>
      <c r="C239" s="91" t="inlineStr">
        <is>
          <t>Nippon India Mutual Fund</t>
        </is>
      </c>
      <c r="D239" s="91" t="inlineStr">
        <is>
          <t>Sectoral/ Thematic</t>
        </is>
      </c>
      <c r="E239" s="92" t="n">
        <v>-3.54</v>
      </c>
      <c r="F239" s="93" t="n">
        <v>2.8</v>
      </c>
      <c r="G239" s="92" t="n">
        <v>-10.18</v>
      </c>
      <c r="H239" s="92" t="n">
        <v>-10.24</v>
      </c>
      <c r="I239" s="92" t="n">
        <v>-4.323461601080069</v>
      </c>
      <c r="J239" s="93" t="n">
        <v>31.26</v>
      </c>
      <c r="K239" s="78" t="n">
        <v>23.7</v>
      </c>
      <c r="L239" s="18" t="n">
        <v>0</v>
      </c>
      <c r="M239" s="19" t="n">
        <v>13</v>
      </c>
      <c r="N239" s="94" t="inlineStr">
        <is>
          <t>📉 Weak</t>
        </is>
      </c>
      <c r="O239" s="94" t="inlineStr">
        <is>
          <t>🔴 Not Qualified</t>
        </is>
      </c>
      <c r="P239" s="94" t="inlineStr">
        <is>
          <t>🔴 Avoid</t>
        </is>
      </c>
      <c r="Q239" s="68" t="inlineStr">
        <is>
          <t>FULL</t>
        </is>
      </c>
    </row>
    <row r="240" ht="16" customHeight="1">
      <c r="A240" s="85" t="n">
        <v>235</v>
      </c>
      <c r="B240" s="86" t="inlineStr">
        <is>
          <t>Nippon India Consumption Fund-Growth Plan-Growth Option</t>
        </is>
      </c>
      <c r="C240" s="86" t="inlineStr">
        <is>
          <t>Nippon India Mutual Fund</t>
        </is>
      </c>
      <c r="D240" s="86" t="inlineStr">
        <is>
          <t>Sectoral/ Thematic</t>
        </is>
      </c>
      <c r="E240" s="87" t="n">
        <v>-3.54</v>
      </c>
      <c r="F240" s="88" t="n">
        <v>2.8</v>
      </c>
      <c r="G240" s="87" t="n">
        <v>-10.18</v>
      </c>
      <c r="H240" s="87" t="n">
        <v>-10.24</v>
      </c>
      <c r="I240" s="87" t="n">
        <v>-4.323461601080069</v>
      </c>
      <c r="J240" s="88" t="n">
        <v>31.26</v>
      </c>
      <c r="K240" s="78" t="n">
        <v>23.7</v>
      </c>
      <c r="L240" s="18" t="n">
        <v>0</v>
      </c>
      <c r="M240" s="19" t="n">
        <v>13</v>
      </c>
      <c r="N240" s="89" t="inlineStr">
        <is>
          <t>📉 Weak</t>
        </is>
      </c>
      <c r="O240" s="89" t="inlineStr">
        <is>
          <t>🔴 Not Qualified</t>
        </is>
      </c>
      <c r="P240" s="89" t="inlineStr">
        <is>
          <t>🔴 Avoid</t>
        </is>
      </c>
      <c r="Q240" s="68" t="inlineStr">
        <is>
          <t>FULL</t>
        </is>
      </c>
    </row>
    <row r="241" ht="16" customHeight="1">
      <c r="A241" s="95" t="n">
        <v>237</v>
      </c>
      <c r="B241" s="96" t="inlineStr">
        <is>
          <t>Kotak Rural Opportunities Fund - Regular Plan - Growth</t>
        </is>
      </c>
      <c r="C241" s="96" t="inlineStr">
        <is>
          <t>Kotak Mahindra Mutual Fund</t>
        </is>
      </c>
      <c r="D241" s="96" t="inlineStr">
        <is>
          <t>Sectoral/ Thematic</t>
        </is>
      </c>
      <c r="E241" s="97" t="n">
        <v>-6.36</v>
      </c>
      <c r="F241" s="97" t="n">
        <v>-5.02</v>
      </c>
      <c r="G241" s="97" t="n">
        <v>-9.09</v>
      </c>
      <c r="H241" s="98" t="n">
        <v>0</v>
      </c>
      <c r="I241" s="98" t="n">
        <v>0</v>
      </c>
      <c r="J241" s="98" t="n">
        <v>0</v>
      </c>
      <c r="K241" s="78" t="n">
        <v>21.7</v>
      </c>
      <c r="L241" s="18" t="n">
        <v>0</v>
      </c>
      <c r="M241" s="19" t="n">
        <v>11.9</v>
      </c>
      <c r="N241" s="99" t="inlineStr">
        <is>
          <t>📉 Weak</t>
        </is>
      </c>
      <c r="O241" s="99" t="inlineStr">
        <is>
          <t>⏳ New Fund</t>
        </is>
      </c>
      <c r="P241" s="99" t="inlineStr">
        <is>
          <t>⏳ New Fund</t>
        </is>
      </c>
      <c r="Q241" s="100" t="inlineStr">
        <is>
          <t>MOMENTUM_ONLY</t>
        </is>
      </c>
    </row>
    <row r="242" ht="16" customHeight="1">
      <c r="A242" s="85" t="n">
        <v>238</v>
      </c>
      <c r="B242" s="86" t="inlineStr">
        <is>
          <t>BARODA BNP PARIBAS India Consumption Fund - Regular Plan - Growth Option</t>
        </is>
      </c>
      <c r="C242" s="86" t="inlineStr">
        <is>
          <t>Baroda BNP Paribas Mutual Fund</t>
        </is>
      </c>
      <c r="D242" s="86" t="inlineStr">
        <is>
          <t>Sectoral/ Thematic</t>
        </is>
      </c>
      <c r="E242" s="87" t="n">
        <v>-3.41</v>
      </c>
      <c r="F242" s="88" t="n">
        <v>0.82</v>
      </c>
      <c r="G242" s="87" t="n">
        <v>-11.13</v>
      </c>
      <c r="H242" s="87" t="n">
        <v>-8.210000000000001</v>
      </c>
      <c r="I242" s="87" t="n">
        <v>-2.204294572818788</v>
      </c>
      <c r="J242" s="88" t="n">
        <v>30.62</v>
      </c>
      <c r="K242" s="78" t="n">
        <v>21.4</v>
      </c>
      <c r="L242" s="18" t="n">
        <v>0</v>
      </c>
      <c r="M242" s="19" t="n">
        <v>11.8</v>
      </c>
      <c r="N242" s="89" t="inlineStr">
        <is>
          <t>📉 Weak</t>
        </is>
      </c>
      <c r="O242" s="89" t="inlineStr">
        <is>
          <t>🔴 Not Qualified</t>
        </is>
      </c>
      <c r="P242" s="89" t="inlineStr">
        <is>
          <t>🔴 Avoid</t>
        </is>
      </c>
      <c r="Q242" s="68" t="inlineStr">
        <is>
          <t>FULL</t>
        </is>
      </c>
    </row>
    <row r="243" ht="16" customHeight="1">
      <c r="A243" s="90" t="n">
        <v>239</v>
      </c>
      <c r="B243" s="91" t="inlineStr">
        <is>
          <t>Franklin India Technology Fund-Growth</t>
        </is>
      </c>
      <c r="C243" s="91" t="inlineStr">
        <is>
          <t>Franklin Templeton Mutual Fund</t>
        </is>
      </c>
      <c r="D243" s="91" t="inlineStr">
        <is>
          <t>Sectoral/ Thematic</t>
        </is>
      </c>
      <c r="E243" s="92" t="n">
        <v>-2.57</v>
      </c>
      <c r="F243" s="92" t="n">
        <v>-0.8</v>
      </c>
      <c r="G243" s="92" t="n">
        <v>-20.75</v>
      </c>
      <c r="H243" s="92" t="n">
        <v>-16.24</v>
      </c>
      <c r="I243" s="92" t="n">
        <v>-4.000000000000004</v>
      </c>
      <c r="J243" s="93" t="n">
        <v>37.3</v>
      </c>
      <c r="K243" s="78" t="n">
        <v>20.4</v>
      </c>
      <c r="L243" s="18" t="n">
        <v>0</v>
      </c>
      <c r="M243" s="19" t="n">
        <v>11.2</v>
      </c>
      <c r="N243" s="94" t="inlineStr">
        <is>
          <t>📉 Weak</t>
        </is>
      </c>
      <c r="O243" s="94" t="inlineStr">
        <is>
          <t>🔴 Not Qualified</t>
        </is>
      </c>
      <c r="P243" s="94" t="inlineStr">
        <is>
          <t>🔴 Avoid</t>
        </is>
      </c>
      <c r="Q243" s="68" t="inlineStr">
        <is>
          <t>FULL</t>
        </is>
      </c>
    </row>
    <row r="244" ht="16" customHeight="1">
      <c r="A244" s="85" t="n">
        <v>240</v>
      </c>
      <c r="B244" s="86" t="inlineStr">
        <is>
          <t>LIC MF Banking and Financial Services Fund-Regular Plan-Growth</t>
        </is>
      </c>
      <c r="C244" s="86" t="inlineStr">
        <is>
          <t>LIC Mutual Fund</t>
        </is>
      </c>
      <c r="D244" s="86" t="inlineStr">
        <is>
          <t>Sectoral/ Thematic</t>
        </is>
      </c>
      <c r="E244" s="87" t="n">
        <v>-3.71</v>
      </c>
      <c r="F244" s="87" t="n">
        <v>-2.1</v>
      </c>
      <c r="G244" s="87" t="n">
        <v>-9.5</v>
      </c>
      <c r="H244" s="87" t="n">
        <v>-5.45</v>
      </c>
      <c r="I244" s="88" t="n">
        <v>1.887192521925929</v>
      </c>
      <c r="J244" s="88" t="n">
        <v>22.75</v>
      </c>
      <c r="K244" s="78" t="n">
        <v>20.4</v>
      </c>
      <c r="L244" s="18" t="n">
        <v>0</v>
      </c>
      <c r="M244" s="19" t="n">
        <v>11.2</v>
      </c>
      <c r="N244" s="89" t="inlineStr">
        <is>
          <t>📉 Weak</t>
        </is>
      </c>
      <c r="O244" s="89" t="inlineStr">
        <is>
          <t>🔴 Not Qualified</t>
        </is>
      </c>
      <c r="P244" s="89" t="inlineStr">
        <is>
          <t>🔴 Avoid</t>
        </is>
      </c>
      <c r="Q244" s="68" t="inlineStr">
        <is>
          <t>FULL</t>
        </is>
      </c>
    </row>
    <row r="245" ht="16" customHeight="1">
      <c r="A245" s="90" t="n">
        <v>241</v>
      </c>
      <c r="B245" s="91" t="inlineStr">
        <is>
          <t>CANARA ROBECO CONSUMPTION FUND - REGULAR PLAN - GROWTH OPTION</t>
        </is>
      </c>
      <c r="C245" s="91" t="inlineStr">
        <is>
          <t>Canara Robeco Mutual Fund</t>
        </is>
      </c>
      <c r="D245" s="91" t="inlineStr">
        <is>
          <t>Sectoral/ Thematic</t>
        </is>
      </c>
      <c r="E245" s="92" t="n">
        <v>-3.38</v>
      </c>
      <c r="F245" s="93" t="n">
        <v>1.19</v>
      </c>
      <c r="G245" s="92" t="n">
        <v>-10.89</v>
      </c>
      <c r="H245" s="92" t="n">
        <v>-10.45</v>
      </c>
      <c r="I245" s="92" t="n">
        <v>-1.847058118464939</v>
      </c>
      <c r="J245" s="93" t="n">
        <v>31.62</v>
      </c>
      <c r="K245" s="78" t="n">
        <v>20.1</v>
      </c>
      <c r="L245" s="18" t="n">
        <v>0</v>
      </c>
      <c r="M245" s="19" t="n">
        <v>11.1</v>
      </c>
      <c r="N245" s="94" t="inlineStr">
        <is>
          <t>📉 Weak</t>
        </is>
      </c>
      <c r="O245" s="94" t="inlineStr">
        <is>
          <t>🔴 Not Qualified</t>
        </is>
      </c>
      <c r="P245" s="94" t="inlineStr">
        <is>
          <t>🔴 Avoid</t>
        </is>
      </c>
      <c r="Q245" s="68" t="inlineStr">
        <is>
          <t>FULL</t>
        </is>
      </c>
    </row>
    <row r="246" ht="16" customHeight="1">
      <c r="A246" s="85" t="n">
        <v>242</v>
      </c>
      <c r="B246" s="86" t="inlineStr">
        <is>
          <t>Kotak ESG Exclusionary Strategy Fund - Regular Plan - Payout of Income Distribution cum capital withdrawal option</t>
        </is>
      </c>
      <c r="C246" s="86" t="inlineStr">
        <is>
          <t>Kotak Mahindra Mutual Fund</t>
        </is>
      </c>
      <c r="D246" s="86" t="inlineStr">
        <is>
          <t>Sectoral/ Thematic</t>
        </is>
      </c>
      <c r="E246" s="87" t="n">
        <v>-3.19</v>
      </c>
      <c r="F246" s="87" t="n">
        <v>-2.46</v>
      </c>
      <c r="G246" s="87" t="n">
        <v>-10.8</v>
      </c>
      <c r="H246" s="87" t="n">
        <v>-7.41</v>
      </c>
      <c r="I246" s="87" t="n">
        <v>-1.704527062534567</v>
      </c>
      <c r="J246" s="88" t="n">
        <v>29</v>
      </c>
      <c r="K246" s="78" t="n">
        <v>20</v>
      </c>
      <c r="L246" s="18" t="n">
        <v>0</v>
      </c>
      <c r="M246" s="19" t="n">
        <v>11</v>
      </c>
      <c r="N246" s="89" t="inlineStr">
        <is>
          <t>📉 Weak</t>
        </is>
      </c>
      <c r="O246" s="89" t="inlineStr">
        <is>
          <t>🔴 Not Qualified</t>
        </is>
      </c>
      <c r="P246" s="89" t="inlineStr">
        <is>
          <t>🔴 Avoid</t>
        </is>
      </c>
      <c r="Q246" s="68" t="inlineStr">
        <is>
          <t>FULL</t>
        </is>
      </c>
    </row>
    <row r="247" ht="16" customHeight="1">
      <c r="A247" s="90" t="n">
        <v>242</v>
      </c>
      <c r="B247" s="91" t="inlineStr">
        <is>
          <t>Kotak ESG Exclusionary Strategy Fund - Regular Plan - Growth Option</t>
        </is>
      </c>
      <c r="C247" s="91" t="inlineStr">
        <is>
          <t>Kotak Mahindra Mutual Fund</t>
        </is>
      </c>
      <c r="D247" s="91" t="inlineStr">
        <is>
          <t>Sectoral/ Thematic</t>
        </is>
      </c>
      <c r="E247" s="92" t="n">
        <v>-3.19</v>
      </c>
      <c r="F247" s="92" t="n">
        <v>-2.46</v>
      </c>
      <c r="G247" s="92" t="n">
        <v>-10.8</v>
      </c>
      <c r="H247" s="92" t="n">
        <v>-7.41</v>
      </c>
      <c r="I247" s="92" t="n">
        <v>-1.704527062534567</v>
      </c>
      <c r="J247" s="93" t="n">
        <v>29</v>
      </c>
      <c r="K247" s="78" t="n">
        <v>20</v>
      </c>
      <c r="L247" s="18" t="n">
        <v>0</v>
      </c>
      <c r="M247" s="19" t="n">
        <v>11</v>
      </c>
      <c r="N247" s="94" t="inlineStr">
        <is>
          <t>📉 Weak</t>
        </is>
      </c>
      <c r="O247" s="94" t="inlineStr">
        <is>
          <t>🔴 Not Qualified</t>
        </is>
      </c>
      <c r="P247" s="94" t="inlineStr">
        <is>
          <t>🔴 Avoid</t>
        </is>
      </c>
      <c r="Q247" s="68" t="inlineStr">
        <is>
          <t>FULL</t>
        </is>
      </c>
    </row>
    <row r="248" ht="16" customHeight="1">
      <c r="A248" s="95" t="n">
        <v>244</v>
      </c>
      <c r="B248" s="96" t="inlineStr">
        <is>
          <t>Motilal Oswal Digital India Fund - Regular Plan- Growth</t>
        </is>
      </c>
      <c r="C248" s="96" t="inlineStr">
        <is>
          <t>Motilal Oswal Mutual Fund</t>
        </is>
      </c>
      <c r="D248" s="96" t="inlineStr">
        <is>
          <t>Sectoral/ Thematic</t>
        </is>
      </c>
      <c r="E248" s="97" t="n">
        <v>-5.93</v>
      </c>
      <c r="F248" s="98" t="n">
        <v>6.59</v>
      </c>
      <c r="G248" s="97" t="n">
        <v>-19.51</v>
      </c>
      <c r="H248" s="97" t="n">
        <v>-17.9</v>
      </c>
      <c r="I248" s="98" t="n">
        <v>0</v>
      </c>
      <c r="J248" s="98" t="n">
        <v>0</v>
      </c>
      <c r="K248" s="78" t="n">
        <v>18.9</v>
      </c>
      <c r="L248" s="18" t="n">
        <v>0</v>
      </c>
      <c r="M248" s="19" t="n">
        <v>10.4</v>
      </c>
      <c r="N248" s="99" t="inlineStr">
        <is>
          <t>📉 Weak</t>
        </is>
      </c>
      <c r="O248" s="99" t="inlineStr">
        <is>
          <t>⏳ New Fund</t>
        </is>
      </c>
      <c r="P248" s="99" t="inlineStr">
        <is>
          <t>⏳ New Fund</t>
        </is>
      </c>
      <c r="Q248" s="100" t="inlineStr">
        <is>
          <t>MOMENTUM_ONLY</t>
        </is>
      </c>
    </row>
    <row r="249" ht="16" customHeight="1">
      <c r="A249" s="90" t="n">
        <v>245</v>
      </c>
      <c r="B249" s="91" t="inlineStr">
        <is>
          <t>Mahindra Manulife Consumption Fund- Regular Plan - Growth</t>
        </is>
      </c>
      <c r="C249" s="91" t="inlineStr">
        <is>
          <t>Mahindra Manulife Mutual Fund</t>
        </is>
      </c>
      <c r="D249" s="91" t="inlineStr">
        <is>
          <t>Sectoral/ Thematic</t>
        </is>
      </c>
      <c r="E249" s="92" t="n">
        <v>-3.79</v>
      </c>
      <c r="F249" s="93" t="n">
        <v>0.61</v>
      </c>
      <c r="G249" s="92" t="n">
        <v>-10.88</v>
      </c>
      <c r="H249" s="92" t="n">
        <v>-8.44</v>
      </c>
      <c r="I249" s="92" t="n">
        <v>-4.057308772371826</v>
      </c>
      <c r="J249" s="93" t="n">
        <v>28.25</v>
      </c>
      <c r="K249" s="78" t="n">
        <v>18.6</v>
      </c>
      <c r="L249" s="18" t="n">
        <v>0</v>
      </c>
      <c r="M249" s="19" t="n">
        <v>10.2</v>
      </c>
      <c r="N249" s="94" t="inlineStr">
        <is>
          <t>📉 Weak</t>
        </is>
      </c>
      <c r="O249" s="94" t="inlineStr">
        <is>
          <t>🔴 Not Qualified</t>
        </is>
      </c>
      <c r="P249" s="94" t="inlineStr">
        <is>
          <t>🔴 Avoid</t>
        </is>
      </c>
      <c r="Q249" s="68" t="inlineStr">
        <is>
          <t>FULL</t>
        </is>
      </c>
    </row>
    <row r="250" ht="16" customHeight="1">
      <c r="A250" s="95" t="n">
        <v>246</v>
      </c>
      <c r="B250" s="96" t="inlineStr">
        <is>
          <t>Axis Momentum Fund - Regular Plan - Growth Option</t>
        </is>
      </c>
      <c r="C250" s="96" t="inlineStr">
        <is>
          <t>Axis Mutual Fund</t>
        </is>
      </c>
      <c r="D250" s="96" t="inlineStr">
        <is>
          <t>Sectoral/ Thematic</t>
        </is>
      </c>
      <c r="E250" s="97" t="n">
        <v>-4.3</v>
      </c>
      <c r="F250" s="97" t="n">
        <v>-1.29</v>
      </c>
      <c r="G250" s="97" t="n">
        <v>-8.449999999999999</v>
      </c>
      <c r="H250" s="97" t="n">
        <v>-8.35</v>
      </c>
      <c r="I250" s="98" t="n">
        <v>0</v>
      </c>
      <c r="J250" s="98" t="n">
        <v>0</v>
      </c>
      <c r="K250" s="78" t="n">
        <v>18.2</v>
      </c>
      <c r="L250" s="18" t="n">
        <v>0</v>
      </c>
      <c r="M250" s="19" t="n">
        <v>10</v>
      </c>
      <c r="N250" s="99" t="inlineStr">
        <is>
          <t>📉 Weak</t>
        </is>
      </c>
      <c r="O250" s="99" t="inlineStr">
        <is>
          <t>⏳ New Fund</t>
        </is>
      </c>
      <c r="P250" s="99" t="inlineStr">
        <is>
          <t>⏳ New Fund</t>
        </is>
      </c>
      <c r="Q250" s="100" t="inlineStr">
        <is>
          <t>MOMENTUM_ONLY</t>
        </is>
      </c>
    </row>
    <row r="251" ht="16" customHeight="1">
      <c r="A251" s="95" t="n">
        <v>247</v>
      </c>
      <c r="B251" s="96" t="inlineStr">
        <is>
          <t>SBI Quant Fund- Regular Plan- Growth</t>
        </is>
      </c>
      <c r="C251" s="96" t="inlineStr">
        <is>
          <t>SBI Mutual Fund</t>
        </is>
      </c>
      <c r="D251" s="96" t="inlineStr">
        <is>
          <t>Sectoral/ Thematic</t>
        </is>
      </c>
      <c r="E251" s="97" t="n">
        <v>-3.78</v>
      </c>
      <c r="F251" s="97" t="n">
        <v>-5.15</v>
      </c>
      <c r="G251" s="97" t="n">
        <v>-8.32</v>
      </c>
      <c r="H251" s="97" t="n">
        <v>-4.42</v>
      </c>
      <c r="I251" s="98" t="n">
        <v>0</v>
      </c>
      <c r="J251" s="98" t="n">
        <v>0</v>
      </c>
      <c r="K251" s="78" t="n">
        <v>17.9</v>
      </c>
      <c r="L251" s="18" t="n">
        <v>0</v>
      </c>
      <c r="M251" s="19" t="n">
        <v>9.800000000000001</v>
      </c>
      <c r="N251" s="99" t="inlineStr">
        <is>
          <t>📉 Weak</t>
        </is>
      </c>
      <c r="O251" s="99" t="inlineStr">
        <is>
          <t>⏳ New Fund</t>
        </is>
      </c>
      <c r="P251" s="99" t="inlineStr">
        <is>
          <t>⏳ New Fund</t>
        </is>
      </c>
      <c r="Q251" s="100" t="inlineStr">
        <is>
          <t>MOMENTUM_ONLY</t>
        </is>
      </c>
    </row>
    <row r="252" ht="16" customHeight="1">
      <c r="A252" s="95" t="n">
        <v>248</v>
      </c>
      <c r="B252" s="96" t="inlineStr">
        <is>
          <t>ICICI Prudential Rural Opportunities Fund - Growth</t>
        </is>
      </c>
      <c r="C252" s="96" t="inlineStr">
        <is>
          <t>ICICI Prudential Mutual Fund</t>
        </is>
      </c>
      <c r="D252" s="96" t="inlineStr">
        <is>
          <t>Sectoral/ Thematic</t>
        </is>
      </c>
      <c r="E252" s="97" t="n">
        <v>-4.49</v>
      </c>
      <c r="F252" s="97" t="n">
        <v>-2.25</v>
      </c>
      <c r="G252" s="97" t="n">
        <v>-9.94</v>
      </c>
      <c r="H252" s="97" t="n">
        <v>-5.1</v>
      </c>
      <c r="I252" s="98" t="n">
        <v>0</v>
      </c>
      <c r="J252" s="98" t="n">
        <v>0</v>
      </c>
      <c r="K252" s="78" t="n">
        <v>16.8</v>
      </c>
      <c r="L252" s="18" t="n">
        <v>0</v>
      </c>
      <c r="M252" s="19" t="n">
        <v>9.300000000000001</v>
      </c>
      <c r="N252" s="99" t="inlineStr">
        <is>
          <t>📉 Weak</t>
        </is>
      </c>
      <c r="O252" s="99" t="inlineStr">
        <is>
          <t>⏳ New Fund</t>
        </is>
      </c>
      <c r="P252" s="99" t="inlineStr">
        <is>
          <t>⏳ New Fund</t>
        </is>
      </c>
      <c r="Q252" s="100" t="inlineStr">
        <is>
          <t>MOMENTUM_ONLY</t>
        </is>
      </c>
    </row>
    <row r="253" ht="16" customHeight="1">
      <c r="A253" s="95" t="n">
        <v>249</v>
      </c>
      <c r="B253" s="96" t="inlineStr">
        <is>
          <t>Motilal Oswal Business Cycle Fund-Regular Plan-Growth</t>
        </is>
      </c>
      <c r="C253" s="96" t="inlineStr">
        <is>
          <t>Motilal Oswal Mutual Fund</t>
        </is>
      </c>
      <c r="D253" s="96" t="inlineStr">
        <is>
          <t>Sectoral/ Thematic</t>
        </is>
      </c>
      <c r="E253" s="97" t="n">
        <v>-4.6</v>
      </c>
      <c r="F253" s="98" t="n">
        <v>3.18</v>
      </c>
      <c r="G253" s="97" t="n">
        <v>-16.04</v>
      </c>
      <c r="H253" s="97" t="n">
        <v>-12.85</v>
      </c>
      <c r="I253" s="98" t="n">
        <v>0</v>
      </c>
      <c r="J253" s="98" t="n">
        <v>0</v>
      </c>
      <c r="K253" s="78" t="n">
        <v>16.7</v>
      </c>
      <c r="L253" s="18" t="n">
        <v>0</v>
      </c>
      <c r="M253" s="19" t="n">
        <v>9.199999999999999</v>
      </c>
      <c r="N253" s="99" t="inlineStr">
        <is>
          <t>📉 Weak</t>
        </is>
      </c>
      <c r="O253" s="99" t="inlineStr">
        <is>
          <t>⏳ New Fund</t>
        </is>
      </c>
      <c r="P253" s="99" t="inlineStr">
        <is>
          <t>⏳ New Fund</t>
        </is>
      </c>
      <c r="Q253" s="100" t="inlineStr">
        <is>
          <t>MOMENTUM_ONLY</t>
        </is>
      </c>
    </row>
    <row r="254" ht="16" customHeight="1">
      <c r="A254" s="85" t="n">
        <v>250</v>
      </c>
      <c r="B254" s="86" t="inlineStr">
        <is>
          <t>Tata Ethical Fund-Regular Plan - Growth Option</t>
        </is>
      </c>
      <c r="C254" s="86" t="inlineStr">
        <is>
          <t>Tata Mutual Fund</t>
        </is>
      </c>
      <c r="D254" s="86" t="inlineStr">
        <is>
          <t>Sectoral/ Thematic</t>
        </is>
      </c>
      <c r="E254" s="87" t="n">
        <v>-3.87</v>
      </c>
      <c r="F254" s="87" t="n">
        <v>-1.34</v>
      </c>
      <c r="G254" s="87" t="n">
        <v>-9.92</v>
      </c>
      <c r="H254" s="87" t="n">
        <v>-9.23</v>
      </c>
      <c r="I254" s="87" t="n">
        <v>-5.210760104324075</v>
      </c>
      <c r="J254" s="88" t="n">
        <v>17.83</v>
      </c>
      <c r="K254" s="78" t="n">
        <v>15.6</v>
      </c>
      <c r="L254" s="18" t="n">
        <v>0</v>
      </c>
      <c r="M254" s="19" t="n">
        <v>8.6</v>
      </c>
      <c r="N254" s="89" t="inlineStr">
        <is>
          <t>📉 Weak</t>
        </is>
      </c>
      <c r="O254" s="89" t="inlineStr">
        <is>
          <t>🔴 Not Qualified</t>
        </is>
      </c>
      <c r="P254" s="89" t="inlineStr">
        <is>
          <t>🔴 Avoid</t>
        </is>
      </c>
      <c r="Q254" s="68" t="inlineStr">
        <is>
          <t>FULL</t>
        </is>
      </c>
    </row>
    <row r="255" ht="16" customHeight="1">
      <c r="A255" s="90" t="n">
        <v>251</v>
      </c>
      <c r="B255" s="91" t="inlineStr">
        <is>
          <t>Sundaram Consumption Fund(Formerly Known as Sundaram Rural and Consumption Fund Regular Plan - Growth)</t>
        </is>
      </c>
      <c r="C255" s="91" t="inlineStr">
        <is>
          <t>Sundaram Mutual Fund</t>
        </is>
      </c>
      <c r="D255" s="91" t="inlineStr">
        <is>
          <t>Sectoral/ Thematic</t>
        </is>
      </c>
      <c r="E255" s="92" t="n">
        <v>-3.98</v>
      </c>
      <c r="F255" s="93" t="n">
        <v>1.27</v>
      </c>
      <c r="G255" s="92" t="n">
        <v>-12.09</v>
      </c>
      <c r="H255" s="92" t="n">
        <v>-11.95</v>
      </c>
      <c r="I255" s="92" t="n">
        <v>-2.173623188835216</v>
      </c>
      <c r="J255" s="93" t="n">
        <v>30.73</v>
      </c>
      <c r="K255" s="78" t="n">
        <v>15.5</v>
      </c>
      <c r="L255" s="18" t="n">
        <v>0</v>
      </c>
      <c r="M255" s="19" t="n">
        <v>8.5</v>
      </c>
      <c r="N255" s="94" t="inlineStr">
        <is>
          <t>📉 Weak</t>
        </is>
      </c>
      <c r="O255" s="94" t="inlineStr">
        <is>
          <t>🔴 Not Qualified</t>
        </is>
      </c>
      <c r="P255" s="94" t="inlineStr">
        <is>
          <t>🔴 Avoid</t>
        </is>
      </c>
      <c r="Q255" s="68" t="inlineStr">
        <is>
          <t>FULL</t>
        </is>
      </c>
    </row>
    <row r="256" ht="16" customHeight="1">
      <c r="A256" s="85" t="n">
        <v>251</v>
      </c>
      <c r="B256" s="86" t="inlineStr">
        <is>
          <t>ICICI Prudential FMCG Fund - Growth</t>
        </is>
      </c>
      <c r="C256" s="86" t="inlineStr">
        <is>
          <t>ICICI Prudential Mutual Fund</t>
        </is>
      </c>
      <c r="D256" s="86" t="inlineStr">
        <is>
          <t>Sectoral/ Thematic</t>
        </is>
      </c>
      <c r="E256" s="87" t="n">
        <v>-3.76</v>
      </c>
      <c r="F256" s="88" t="n">
        <v>0.29</v>
      </c>
      <c r="G256" s="87" t="n">
        <v>-11.01</v>
      </c>
      <c r="H256" s="87" t="n">
        <v>-14.62</v>
      </c>
      <c r="I256" s="87" t="n">
        <v>-8.484973911384364</v>
      </c>
      <c r="J256" s="87" t="n">
        <v>-2.54</v>
      </c>
      <c r="K256" s="78" t="n">
        <v>15.5</v>
      </c>
      <c r="L256" s="18" t="n">
        <v>0</v>
      </c>
      <c r="M256" s="19" t="n">
        <v>8.5</v>
      </c>
      <c r="N256" s="89" t="inlineStr">
        <is>
          <t>📉 Weak</t>
        </is>
      </c>
      <c r="O256" s="89" t="inlineStr">
        <is>
          <t>🔴 Not Qualified</t>
        </is>
      </c>
      <c r="P256" s="89" t="inlineStr">
        <is>
          <t>🔴 Avoid</t>
        </is>
      </c>
      <c r="Q256" s="68" t="inlineStr">
        <is>
          <t>FULL</t>
        </is>
      </c>
    </row>
    <row r="257" ht="16" customHeight="1">
      <c r="A257" s="90" t="n">
        <v>253</v>
      </c>
      <c r="B257" s="91" t="inlineStr">
        <is>
          <t>TATA Banking &amp; Financial Services Fund Regular Plan - Reinvestment of Income Distribution cum capital withdrawal option</t>
        </is>
      </c>
      <c r="C257" s="91" t="inlineStr">
        <is>
          <t>Tata Mutual Fund</t>
        </is>
      </c>
      <c r="D257" s="91" t="inlineStr">
        <is>
          <t>Sectoral/ Thematic</t>
        </is>
      </c>
      <c r="E257" s="92" t="n">
        <v>-2.59</v>
      </c>
      <c r="F257" s="92" t="n">
        <v>-5.68</v>
      </c>
      <c r="G257" s="92" t="n">
        <v>-12.06</v>
      </c>
      <c r="H257" s="92" t="n">
        <v>-9.210000000000001</v>
      </c>
      <c r="I257" s="93" t="n">
        <v>4.355162785556521</v>
      </c>
      <c r="J257" s="93" t="n">
        <v>32.77</v>
      </c>
      <c r="K257" s="78" t="n">
        <v>14.8</v>
      </c>
      <c r="L257" s="18" t="n">
        <v>0</v>
      </c>
      <c r="M257" s="19" t="n">
        <v>8.199999999999999</v>
      </c>
      <c r="N257" s="94" t="inlineStr">
        <is>
          <t>📉 Weak</t>
        </is>
      </c>
      <c r="O257" s="94" t="inlineStr">
        <is>
          <t>🔴 Not Qualified</t>
        </is>
      </c>
      <c r="P257" s="94" t="inlineStr">
        <is>
          <t>🔴 Avoid</t>
        </is>
      </c>
      <c r="Q257" s="68" t="inlineStr">
        <is>
          <t>FULL</t>
        </is>
      </c>
    </row>
    <row r="258" ht="16" customHeight="1">
      <c r="A258" s="85" t="n">
        <v>253</v>
      </c>
      <c r="B258" s="86" t="inlineStr">
        <is>
          <t>TATA Banking &amp; Financial Services Fund Regular Plan - Payout of Income Distribution cum capital withdrawal option</t>
        </is>
      </c>
      <c r="C258" s="86" t="inlineStr">
        <is>
          <t>Tata Mutual Fund</t>
        </is>
      </c>
      <c r="D258" s="86" t="inlineStr">
        <is>
          <t>Sectoral/ Thematic</t>
        </is>
      </c>
      <c r="E258" s="87" t="n">
        <v>-2.59</v>
      </c>
      <c r="F258" s="87" t="n">
        <v>-5.68</v>
      </c>
      <c r="G258" s="87" t="n">
        <v>-12.06</v>
      </c>
      <c r="H258" s="87" t="n">
        <v>-9.210000000000001</v>
      </c>
      <c r="I258" s="88" t="n">
        <v>4.355162785556521</v>
      </c>
      <c r="J258" s="88" t="n">
        <v>32.77</v>
      </c>
      <c r="K258" s="78" t="n">
        <v>14.8</v>
      </c>
      <c r="L258" s="18" t="n">
        <v>0</v>
      </c>
      <c r="M258" s="19" t="n">
        <v>8.199999999999999</v>
      </c>
      <c r="N258" s="89" t="inlineStr">
        <is>
          <t>📉 Weak</t>
        </is>
      </c>
      <c r="O258" s="89" t="inlineStr">
        <is>
          <t>🔴 Not Qualified</t>
        </is>
      </c>
      <c r="P258" s="89" t="inlineStr">
        <is>
          <t>🔴 Avoid</t>
        </is>
      </c>
      <c r="Q258" s="68" t="inlineStr">
        <is>
          <t>FULL</t>
        </is>
      </c>
    </row>
    <row r="259" ht="16" customHeight="1">
      <c r="A259" s="95" t="n">
        <v>255</v>
      </c>
      <c r="B259" s="96" t="inlineStr">
        <is>
          <t>Helios Financial Services Fund - Regular Plan - Growth Option</t>
        </is>
      </c>
      <c r="C259" s="96" t="inlineStr">
        <is>
          <t>Helios Mutual Fund</t>
        </is>
      </c>
      <c r="D259" s="96" t="inlineStr">
        <is>
          <t>Sectoral/ Thematic</t>
        </is>
      </c>
      <c r="E259" s="97" t="n">
        <v>-5.08</v>
      </c>
      <c r="F259" s="97" t="n">
        <v>-0.47</v>
      </c>
      <c r="G259" s="97" t="n">
        <v>-10.5</v>
      </c>
      <c r="H259" s="97" t="n">
        <v>-7.79</v>
      </c>
      <c r="I259" s="98" t="n">
        <v>0</v>
      </c>
      <c r="J259" s="98" t="n">
        <v>0</v>
      </c>
      <c r="K259" s="78" t="n">
        <v>14.8</v>
      </c>
      <c r="L259" s="18" t="n">
        <v>0</v>
      </c>
      <c r="M259" s="19" t="n">
        <v>8.1</v>
      </c>
      <c r="N259" s="99" t="inlineStr">
        <is>
          <t>📉 Weak</t>
        </is>
      </c>
      <c r="O259" s="99" t="inlineStr">
        <is>
          <t>⏳ New Fund</t>
        </is>
      </c>
      <c r="P259" s="99" t="inlineStr">
        <is>
          <t>⏳ New Fund</t>
        </is>
      </c>
      <c r="Q259" s="100" t="inlineStr">
        <is>
          <t>MOMENTUM_ONLY</t>
        </is>
      </c>
    </row>
    <row r="260" ht="16" customHeight="1">
      <c r="A260" s="85" t="n">
        <v>256</v>
      </c>
      <c r="B260" s="86" t="inlineStr">
        <is>
          <t>SBI TECHNOLOGY OPPORTUNITIES FUND - REGULAR PLAN - GROWTH</t>
        </is>
      </c>
      <c r="C260" s="86" t="inlineStr">
        <is>
          <t>SBI Mutual Fund</t>
        </is>
      </c>
      <c r="D260" s="86" t="inlineStr">
        <is>
          <t>Sectoral/ Thematic</t>
        </is>
      </c>
      <c r="E260" s="87" t="n">
        <v>-3.32</v>
      </c>
      <c r="F260" s="87" t="n">
        <v>-0.8</v>
      </c>
      <c r="G260" s="87" t="n">
        <v>-21.89</v>
      </c>
      <c r="H260" s="87" t="n">
        <v>-16.87</v>
      </c>
      <c r="I260" s="88" t="n">
        <v>0.2047903046555888</v>
      </c>
      <c r="J260" s="88" t="n">
        <v>27.49</v>
      </c>
      <c r="K260" s="78" t="n">
        <v>14.3</v>
      </c>
      <c r="L260" s="18" t="n">
        <v>0</v>
      </c>
      <c r="M260" s="19" t="n">
        <v>7.9</v>
      </c>
      <c r="N260" s="89" t="inlineStr">
        <is>
          <t>📉 Weak</t>
        </is>
      </c>
      <c r="O260" s="89" t="inlineStr">
        <is>
          <t>🔴 Not Qualified</t>
        </is>
      </c>
      <c r="P260" s="89" t="inlineStr">
        <is>
          <t>🔴 Avoid</t>
        </is>
      </c>
      <c r="Q260" s="68" t="inlineStr">
        <is>
          <t>FULL</t>
        </is>
      </c>
    </row>
    <row r="261" ht="16" customHeight="1">
      <c r="A261" s="90" t="n">
        <v>257</v>
      </c>
      <c r="B261" s="91" t="inlineStr">
        <is>
          <t>Aditya Birla Sun Life Consumption Fund-Growth Option</t>
        </is>
      </c>
      <c r="C261" s="91" t="inlineStr">
        <is>
          <t>Aditya Birla Sun Life Mutual Fund</t>
        </is>
      </c>
      <c r="D261" s="91" t="inlineStr">
        <is>
          <t>Sectoral/ Thematic</t>
        </is>
      </c>
      <c r="E261" s="92" t="n">
        <v>-4.13</v>
      </c>
      <c r="F261" s="92" t="n">
        <v>-0.36</v>
      </c>
      <c r="G261" s="92" t="n">
        <v>-11.79</v>
      </c>
      <c r="H261" s="92" t="n">
        <v>-10.05</v>
      </c>
      <c r="I261" s="92" t="n">
        <v>-2.275898571539681</v>
      </c>
      <c r="J261" s="93" t="n">
        <v>28.02</v>
      </c>
      <c r="K261" s="78" t="n">
        <v>13.7</v>
      </c>
      <c r="L261" s="18" t="n">
        <v>0</v>
      </c>
      <c r="M261" s="19" t="n">
        <v>7.5</v>
      </c>
      <c r="N261" s="94" t="inlineStr">
        <is>
          <t>📉 Weak</t>
        </is>
      </c>
      <c r="O261" s="94" t="inlineStr">
        <is>
          <t>🔴 Not Qualified</t>
        </is>
      </c>
      <c r="P261" s="94" t="inlineStr">
        <is>
          <t>🔴 Avoid</t>
        </is>
      </c>
      <c r="Q261" s="68" t="inlineStr">
        <is>
          <t>FULL</t>
        </is>
      </c>
    </row>
    <row r="262" ht="16" customHeight="1">
      <c r="A262" s="85" t="n">
        <v>258</v>
      </c>
      <c r="B262" s="86" t="inlineStr">
        <is>
          <t>SBI CONSUMPTION OPPORTUNITIES FUND - REGULAR - GROWTH</t>
        </is>
      </c>
      <c r="C262" s="86" t="inlineStr">
        <is>
          <t>SBI Mutual Fund</t>
        </is>
      </c>
      <c r="D262" s="86" t="inlineStr">
        <is>
          <t>Sectoral/ Thematic</t>
        </is>
      </c>
      <c r="E262" s="87" t="n">
        <v>-4.57</v>
      </c>
      <c r="F262" s="88" t="n">
        <v>0.33</v>
      </c>
      <c r="G262" s="87" t="n">
        <v>-10.68</v>
      </c>
      <c r="H262" s="87" t="n">
        <v>-11.33</v>
      </c>
      <c r="I262" s="87" t="n">
        <v>-4.821220852545071</v>
      </c>
      <c r="J262" s="88" t="n">
        <v>22.73</v>
      </c>
      <c r="K262" s="78" t="n">
        <v>13.6</v>
      </c>
      <c r="L262" s="18" t="n">
        <v>0</v>
      </c>
      <c r="M262" s="19" t="n">
        <v>7.5</v>
      </c>
      <c r="N262" s="89" t="inlineStr">
        <is>
          <t>📉 Weak</t>
        </is>
      </c>
      <c r="O262" s="89" t="inlineStr">
        <is>
          <t>🔴 Not Qualified</t>
        </is>
      </c>
      <c r="P262" s="89" t="inlineStr">
        <is>
          <t>🔴 Avoid</t>
        </is>
      </c>
      <c r="Q262" s="68" t="inlineStr">
        <is>
          <t>FULL</t>
        </is>
      </c>
    </row>
    <row r="263" ht="16" customHeight="1">
      <c r="A263" s="90" t="n">
        <v>259</v>
      </c>
      <c r="B263" s="91" t="inlineStr">
        <is>
          <t>ICICI Prudential ESG Exclusionary Strategy Fund - Growth</t>
        </is>
      </c>
      <c r="C263" s="91" t="inlineStr">
        <is>
          <t>ICICI Prudential Mutual Fund</t>
        </is>
      </c>
      <c r="D263" s="91" t="inlineStr">
        <is>
          <t>Sectoral/ Thematic</t>
        </is>
      </c>
      <c r="E263" s="92" t="n">
        <v>-3.9</v>
      </c>
      <c r="F263" s="92" t="n">
        <v>-1.22</v>
      </c>
      <c r="G263" s="92" t="n">
        <v>-11.64</v>
      </c>
      <c r="H263" s="92" t="n">
        <v>-9.66</v>
      </c>
      <c r="I263" s="93" t="n">
        <v>1.833196944807725</v>
      </c>
      <c r="J263" s="93" t="n">
        <v>44.08</v>
      </c>
      <c r="K263" s="78" t="n">
        <v>13.3</v>
      </c>
      <c r="L263" s="18" t="n">
        <v>0</v>
      </c>
      <c r="M263" s="19" t="n">
        <v>7.3</v>
      </c>
      <c r="N263" s="94" t="inlineStr">
        <is>
          <t>📉 Weak</t>
        </is>
      </c>
      <c r="O263" s="94" t="inlineStr">
        <is>
          <t>🔴 Not Qualified</t>
        </is>
      </c>
      <c r="P263" s="94" t="inlineStr">
        <is>
          <t>🔴 Avoid</t>
        </is>
      </c>
      <c r="Q263" s="68" t="inlineStr">
        <is>
          <t>FULL</t>
        </is>
      </c>
    </row>
    <row r="264" ht="16" customHeight="1">
      <c r="A264" s="85" t="n">
        <v>260</v>
      </c>
      <c r="B264" s="86" t="inlineStr">
        <is>
          <t>Tata Digital India Fund-Regular Plan-Growth</t>
        </is>
      </c>
      <c r="C264" s="86" t="inlineStr">
        <is>
          <t>Tata Mutual Fund</t>
        </is>
      </c>
      <c r="D264" s="86" t="inlineStr">
        <is>
          <t>Sectoral/ Thematic</t>
        </is>
      </c>
      <c r="E264" s="87" t="n">
        <v>-3.37</v>
      </c>
      <c r="F264" s="87" t="n">
        <v>-1.63</v>
      </c>
      <c r="G264" s="87" t="n">
        <v>-22.96</v>
      </c>
      <c r="H264" s="87" t="n">
        <v>-21.82</v>
      </c>
      <c r="I264" s="87" t="n">
        <v>-6.143726901181501</v>
      </c>
      <c r="J264" s="88" t="n">
        <v>17.78</v>
      </c>
      <c r="K264" s="78" t="n">
        <v>12.1</v>
      </c>
      <c r="L264" s="18" t="n">
        <v>0</v>
      </c>
      <c r="M264" s="19" t="n">
        <v>6.6</v>
      </c>
      <c r="N264" s="89" t="inlineStr">
        <is>
          <t>📉 Weak</t>
        </is>
      </c>
      <c r="O264" s="89" t="inlineStr">
        <is>
          <t>🔴 Not Qualified</t>
        </is>
      </c>
      <c r="P264" s="89" t="inlineStr">
        <is>
          <t>🔴 Avoid</t>
        </is>
      </c>
      <c r="Q264" s="68" t="inlineStr">
        <is>
          <t>FULL</t>
        </is>
      </c>
    </row>
    <row r="265" ht="16" customHeight="1">
      <c r="A265" s="90" t="n">
        <v>261</v>
      </c>
      <c r="B265" s="91" t="inlineStr">
        <is>
          <t>QUANTUM ESG BEST IN CLASS STRATEGY FUND - REGULAR PLAN - GROWTH OPTION</t>
        </is>
      </c>
      <c r="C265" s="91" t="inlineStr">
        <is>
          <t>Quantum Mutual Fund</t>
        </is>
      </c>
      <c r="D265" s="91" t="inlineStr">
        <is>
          <t>Sectoral/ Thematic</t>
        </is>
      </c>
      <c r="E265" s="92" t="n">
        <v>-5.18</v>
      </c>
      <c r="F265" s="92" t="n">
        <v>-0.74</v>
      </c>
      <c r="G265" s="92" t="n">
        <v>-10.6</v>
      </c>
      <c r="H265" s="92" t="n">
        <v>-10.72</v>
      </c>
      <c r="I265" s="92" t="n">
        <v>-2.045929130025437</v>
      </c>
      <c r="J265" s="93" t="n">
        <v>23.67</v>
      </c>
      <c r="K265" s="78" t="n">
        <v>11.2</v>
      </c>
      <c r="L265" s="18" t="n">
        <v>0</v>
      </c>
      <c r="M265" s="19" t="n">
        <v>6.1</v>
      </c>
      <c r="N265" s="94" t="inlineStr">
        <is>
          <t>📉 Weak</t>
        </is>
      </c>
      <c r="O265" s="94" t="inlineStr">
        <is>
          <t>🔴 Not Qualified</t>
        </is>
      </c>
      <c r="P265" s="94" t="inlineStr">
        <is>
          <t>🔴 Avoid</t>
        </is>
      </c>
      <c r="Q265" s="68" t="inlineStr">
        <is>
          <t>FULL</t>
        </is>
      </c>
    </row>
    <row r="266" ht="16" customHeight="1">
      <c r="A266" s="85" t="n">
        <v>262</v>
      </c>
      <c r="B266" s="86" t="inlineStr">
        <is>
          <t>360 ONE QUANT FUND REGULAR INCOME DISTRIBUTION CUM CAPITAL WITHDRAWAL</t>
        </is>
      </c>
      <c r="C266" s="86" t="inlineStr">
        <is>
          <t>360 ONE Mutual Fund</t>
        </is>
      </c>
      <c r="D266" s="86" t="inlineStr">
        <is>
          <t>Sectoral/ Thematic</t>
        </is>
      </c>
      <c r="E266" s="87" t="n">
        <v>-5.21</v>
      </c>
      <c r="F266" s="87" t="n">
        <v>-3</v>
      </c>
      <c r="G266" s="87" t="n">
        <v>-9.75</v>
      </c>
      <c r="H266" s="87" t="n">
        <v>-9.75</v>
      </c>
      <c r="I266" s="87" t="n">
        <v>-0.767948726230594</v>
      </c>
      <c r="J266" s="88" t="n">
        <v>57.75</v>
      </c>
      <c r="K266" s="78" t="n">
        <v>10.3</v>
      </c>
      <c r="L266" s="18" t="n">
        <v>0</v>
      </c>
      <c r="M266" s="19" t="n">
        <v>5.7</v>
      </c>
      <c r="N266" s="89" t="inlineStr">
        <is>
          <t>📉 Weak</t>
        </is>
      </c>
      <c r="O266" s="89" t="inlineStr">
        <is>
          <t>🔴 Not Qualified</t>
        </is>
      </c>
      <c r="P266" s="89" t="inlineStr">
        <is>
          <t>🔴 Avoid</t>
        </is>
      </c>
      <c r="Q266" s="68" t="inlineStr">
        <is>
          <t>FULL</t>
        </is>
      </c>
    </row>
    <row r="267" ht="16" customHeight="1">
      <c r="A267" s="90" t="n">
        <v>262</v>
      </c>
      <c r="B267" s="91" t="inlineStr">
        <is>
          <t>360 ONE QUANT FUND REGULAR GROWTH</t>
        </is>
      </c>
      <c r="C267" s="91" t="inlineStr">
        <is>
          <t>360 ONE Mutual Fund</t>
        </is>
      </c>
      <c r="D267" s="91" t="inlineStr">
        <is>
          <t>Sectoral/ Thematic</t>
        </is>
      </c>
      <c r="E267" s="92" t="n">
        <v>-5.21</v>
      </c>
      <c r="F267" s="92" t="n">
        <v>-3</v>
      </c>
      <c r="G267" s="92" t="n">
        <v>-9.75</v>
      </c>
      <c r="H267" s="92" t="n">
        <v>-9.75</v>
      </c>
      <c r="I267" s="92" t="n">
        <v>-0.767948726230594</v>
      </c>
      <c r="J267" s="93" t="n">
        <v>57.75</v>
      </c>
      <c r="K267" s="78" t="n">
        <v>10.3</v>
      </c>
      <c r="L267" s="18" t="n">
        <v>0</v>
      </c>
      <c r="M267" s="19" t="n">
        <v>5.7</v>
      </c>
      <c r="N267" s="94" t="inlineStr">
        <is>
          <t>📉 Weak</t>
        </is>
      </c>
      <c r="O267" s="94" t="inlineStr">
        <is>
          <t>🔴 Not Qualified</t>
        </is>
      </c>
      <c r="P267" s="94" t="inlineStr">
        <is>
          <t>🔴 Avoid</t>
        </is>
      </c>
      <c r="Q267" s="68" t="inlineStr">
        <is>
          <t>FULL</t>
        </is>
      </c>
    </row>
    <row r="268" ht="16" customHeight="1">
      <c r="A268" s="95" t="n">
        <v>264</v>
      </c>
      <c r="B268" s="96" t="inlineStr">
        <is>
          <t>HDFC Technology Fund - Growth Option</t>
        </is>
      </c>
      <c r="C268" s="96" t="inlineStr">
        <is>
          <t>HDFC Mutual Fund</t>
        </is>
      </c>
      <c r="D268" s="96" t="inlineStr">
        <is>
          <t>Sectoral/ Thematic</t>
        </is>
      </c>
      <c r="E268" s="97" t="n">
        <v>-3.78</v>
      </c>
      <c r="F268" s="97" t="n">
        <v>-3.37</v>
      </c>
      <c r="G268" s="97" t="n">
        <v>-24.15</v>
      </c>
      <c r="H268" s="97" t="n">
        <v>-23.76</v>
      </c>
      <c r="I268" s="97" t="n">
        <v>-4.842236259987698</v>
      </c>
      <c r="J268" s="98" t="n">
        <v>0</v>
      </c>
      <c r="K268" s="78" t="n">
        <v>8</v>
      </c>
      <c r="L268" s="18" t="n">
        <v>0</v>
      </c>
      <c r="M268" s="19" t="n">
        <v>4.4</v>
      </c>
      <c r="N268" s="99" t="inlineStr">
        <is>
          <t>📉 Weak</t>
        </is>
      </c>
      <c r="O268" s="99" t="inlineStr">
        <is>
          <t>⏳ New Fund</t>
        </is>
      </c>
      <c r="P268" s="99" t="inlineStr">
        <is>
          <t>⏳ New Fund</t>
        </is>
      </c>
      <c r="Q268" s="100" t="inlineStr">
        <is>
          <t>MOMENTUM_ONLY</t>
        </is>
      </c>
    </row>
    <row r="269" ht="16" customHeight="1">
      <c r="A269" s="90" t="n">
        <v>265</v>
      </c>
      <c r="B269" s="91" t="inlineStr">
        <is>
          <t>TATA Digital India Fund Regular Plan - Payout of Income Distribution cum capital withdrawal option</t>
        </is>
      </c>
      <c r="C269" s="91" t="inlineStr">
        <is>
          <t>Tata Mutual Fund</t>
        </is>
      </c>
      <c r="D269" s="91" t="inlineStr">
        <is>
          <t>Sectoral/ Thematic</t>
        </is>
      </c>
      <c r="E269" s="92" t="n">
        <v>-3.37</v>
      </c>
      <c r="F269" s="92" t="n">
        <v>-5.51</v>
      </c>
      <c r="G269" s="92" t="n">
        <v>-26</v>
      </c>
      <c r="H269" s="92" t="n">
        <v>-24.9</v>
      </c>
      <c r="I269" s="92" t="n">
        <v>-8.010870207398968</v>
      </c>
      <c r="J269" s="93" t="n">
        <v>13.14</v>
      </c>
      <c r="K269" s="78" t="n">
        <v>4.6</v>
      </c>
      <c r="L269" s="18" t="n">
        <v>0</v>
      </c>
      <c r="M269" s="19" t="n">
        <v>2.5</v>
      </c>
      <c r="N269" s="94" t="inlineStr">
        <is>
          <t>📉 Weak</t>
        </is>
      </c>
      <c r="O269" s="94" t="inlineStr">
        <is>
          <t>🔴 Not Qualified</t>
        </is>
      </c>
      <c r="P269" s="94" t="inlineStr">
        <is>
          <t>🔴 Avoid</t>
        </is>
      </c>
      <c r="Q269" s="68" t="inlineStr">
        <is>
          <t>FULL</t>
        </is>
      </c>
    </row>
    <row r="270" ht="16" customHeight="1">
      <c r="A270" s="85" t="n">
        <v>265</v>
      </c>
      <c r="B270" s="86" t="inlineStr">
        <is>
          <t>TATA Digital India Fund Regular Plan - Reinvestment of Income Distribution cum capital withdrawal option</t>
        </is>
      </c>
      <c r="C270" s="86" t="inlineStr">
        <is>
          <t>Tata Mutual Fund</t>
        </is>
      </c>
      <c r="D270" s="86" t="inlineStr">
        <is>
          <t>Sectoral/ Thematic</t>
        </is>
      </c>
      <c r="E270" s="87" t="n">
        <v>-3.37</v>
      </c>
      <c r="F270" s="87" t="n">
        <v>-5.51</v>
      </c>
      <c r="G270" s="87" t="n">
        <v>-26</v>
      </c>
      <c r="H270" s="87" t="n">
        <v>-24.9</v>
      </c>
      <c r="I270" s="87" t="n">
        <v>-8.010870207398968</v>
      </c>
      <c r="J270" s="88" t="n">
        <v>13.14</v>
      </c>
      <c r="K270" s="78" t="n">
        <v>4.6</v>
      </c>
      <c r="L270" s="18" t="n">
        <v>0</v>
      </c>
      <c r="M270" s="19" t="n">
        <v>2.5</v>
      </c>
      <c r="N270" s="89" t="inlineStr">
        <is>
          <t>📉 Weak</t>
        </is>
      </c>
      <c r="O270" s="89" t="inlineStr">
        <is>
          <t>🔴 Not Qualified</t>
        </is>
      </c>
      <c r="P270" s="89" t="inlineStr">
        <is>
          <t>🔴 Avoid</t>
        </is>
      </c>
      <c r="Q270" s="68" t="inlineStr">
        <is>
          <t>FULL</t>
        </is>
      </c>
    </row>
    <row r="271" ht="16" customHeight="1">
      <c r="A271" s="80" t="n">
        <v>0</v>
      </c>
      <c r="B271" s="81" t="inlineStr">
        <is>
          <t>LIC MF Technology Fund-Regular Plan-Growth</t>
        </is>
      </c>
      <c r="C271" s="81" t="inlineStr">
        <is>
          <t>LIC Mutual Fund</t>
        </is>
      </c>
      <c r="D271" s="81" t="inlineStr">
        <is>
          <t>Sectoral/ Thematic</t>
        </is>
      </c>
      <c r="E271" s="101" t="n">
        <v>-1.6</v>
      </c>
      <c r="F271" s="82" t="n">
        <v>0</v>
      </c>
      <c r="G271" s="82" t="n">
        <v>0</v>
      </c>
      <c r="H271" s="82" t="n">
        <v>0</v>
      </c>
      <c r="I271" s="82" t="n">
        <v>0</v>
      </c>
      <c r="J271" s="82" t="n">
        <v>0</v>
      </c>
      <c r="K271" s="78" t="n">
        <v>0</v>
      </c>
      <c r="L271" s="18" t="n">
        <v>0</v>
      </c>
      <c r="M271" s="19" t="n">
        <v>0</v>
      </c>
      <c r="N271" s="83" t="inlineStr">
        <is>
          <t>❌ N/A</t>
        </is>
      </c>
      <c r="O271" s="83" t="inlineStr">
        <is>
          <t>❌ N/A</t>
        </is>
      </c>
      <c r="P271" s="83" t="inlineStr">
        <is>
          <t>❌ Missing Data</t>
        </is>
      </c>
      <c r="Q271" s="84" t="inlineStr">
        <is>
          <t>MISSING</t>
        </is>
      </c>
    </row>
    <row r="272" ht="16" customHeight="1">
      <c r="A272" s="80" t="n">
        <v>0</v>
      </c>
      <c r="B272" s="81" t="inlineStr">
        <is>
          <t>Edelweiss Financial Services Fund - Regular Plan - Growth Option</t>
        </is>
      </c>
      <c r="C272" s="81" t="inlineStr">
        <is>
          <t>Edelweiss Mutual Fund</t>
        </is>
      </c>
      <c r="D272" s="81" t="inlineStr">
        <is>
          <t>Sectoral/ Thematic</t>
        </is>
      </c>
      <c r="E272" s="101" t="n">
        <v>-2.57</v>
      </c>
      <c r="F272" s="101" t="n">
        <v>-1.1</v>
      </c>
      <c r="G272" s="82" t="n">
        <v>0</v>
      </c>
      <c r="H272" s="82" t="n">
        <v>0</v>
      </c>
      <c r="I272" s="82" t="n">
        <v>0</v>
      </c>
      <c r="J272" s="82" t="n">
        <v>0</v>
      </c>
      <c r="K272" s="78" t="n">
        <v>0</v>
      </c>
      <c r="L272" s="18" t="n">
        <v>0</v>
      </c>
      <c r="M272" s="19" t="n">
        <v>0</v>
      </c>
      <c r="N272" s="83" t="inlineStr">
        <is>
          <t>❌ N/A</t>
        </is>
      </c>
      <c r="O272" s="83" t="inlineStr">
        <is>
          <t>❌ N/A</t>
        </is>
      </c>
      <c r="P272" s="83" t="inlineStr">
        <is>
          <t>❌ Missing Data</t>
        </is>
      </c>
      <c r="Q272" s="84" t="inlineStr">
        <is>
          <t>MISSING</t>
        </is>
      </c>
    </row>
    <row r="273" ht="16" customHeight="1">
      <c r="A273" s="80" t="n">
        <v>0</v>
      </c>
      <c r="B273" s="81" t="inlineStr">
        <is>
          <t>Canara Robeco Banking and Financials Services Fund - Regular Plan - Growth</t>
        </is>
      </c>
      <c r="C273" s="81" t="inlineStr">
        <is>
          <t>Canara Robeco Mutual Fund</t>
        </is>
      </c>
      <c r="D273" s="81" t="inlineStr">
        <is>
          <t>Sectoral/ Thematic</t>
        </is>
      </c>
      <c r="E273" s="101" t="n">
        <v>-2.68</v>
      </c>
      <c r="F273" s="82" t="n">
        <v>0</v>
      </c>
      <c r="G273" s="82" t="n">
        <v>0</v>
      </c>
      <c r="H273" s="82" t="n">
        <v>0</v>
      </c>
      <c r="I273" s="82" t="n">
        <v>0</v>
      </c>
      <c r="J273" s="82" t="n">
        <v>0</v>
      </c>
      <c r="K273" s="78" t="n">
        <v>0</v>
      </c>
      <c r="L273" s="18" t="n">
        <v>0</v>
      </c>
      <c r="M273" s="19" t="n">
        <v>0</v>
      </c>
      <c r="N273" s="83" t="inlineStr">
        <is>
          <t>❌ N/A</t>
        </is>
      </c>
      <c r="O273" s="83" t="inlineStr">
        <is>
          <t>❌ N/A</t>
        </is>
      </c>
      <c r="P273" s="83" t="inlineStr">
        <is>
          <t>❌ Missing Data</t>
        </is>
      </c>
      <c r="Q273" s="84" t="inlineStr">
        <is>
          <t>MISSING</t>
        </is>
      </c>
    </row>
    <row r="274" ht="16" customHeight="1">
      <c r="A274" s="80" t="n">
        <v>0</v>
      </c>
      <c r="B274" s="81" t="inlineStr">
        <is>
          <t>Mahindra Manulife Innovation Opportunities Fund - Regular - Growth</t>
        </is>
      </c>
      <c r="C274" s="81" t="inlineStr">
        <is>
          <t>Mahindra Manulife Mutual Fund</t>
        </is>
      </c>
      <c r="D274" s="81" t="inlineStr">
        <is>
          <t>Sectoral/ Thematic</t>
        </is>
      </c>
      <c r="E274" s="101" t="n">
        <v>-1.09</v>
      </c>
      <c r="F274" s="82" t="n">
        <v>7.13</v>
      </c>
      <c r="G274" s="82" t="n">
        <v>0</v>
      </c>
      <c r="H274" s="82" t="n">
        <v>0</v>
      </c>
      <c r="I274" s="82" t="n">
        <v>0</v>
      </c>
      <c r="J274" s="82" t="n">
        <v>0</v>
      </c>
      <c r="K274" s="78" t="n">
        <v>0</v>
      </c>
      <c r="L274" s="18" t="n">
        <v>0</v>
      </c>
      <c r="M274" s="19" t="n">
        <v>0</v>
      </c>
      <c r="N274" s="83" t="inlineStr">
        <is>
          <t>❌ N/A</t>
        </is>
      </c>
      <c r="O274" s="83" t="inlineStr">
        <is>
          <t>❌ N/A</t>
        </is>
      </c>
      <c r="P274" s="83" t="inlineStr">
        <is>
          <t>❌ Missing Data</t>
        </is>
      </c>
      <c r="Q274" s="84" t="inlineStr">
        <is>
          <t>MISSING</t>
        </is>
      </c>
    </row>
    <row r="275" ht="16" customHeight="1">
      <c r="A275" s="80" t="n">
        <v>0</v>
      </c>
      <c r="B275" s="81" t="inlineStr">
        <is>
          <t>SBI Quality Fund - Regular Plan - Growth</t>
        </is>
      </c>
      <c r="C275" s="81" t="inlineStr">
        <is>
          <t>SBI Mutual Fund</t>
        </is>
      </c>
      <c r="D275" s="81" t="inlineStr">
        <is>
          <t>Sectoral/ Thematic</t>
        </is>
      </c>
      <c r="E275" s="101" t="n">
        <v>-1.4</v>
      </c>
      <c r="F275" s="82" t="n">
        <v>3.87</v>
      </c>
      <c r="G275" s="82" t="n">
        <v>0</v>
      </c>
      <c r="H275" s="82" t="n">
        <v>0</v>
      </c>
      <c r="I275" s="82" t="n">
        <v>0</v>
      </c>
      <c r="J275" s="82" t="n">
        <v>0</v>
      </c>
      <c r="K275" s="78" t="n">
        <v>0</v>
      </c>
      <c r="L275" s="18" t="n">
        <v>0</v>
      </c>
      <c r="M275" s="19" t="n">
        <v>0</v>
      </c>
      <c r="N275" s="83" t="inlineStr">
        <is>
          <t>❌ N/A</t>
        </is>
      </c>
      <c r="O275" s="83" t="inlineStr">
        <is>
          <t>❌ N/A</t>
        </is>
      </c>
      <c r="P275" s="83" t="inlineStr">
        <is>
          <t>❌ Missing Data</t>
        </is>
      </c>
      <c r="Q275" s="84" t="inlineStr">
        <is>
          <t>MISSING</t>
        </is>
      </c>
    </row>
    <row r="276" ht="16" customHeight="1">
      <c r="A276" s="80" t="n">
        <v>0</v>
      </c>
      <c r="B276" s="81" t="inlineStr">
        <is>
          <t>Motilal Oswal Financial Services Fund- Regular-Growth</t>
        </is>
      </c>
      <c r="C276" s="81" t="inlineStr">
        <is>
          <t>Motilal Oswal Mutual Fund</t>
        </is>
      </c>
      <c r="D276" s="81" t="inlineStr">
        <is>
          <t>Sectoral/ Thematic</t>
        </is>
      </c>
      <c r="E276" s="101" t="n">
        <v>-2.5</v>
      </c>
      <c r="F276" s="82" t="n">
        <v>2.05</v>
      </c>
      <c r="G276" s="82" t="n">
        <v>0</v>
      </c>
      <c r="H276" s="82" t="n">
        <v>0</v>
      </c>
      <c r="I276" s="82" t="n">
        <v>0</v>
      </c>
      <c r="J276" s="82" t="n">
        <v>0</v>
      </c>
      <c r="K276" s="78" t="n">
        <v>0</v>
      </c>
      <c r="L276" s="18" t="n">
        <v>0</v>
      </c>
      <c r="M276" s="19" t="n">
        <v>0</v>
      </c>
      <c r="N276" s="83" t="inlineStr">
        <is>
          <t>❌ N/A</t>
        </is>
      </c>
      <c r="O276" s="83" t="inlineStr">
        <is>
          <t>❌ N/A</t>
        </is>
      </c>
      <c r="P276" s="83" t="inlineStr">
        <is>
          <t>❌ Missing Data</t>
        </is>
      </c>
      <c r="Q276" s="84" t="inlineStr">
        <is>
          <t>MISSING</t>
        </is>
      </c>
    </row>
    <row r="277" ht="16" customHeight="1">
      <c r="A277" s="80" t="n">
        <v>0</v>
      </c>
      <c r="B277" s="81" t="inlineStr">
        <is>
          <t>Union Consumption Fund - Regular Plan - Growth Option</t>
        </is>
      </c>
      <c r="C277" s="81" t="inlineStr">
        <is>
          <t>Union Mutual Fund</t>
        </is>
      </c>
      <c r="D277" s="81" t="inlineStr">
        <is>
          <t>Sectoral/ Thematic</t>
        </is>
      </c>
      <c r="E277" s="101" t="n">
        <v>-2.93</v>
      </c>
      <c r="F277" s="82" t="n">
        <v>3.35</v>
      </c>
      <c r="G277" s="82" t="n">
        <v>0</v>
      </c>
      <c r="H277" s="82" t="n">
        <v>0</v>
      </c>
      <c r="I277" s="82" t="n">
        <v>0</v>
      </c>
      <c r="J277" s="82" t="n">
        <v>0</v>
      </c>
      <c r="K277" s="78" t="n">
        <v>0</v>
      </c>
      <c r="L277" s="18" t="n">
        <v>0</v>
      </c>
      <c r="M277" s="19" t="n">
        <v>0</v>
      </c>
      <c r="N277" s="83" t="inlineStr">
        <is>
          <t>❌ N/A</t>
        </is>
      </c>
      <c r="O277" s="83" t="inlineStr">
        <is>
          <t>❌ N/A</t>
        </is>
      </c>
      <c r="P277" s="83" t="inlineStr">
        <is>
          <t>❌ Missing Data</t>
        </is>
      </c>
      <c r="Q277" s="84" t="inlineStr">
        <is>
          <t>MISSING</t>
        </is>
      </c>
    </row>
    <row r="278" ht="16" customHeight="1">
      <c r="A278" s="80" t="n">
        <v>0</v>
      </c>
      <c r="B278" s="81" t="inlineStr">
        <is>
          <t>Baroda BNP Paribas Best-in-Class Strategy Fund - Regular - Growth Option</t>
        </is>
      </c>
      <c r="C278" s="81" t="inlineStr">
        <is>
          <t>Baroda BNP Paribas Mutual Fund</t>
        </is>
      </c>
      <c r="D278" s="81" t="inlineStr">
        <is>
          <t>Sectoral/ Thematic</t>
        </is>
      </c>
      <c r="E278" s="101" t="n">
        <v>-2.51</v>
      </c>
      <c r="F278" s="101" t="n">
        <v>-0.24</v>
      </c>
      <c r="G278" s="82" t="n">
        <v>0</v>
      </c>
      <c r="H278" s="82" t="n">
        <v>0</v>
      </c>
      <c r="I278" s="82" t="n">
        <v>0</v>
      </c>
      <c r="J278" s="82" t="n">
        <v>0</v>
      </c>
      <c r="K278" s="78" t="n">
        <v>0</v>
      </c>
      <c r="L278" s="18" t="n">
        <v>0</v>
      </c>
      <c r="M278" s="19" t="n">
        <v>0</v>
      </c>
      <c r="N278" s="83" t="inlineStr">
        <is>
          <t>❌ N/A</t>
        </is>
      </c>
      <c r="O278" s="83" t="inlineStr">
        <is>
          <t>❌ N/A</t>
        </is>
      </c>
      <c r="P278" s="83" t="inlineStr">
        <is>
          <t>❌ Missing Data</t>
        </is>
      </c>
      <c r="Q278" s="84" t="inlineStr">
        <is>
          <t>MISSING</t>
        </is>
      </c>
    </row>
    <row r="279" ht="16" customHeight="1">
      <c r="A279" s="80" t="n">
        <v>0</v>
      </c>
      <c r="B279" s="81" t="inlineStr">
        <is>
          <t>Bank of India Banking &amp; Financial Services Fund - Regular Plan - Growth</t>
        </is>
      </c>
      <c r="C279" s="81" t="inlineStr">
        <is>
          <t>Bank of India Mutual Fund</t>
        </is>
      </c>
      <c r="D279" s="81" t="inlineStr">
        <is>
          <t>Sectoral/ Thematic</t>
        </is>
      </c>
      <c r="E279" s="101" t="n">
        <v>-2.7</v>
      </c>
      <c r="F279" s="101" t="n">
        <v>-1.26</v>
      </c>
      <c r="G279" s="82" t="n">
        <v>0</v>
      </c>
      <c r="H279" s="82" t="n">
        <v>0</v>
      </c>
      <c r="I279" s="82" t="n">
        <v>0</v>
      </c>
      <c r="J279" s="82" t="n">
        <v>0</v>
      </c>
      <c r="K279" s="78" t="n">
        <v>0</v>
      </c>
      <c r="L279" s="18" t="n">
        <v>0</v>
      </c>
      <c r="M279" s="19" t="n">
        <v>0</v>
      </c>
      <c r="N279" s="83" t="inlineStr">
        <is>
          <t>❌ N/A</t>
        </is>
      </c>
      <c r="O279" s="83" t="inlineStr">
        <is>
          <t>❌ N/A</t>
        </is>
      </c>
      <c r="P279" s="83" t="inlineStr">
        <is>
          <t>❌ Missing Data</t>
        </is>
      </c>
      <c r="Q279" s="84" t="inlineStr">
        <is>
          <t>MISSING</t>
        </is>
      </c>
    </row>
    <row r="280" ht="16" customHeight="1">
      <c r="A280" s="80" t="n">
        <v>0</v>
      </c>
      <c r="B280" s="81" t="inlineStr">
        <is>
          <t>Kotak Services Fund - Regular - Growth</t>
        </is>
      </c>
      <c r="C280" s="81" t="inlineStr">
        <is>
          <t>Kotak Mahindra Mutual Fund</t>
        </is>
      </c>
      <c r="D280" s="81" t="inlineStr">
        <is>
          <t>Sectoral/ Thematic</t>
        </is>
      </c>
      <c r="E280" s="101" t="n">
        <v>-1.25</v>
      </c>
      <c r="F280" s="101" t="n">
        <v>-0.76</v>
      </c>
      <c r="G280" s="82" t="n">
        <v>0</v>
      </c>
      <c r="H280" s="82" t="n">
        <v>0</v>
      </c>
      <c r="I280" s="82" t="n">
        <v>0</v>
      </c>
      <c r="J280" s="82" t="n">
        <v>0</v>
      </c>
      <c r="K280" s="78" t="n">
        <v>0</v>
      </c>
      <c r="L280" s="18" t="n">
        <v>0</v>
      </c>
      <c r="M280" s="19" t="n">
        <v>0</v>
      </c>
      <c r="N280" s="83" t="inlineStr">
        <is>
          <t>❌ N/A</t>
        </is>
      </c>
      <c r="O280" s="83" t="inlineStr">
        <is>
          <t>❌ N/A</t>
        </is>
      </c>
      <c r="P280" s="83" t="inlineStr">
        <is>
          <t>❌ Missing Data</t>
        </is>
      </c>
      <c r="Q280" s="84" t="inlineStr">
        <is>
          <t>MISSING</t>
        </is>
      </c>
    </row>
    <row r="281" ht="16" customHeight="1">
      <c r="A281" s="80" t="n">
        <v>0</v>
      </c>
      <c r="B281" s="81" t="inlineStr">
        <is>
          <t>ITI Business Cycle Fund- Regular Plan- Growth</t>
        </is>
      </c>
      <c r="C281" s="81" t="inlineStr">
        <is>
          <t>ITI Mutual Fund</t>
        </is>
      </c>
      <c r="D281" s="81" t="inlineStr">
        <is>
          <t>Sectoral/ Thematic</t>
        </is>
      </c>
      <c r="E281" s="101" t="n">
        <v>-3.12</v>
      </c>
      <c r="F281" s="82" t="n">
        <v>0.88</v>
      </c>
      <c r="G281" s="82" t="n">
        <v>0</v>
      </c>
      <c r="H281" s="82" t="n">
        <v>0</v>
      </c>
      <c r="I281" s="82" t="n">
        <v>0</v>
      </c>
      <c r="J281" s="82" t="n">
        <v>0</v>
      </c>
      <c r="K281" s="78" t="n">
        <v>0</v>
      </c>
      <c r="L281" s="18" t="n">
        <v>0</v>
      </c>
      <c r="M281" s="19" t="n">
        <v>0</v>
      </c>
      <c r="N281" s="83" t="inlineStr">
        <is>
          <t>❌ N/A</t>
        </is>
      </c>
      <c r="O281" s="83" t="inlineStr">
        <is>
          <t>❌ N/A</t>
        </is>
      </c>
      <c r="P281" s="83" t="inlineStr">
        <is>
          <t>❌ Missing Data</t>
        </is>
      </c>
      <c r="Q281" s="84" t="inlineStr">
        <is>
          <t>MISSING</t>
        </is>
      </c>
    </row>
    <row r="282" ht="16" customHeight="1">
      <c r="A282" s="80" t="n">
        <v>0</v>
      </c>
      <c r="B282" s="81" t="inlineStr">
        <is>
          <t>WhiteOak Capital Consumption Opportunities Fund Regular Plan Growth</t>
        </is>
      </c>
      <c r="C282" s="81" t="inlineStr">
        <is>
          <t>WhiteOak Capital Mutual Fund</t>
        </is>
      </c>
      <c r="D282" s="81" t="inlineStr">
        <is>
          <t>Sectoral/ Thematic</t>
        </is>
      </c>
      <c r="E282" s="101" t="n">
        <v>-2.06</v>
      </c>
      <c r="F282" s="82" t="n">
        <v>6.31</v>
      </c>
      <c r="G282" s="82" t="n">
        <v>0</v>
      </c>
      <c r="H282" s="82" t="n">
        <v>0</v>
      </c>
      <c r="I282" s="82" t="n">
        <v>0</v>
      </c>
      <c r="J282" s="82" t="n">
        <v>0</v>
      </c>
      <c r="K282" s="78" t="n">
        <v>0</v>
      </c>
      <c r="L282" s="18" t="n">
        <v>0</v>
      </c>
      <c r="M282" s="19" t="n">
        <v>0</v>
      </c>
      <c r="N282" s="83" t="inlineStr">
        <is>
          <t>❌ N/A</t>
        </is>
      </c>
      <c r="O282" s="83" t="inlineStr">
        <is>
          <t>❌ N/A</t>
        </is>
      </c>
      <c r="P282" s="83" t="inlineStr">
        <is>
          <t>❌ Missing Data</t>
        </is>
      </c>
      <c r="Q282" s="84" t="inlineStr">
        <is>
          <t>MISSING</t>
        </is>
      </c>
    </row>
    <row r="283" ht="16" customHeight="1">
      <c r="A283" s="80" t="n">
        <v>0</v>
      </c>
      <c r="B283" s="81" t="inlineStr">
        <is>
          <t>SBI Quality Fund - Regular Plan - Income Distribution Cum Capital Withdrawal</t>
        </is>
      </c>
      <c r="C283" s="81" t="inlineStr">
        <is>
          <t>SBI Mutual Fund</t>
        </is>
      </c>
      <c r="D283" s="81" t="inlineStr">
        <is>
          <t>Sectoral/ Thematic</t>
        </is>
      </c>
      <c r="E283" s="101" t="n">
        <v>-1.4</v>
      </c>
      <c r="F283" s="82" t="n">
        <v>3.87</v>
      </c>
      <c r="G283" s="82" t="n">
        <v>0</v>
      </c>
      <c r="H283" s="82" t="n">
        <v>0</v>
      </c>
      <c r="I283" s="82" t="n">
        <v>0</v>
      </c>
      <c r="J283" s="82" t="n">
        <v>0</v>
      </c>
      <c r="K283" s="78" t="n">
        <v>0</v>
      </c>
      <c r="L283" s="18" t="n">
        <v>0</v>
      </c>
      <c r="M283" s="19" t="n">
        <v>0</v>
      </c>
      <c r="N283" s="83" t="inlineStr">
        <is>
          <t>❌ N/A</t>
        </is>
      </c>
      <c r="O283" s="83" t="inlineStr">
        <is>
          <t>❌ N/A</t>
        </is>
      </c>
      <c r="P283" s="83" t="inlineStr">
        <is>
          <t>❌ Missing Data</t>
        </is>
      </c>
      <c r="Q283" s="84" t="inlineStr">
        <is>
          <t>MISSING</t>
        </is>
      </c>
    </row>
  </sheetData>
  <autoFilter ref="A4:Q28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SMALL CAP FUND  ✦</t>
        </is>
      </c>
    </row>
    <row r="2" ht="16" customHeight="1">
      <c r="A2" s="2">
        <f>"Dual Engine: 55% Momentum + 45% Quality | ✅ Full: "&amp;COUNTIF(Q5:Q44,"FULL")&amp;" | ⚠️ Momentum: "&amp;COUNTIF(Q5:Q44,"MOMENTUM_ONLY")&amp;" | ❌ Missing: "&amp;COUNTIF(Q5:Q44,"MISSING")&amp;" | Total: "&amp;COUNTA(B5:B44)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5" t="n">
        <v>1</v>
      </c>
      <c r="B5" s="96" t="inlineStr">
        <is>
          <t>TRUSTMF SMALL CAP FUND -REGULAR PLAN-GROWTH</t>
        </is>
      </c>
      <c r="C5" s="96" t="inlineStr">
        <is>
          <t>Trust Mutual Fund</t>
        </is>
      </c>
      <c r="D5" s="96" t="inlineStr">
        <is>
          <t>Small Cap Fund</t>
        </is>
      </c>
      <c r="E5" s="98" t="n">
        <v>1.44</v>
      </c>
      <c r="F5" s="98" t="n">
        <v>19.46</v>
      </c>
      <c r="G5" s="98" t="n">
        <v>13.46</v>
      </c>
      <c r="H5" s="98" t="n">
        <v>16.44</v>
      </c>
      <c r="I5" s="98" t="n">
        <v>0</v>
      </c>
      <c r="J5" s="98" t="n">
        <v>0</v>
      </c>
      <c r="K5" s="17" t="n">
        <v>100</v>
      </c>
      <c r="L5" s="18" t="n">
        <v>0</v>
      </c>
      <c r="M5" s="21" t="n">
        <v>55</v>
      </c>
      <c r="N5" s="99" t="inlineStr">
        <is>
          <t>🔥 Hot</t>
        </is>
      </c>
      <c r="O5" s="99" t="inlineStr">
        <is>
          <t>⏳ New Fund</t>
        </is>
      </c>
      <c r="P5" s="99" t="inlineStr">
        <is>
          <t>🔥 Hot Momentum</t>
        </is>
      </c>
      <c r="Q5" s="100" t="inlineStr">
        <is>
          <t>MOMENTUM_ONLY</t>
        </is>
      </c>
    </row>
    <row r="6" ht="16" customHeight="1">
      <c r="A6" s="69" t="n">
        <v>2</v>
      </c>
      <c r="B6" s="70" t="inlineStr">
        <is>
          <t>BANK OF INDIA Small Cap Fund Regular Plan Growth</t>
        </is>
      </c>
      <c r="C6" s="70" t="inlineStr">
        <is>
          <t>Bank of India Mutual Fund</t>
        </is>
      </c>
      <c r="D6" s="70" t="inlineStr">
        <is>
          <t>Small Cap Fund</t>
        </is>
      </c>
      <c r="E6" s="72" t="n">
        <v>0.54</v>
      </c>
      <c r="F6" s="72" t="n">
        <v>20.48</v>
      </c>
      <c r="G6" s="72" t="n">
        <v>13.71</v>
      </c>
      <c r="H6" s="72" t="n">
        <v>7.87</v>
      </c>
      <c r="I6" s="72" t="n">
        <v>7.731146842498626</v>
      </c>
      <c r="J6" s="72" t="n">
        <v>73.53</v>
      </c>
      <c r="K6" s="17" t="n">
        <v>99.7</v>
      </c>
      <c r="L6" s="18" t="n">
        <v>0</v>
      </c>
      <c r="M6" s="21" t="n">
        <v>54.8</v>
      </c>
      <c r="N6" s="28" t="inlineStr">
        <is>
          <t>🔥 Hot</t>
        </is>
      </c>
      <c r="O6" s="28" t="inlineStr">
        <is>
          <t>🔴 Not Qualified</t>
        </is>
      </c>
      <c r="P6" s="28" t="inlineStr">
        <is>
          <t>⚠️ Watch</t>
        </is>
      </c>
      <c r="Q6" s="68" t="inlineStr">
        <is>
          <t>FULL</t>
        </is>
      </c>
    </row>
    <row r="7" ht="16" customHeight="1">
      <c r="A7" s="95" t="n">
        <v>3</v>
      </c>
      <c r="B7" s="96" t="inlineStr">
        <is>
          <t>Motilal Oswal Small Cap Fund - Regular - Growth</t>
        </is>
      </c>
      <c r="C7" s="96" t="inlineStr">
        <is>
          <t>Motilal Oswal Mutual Fund</t>
        </is>
      </c>
      <c r="D7" s="96" t="inlineStr">
        <is>
          <t>Small Cap Fund</t>
        </is>
      </c>
      <c r="E7" s="97" t="n">
        <v>-1.24</v>
      </c>
      <c r="F7" s="98" t="n">
        <v>14.65</v>
      </c>
      <c r="G7" s="98" t="n">
        <v>5.72</v>
      </c>
      <c r="H7" s="98" t="n">
        <v>4.51</v>
      </c>
      <c r="I7" s="98" t="n">
        <v>12.25862995778988</v>
      </c>
      <c r="J7" s="98" t="n">
        <v>0</v>
      </c>
      <c r="K7" s="17" t="n">
        <v>88.59999999999999</v>
      </c>
      <c r="L7" s="18" t="n">
        <v>0</v>
      </c>
      <c r="M7" s="19" t="n">
        <v>48.7</v>
      </c>
      <c r="N7" s="99" t="inlineStr">
        <is>
          <t>⭐ Strong</t>
        </is>
      </c>
      <c r="O7" s="99" t="inlineStr">
        <is>
          <t>⏳ New Fund</t>
        </is>
      </c>
      <c r="P7" s="99" t="inlineStr">
        <is>
          <t>🔥 Hot Momentum</t>
        </is>
      </c>
      <c r="Q7" s="100" t="inlineStr">
        <is>
          <t>MOMENTUM_ONLY</t>
        </is>
      </c>
    </row>
    <row r="8" ht="16" customHeight="1">
      <c r="A8" s="85" t="n">
        <v>4</v>
      </c>
      <c r="B8" s="86" t="inlineStr">
        <is>
          <t>quant Small Cap Fund - Growth - Regular Plan</t>
        </is>
      </c>
      <c r="C8" s="86" t="inlineStr">
        <is>
          <t>quant Mutual Fund</t>
        </is>
      </c>
      <c r="D8" s="86" t="inlineStr">
        <is>
          <t>Small Cap Fund</t>
        </is>
      </c>
      <c r="E8" s="87" t="n">
        <v>-0.12</v>
      </c>
      <c r="F8" s="88" t="n">
        <v>14.65</v>
      </c>
      <c r="G8" s="88" t="n">
        <v>4.58</v>
      </c>
      <c r="H8" s="88" t="n">
        <v>3.02</v>
      </c>
      <c r="I8" s="88" t="n">
        <v>1.370607179793493</v>
      </c>
      <c r="J8" s="88" t="n">
        <v>68.53</v>
      </c>
      <c r="K8" s="17" t="n">
        <v>85.09999999999999</v>
      </c>
      <c r="L8" s="18" t="n">
        <v>0</v>
      </c>
      <c r="M8" s="19" t="n">
        <v>46.8</v>
      </c>
      <c r="N8" s="89" t="inlineStr">
        <is>
          <t>⭐ Strong</t>
        </is>
      </c>
      <c r="O8" s="89" t="inlineStr">
        <is>
          <t>🔴 Not Qualified</t>
        </is>
      </c>
      <c r="P8" s="89" t="inlineStr">
        <is>
          <t>⚠️ Watch</t>
        </is>
      </c>
      <c r="Q8" s="68" t="inlineStr">
        <is>
          <t>FULL</t>
        </is>
      </c>
    </row>
    <row r="9" ht="16" customHeight="1">
      <c r="A9" s="90" t="n">
        <v>5</v>
      </c>
      <c r="B9" s="91" t="inlineStr">
        <is>
          <t>ITI Small Cap Fund - Regular Plan - Growth Option</t>
        </is>
      </c>
      <c r="C9" s="91" t="inlineStr">
        <is>
          <t>ITI Mutual Fund</t>
        </is>
      </c>
      <c r="D9" s="91" t="inlineStr">
        <is>
          <t>Small Cap Fund</t>
        </is>
      </c>
      <c r="E9" s="92" t="n">
        <v>-1.5</v>
      </c>
      <c r="F9" s="93" t="n">
        <v>13.28</v>
      </c>
      <c r="G9" s="93" t="n">
        <v>7.32</v>
      </c>
      <c r="H9" s="93" t="n">
        <v>2.5</v>
      </c>
      <c r="I9" s="93" t="n">
        <v>6.051874099423626</v>
      </c>
      <c r="J9" s="93" t="n">
        <v>85.92</v>
      </c>
      <c r="K9" s="17" t="n">
        <v>84</v>
      </c>
      <c r="L9" s="18" t="n">
        <v>0</v>
      </c>
      <c r="M9" s="19" t="n">
        <v>46.2</v>
      </c>
      <c r="N9" s="94" t="inlineStr">
        <is>
          <t>⭐ Strong</t>
        </is>
      </c>
      <c r="O9" s="94" t="inlineStr">
        <is>
          <t>🔴 Not Qualified</t>
        </is>
      </c>
      <c r="P9" s="94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JM Small Cap Fund (Regular) - Growth Option</t>
        </is>
      </c>
      <c r="C10" s="96" t="inlineStr">
        <is>
          <t>JM Financial Mutual Fund</t>
        </is>
      </c>
      <c r="D10" s="96" t="inlineStr">
        <is>
          <t>Small Cap Fund</t>
        </is>
      </c>
      <c r="E10" s="97" t="n">
        <v>-0.58</v>
      </c>
      <c r="F10" s="98" t="n">
        <v>17.95</v>
      </c>
      <c r="G10" s="98" t="n">
        <v>5.59</v>
      </c>
      <c r="H10" s="98" t="n">
        <v>1.3</v>
      </c>
      <c r="I10" s="98" t="n">
        <v>0</v>
      </c>
      <c r="J10" s="98" t="n">
        <v>0</v>
      </c>
      <c r="K10" s="17" t="n">
        <v>83.09999999999999</v>
      </c>
      <c r="L10" s="18" t="n">
        <v>0</v>
      </c>
      <c r="M10" s="19" t="n">
        <v>45.7</v>
      </c>
      <c r="N10" s="99" t="inlineStr">
        <is>
          <t>⭐ Strong</t>
        </is>
      </c>
      <c r="O10" s="99" t="inlineStr">
        <is>
          <t>⏳ New Fund</t>
        </is>
      </c>
      <c r="P10" s="99" t="inlineStr">
        <is>
          <t>🔥 Hot Momentum</t>
        </is>
      </c>
      <c r="Q10" s="100" t="inlineStr">
        <is>
          <t>MOMENTUM_ONLY</t>
        </is>
      </c>
    </row>
    <row r="11" ht="16" customHeight="1">
      <c r="A11" s="90" t="n">
        <v>7</v>
      </c>
      <c r="B11" s="91" t="inlineStr">
        <is>
          <t>DSP Small Cap Fund - Regular - Growth</t>
        </is>
      </c>
      <c r="C11" s="91" t="inlineStr">
        <is>
          <t>DSP Mutual Fund</t>
        </is>
      </c>
      <c r="D11" s="91" t="inlineStr">
        <is>
          <t>Small Cap Fund</t>
        </is>
      </c>
      <c r="E11" s="92" t="n">
        <v>-0.74</v>
      </c>
      <c r="F11" s="93" t="n">
        <v>11.82</v>
      </c>
      <c r="G11" s="93" t="n">
        <v>5.6</v>
      </c>
      <c r="H11" s="93" t="n">
        <v>2.7</v>
      </c>
      <c r="I11" s="93" t="n">
        <v>8.475803753648226</v>
      </c>
      <c r="J11" s="93" t="n">
        <v>64.05</v>
      </c>
      <c r="K11" s="17" t="n">
        <v>82.2</v>
      </c>
      <c r="L11" s="18" t="n">
        <v>0</v>
      </c>
      <c r="M11" s="19" t="n">
        <v>45.2</v>
      </c>
      <c r="N11" s="94" t="inlineStr">
        <is>
          <t>⭐ Strong</t>
        </is>
      </c>
      <c r="O11" s="94" t="inlineStr">
        <is>
          <t>🔴 Not Qualified</t>
        </is>
      </c>
      <c r="P11" s="94" t="inlineStr">
        <is>
          <t>⚠️ Watch</t>
        </is>
      </c>
      <c r="Q11" s="68" t="inlineStr">
        <is>
          <t>FULL</t>
        </is>
      </c>
    </row>
    <row r="12" ht="16" customHeight="1">
      <c r="A12" s="95" t="n">
        <v>8</v>
      </c>
      <c r="B12" s="96" t="inlineStr">
        <is>
          <t>Helios Small Cap Fund - Regular Plan - Growth Option</t>
        </is>
      </c>
      <c r="C12" s="96" t="inlineStr">
        <is>
          <t>Helios Mutual Fund</t>
        </is>
      </c>
      <c r="D12" s="96" t="inlineStr">
        <is>
          <t>Small Cap Fund</t>
        </is>
      </c>
      <c r="E12" s="98" t="n">
        <v>0</v>
      </c>
      <c r="F12" s="98" t="n">
        <v>15.62</v>
      </c>
      <c r="G12" s="98" t="n">
        <v>3.26</v>
      </c>
      <c r="H12" s="98" t="n">
        <v>0</v>
      </c>
      <c r="I12" s="98" t="n">
        <v>0</v>
      </c>
      <c r="J12" s="98" t="n">
        <v>0</v>
      </c>
      <c r="K12" s="17" t="n">
        <v>76.09999999999999</v>
      </c>
      <c r="L12" s="18" t="n">
        <v>0</v>
      </c>
      <c r="M12" s="19" t="n">
        <v>41.9</v>
      </c>
      <c r="N12" s="99" t="inlineStr">
        <is>
          <t>⭐ Strong</t>
        </is>
      </c>
      <c r="O12" s="99" t="inlineStr">
        <is>
          <t>⏳ New Fund</t>
        </is>
      </c>
      <c r="P12" s="99" t="inlineStr">
        <is>
          <t>📈 Momentum Only</t>
        </is>
      </c>
      <c r="Q12" s="100" t="inlineStr">
        <is>
          <t>MOMENTUM_ONLY</t>
        </is>
      </c>
    </row>
    <row r="13" ht="16" customHeight="1">
      <c r="A13" s="95" t="n">
        <v>9</v>
      </c>
      <c r="B13" s="96" t="inlineStr">
        <is>
          <t>LIC MF Small Cap Fund-Regular Plan-Growth</t>
        </is>
      </c>
      <c r="C13" s="96" t="inlineStr">
        <is>
          <t>LIC Mutual Fund</t>
        </is>
      </c>
      <c r="D13" s="96" t="inlineStr">
        <is>
          <t>Small Cap Fund</t>
        </is>
      </c>
      <c r="E13" s="97" t="n">
        <v>-2.93</v>
      </c>
      <c r="F13" s="98" t="n">
        <v>13.16</v>
      </c>
      <c r="G13" s="98" t="n">
        <v>7.54</v>
      </c>
      <c r="H13" s="98" t="n">
        <v>2.4</v>
      </c>
      <c r="I13" s="98" t="n">
        <v>3.281169629318192</v>
      </c>
      <c r="J13" s="98" t="n">
        <v>0</v>
      </c>
      <c r="K13" s="73" t="n">
        <v>74.59999999999999</v>
      </c>
      <c r="L13" s="18" t="n">
        <v>0</v>
      </c>
      <c r="M13" s="19" t="n">
        <v>41</v>
      </c>
      <c r="N13" s="99" t="inlineStr">
        <is>
          <t>📈 Good</t>
        </is>
      </c>
      <c r="O13" s="99" t="inlineStr">
        <is>
          <t>⏳ New Fund</t>
        </is>
      </c>
      <c r="P13" s="99" t="inlineStr">
        <is>
          <t>📈 Momentum Only</t>
        </is>
      </c>
      <c r="Q13" s="100" t="inlineStr">
        <is>
          <t>MOMENTUM_ONLY</t>
        </is>
      </c>
    </row>
    <row r="14" ht="16" customHeight="1">
      <c r="A14" s="85" t="n">
        <v>10</v>
      </c>
      <c r="B14" s="86" t="inlineStr">
        <is>
          <t>Aditya Birla Sun Life Small Cap Fund - GROWTH</t>
        </is>
      </c>
      <c r="C14" s="86" t="inlineStr">
        <is>
          <t>Aditya Birla Sun Life Mutual Fund</t>
        </is>
      </c>
      <c r="D14" s="86" t="inlineStr">
        <is>
          <t>Small Cap Fund</t>
        </is>
      </c>
      <c r="E14" s="87" t="n">
        <v>-1.99</v>
      </c>
      <c r="F14" s="88" t="n">
        <v>11.48</v>
      </c>
      <c r="G14" s="88" t="n">
        <v>5.01</v>
      </c>
      <c r="H14" s="88" t="n">
        <v>3</v>
      </c>
      <c r="I14" s="88" t="n">
        <v>4.13932974625868</v>
      </c>
      <c r="J14" s="88" t="n">
        <v>55.21</v>
      </c>
      <c r="K14" s="73" t="n">
        <v>73.2</v>
      </c>
      <c r="L14" s="18" t="n">
        <v>0</v>
      </c>
      <c r="M14" s="19" t="n">
        <v>40.3</v>
      </c>
      <c r="N14" s="89" t="inlineStr">
        <is>
          <t>📈 Good</t>
        </is>
      </c>
      <c r="O14" s="89" t="inlineStr">
        <is>
          <t>🔴 Not Qualified</t>
        </is>
      </c>
      <c r="P14" s="89" t="inlineStr">
        <is>
          <t>⚠️ Watch</t>
        </is>
      </c>
      <c r="Q14" s="68" t="inlineStr">
        <is>
          <t>FULL</t>
        </is>
      </c>
    </row>
    <row r="15" ht="16" customHeight="1">
      <c r="A15" s="95" t="n">
        <v>11</v>
      </c>
      <c r="B15" s="96" t="inlineStr">
        <is>
          <t>BAJAJ FINSERV SMALL CAP FUND - REGULAR - GROWTH</t>
        </is>
      </c>
      <c r="C15" s="96" t="inlineStr">
        <is>
          <t>Bajaj Finserv Mutual Fund</t>
        </is>
      </c>
      <c r="D15" s="96" t="inlineStr">
        <is>
          <t>Small Cap Fund</t>
        </is>
      </c>
      <c r="E15" s="97" t="n">
        <v>-1.59</v>
      </c>
      <c r="F15" s="98" t="n">
        <v>12.57</v>
      </c>
      <c r="G15" s="98" t="n">
        <v>5.43</v>
      </c>
      <c r="H15" s="98" t="n">
        <v>0</v>
      </c>
      <c r="I15" s="98" t="n">
        <v>0</v>
      </c>
      <c r="J15" s="98" t="n">
        <v>0</v>
      </c>
      <c r="K15" s="73" t="n">
        <v>72.59999999999999</v>
      </c>
      <c r="L15" s="18" t="n">
        <v>0</v>
      </c>
      <c r="M15" s="19" t="n">
        <v>40</v>
      </c>
      <c r="N15" s="99" t="inlineStr">
        <is>
          <t>📈 Good</t>
        </is>
      </c>
      <c r="O15" s="99" t="inlineStr">
        <is>
          <t>⏳ New Fund</t>
        </is>
      </c>
      <c r="P15" s="99" t="inlineStr">
        <is>
          <t>📈 Momentum Only</t>
        </is>
      </c>
      <c r="Q15" s="100" t="inlineStr">
        <is>
          <t>MOMENTUM_ONLY</t>
        </is>
      </c>
    </row>
    <row r="16" ht="16" customHeight="1">
      <c r="A16" s="85" t="n">
        <v>11</v>
      </c>
      <c r="B16" s="86" t="inlineStr">
        <is>
          <t>Union Small Cap Fund - Regular Plan - Growth Option</t>
        </is>
      </c>
      <c r="C16" s="86" t="inlineStr">
        <is>
          <t>Union Mutual Fund</t>
        </is>
      </c>
      <c r="D16" s="86" t="inlineStr">
        <is>
          <t>Small Cap Fund</t>
        </is>
      </c>
      <c r="E16" s="87" t="n">
        <v>-3.61</v>
      </c>
      <c r="F16" s="88" t="n">
        <v>11.52</v>
      </c>
      <c r="G16" s="88" t="n">
        <v>9.279999999999999</v>
      </c>
      <c r="H16" s="88" t="n">
        <v>10.21</v>
      </c>
      <c r="I16" s="88" t="n">
        <v>8.189648303338149</v>
      </c>
      <c r="J16" s="88" t="n">
        <v>63.08</v>
      </c>
      <c r="K16" s="73" t="n">
        <v>72.59999999999999</v>
      </c>
      <c r="L16" s="18" t="n">
        <v>0</v>
      </c>
      <c r="M16" s="19" t="n">
        <v>40</v>
      </c>
      <c r="N16" s="89" t="inlineStr">
        <is>
          <t>📈 Good</t>
        </is>
      </c>
      <c r="O16" s="89" t="inlineStr">
        <is>
          <t>🔴 Not Qualified</t>
        </is>
      </c>
      <c r="P16" s="89" t="inlineStr">
        <is>
          <t>🔴 Avoid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QUANTUM SMALL CAP FUND - REGULAR PLAN GROWTH OPTION</t>
        </is>
      </c>
      <c r="C17" s="96" t="inlineStr">
        <is>
          <t>Quantum Mutual Fund</t>
        </is>
      </c>
      <c r="D17" s="96" t="inlineStr">
        <is>
          <t>Small Cap Fund</t>
        </is>
      </c>
      <c r="E17" s="98" t="n">
        <v>1.27</v>
      </c>
      <c r="F17" s="98" t="n">
        <v>10.89</v>
      </c>
      <c r="G17" s="98" t="n">
        <v>1.92</v>
      </c>
      <c r="H17" s="98" t="n">
        <v>0.39</v>
      </c>
      <c r="I17" s="98" t="n">
        <v>5.952819688765243</v>
      </c>
      <c r="J17" s="98" t="n">
        <v>0</v>
      </c>
      <c r="K17" s="73" t="n">
        <v>68.5</v>
      </c>
      <c r="L17" s="18" t="n">
        <v>0</v>
      </c>
      <c r="M17" s="19" t="n">
        <v>37.7</v>
      </c>
      <c r="N17" s="99" t="inlineStr">
        <is>
          <t>📈 Good</t>
        </is>
      </c>
      <c r="O17" s="99" t="inlineStr">
        <is>
          <t>⏳ New Fund</t>
        </is>
      </c>
      <c r="P17" s="99" t="inlineStr">
        <is>
          <t>📈 Momentum Only</t>
        </is>
      </c>
      <c r="Q17" s="100" t="inlineStr">
        <is>
          <t>MOMENTUM_ONLY</t>
        </is>
      </c>
    </row>
    <row r="18" ht="16" customHeight="1">
      <c r="A18" s="85" t="n">
        <v>14</v>
      </c>
      <c r="B18" s="86" t="inlineStr">
        <is>
          <t>Sundaram Small Cap Fund Regular Plan - Growth</t>
        </is>
      </c>
      <c r="C18" s="86" t="inlineStr">
        <is>
          <t>Sundaram Mutual Fund</t>
        </is>
      </c>
      <c r="D18" s="86" t="inlineStr">
        <is>
          <t>Small Cap Fund</t>
        </is>
      </c>
      <c r="E18" s="87" t="n">
        <v>-3.1</v>
      </c>
      <c r="F18" s="88" t="n">
        <v>12.11</v>
      </c>
      <c r="G18" s="88" t="n">
        <v>3.76</v>
      </c>
      <c r="H18" s="88" t="n">
        <v>2.83</v>
      </c>
      <c r="I18" s="88" t="n">
        <v>5.67875850898325</v>
      </c>
      <c r="J18" s="88" t="n">
        <v>61.75</v>
      </c>
      <c r="K18" s="73" t="n">
        <v>66.8</v>
      </c>
      <c r="L18" s="18" t="n">
        <v>0</v>
      </c>
      <c r="M18" s="19" t="n">
        <v>36.7</v>
      </c>
      <c r="N18" s="89" t="inlineStr">
        <is>
          <t>📈 Good</t>
        </is>
      </c>
      <c r="O18" s="89" t="inlineStr">
        <is>
          <t>🔴 Not Qualified</t>
        </is>
      </c>
      <c r="P18" s="89" t="inlineStr">
        <is>
          <t>🔴 Avoid</t>
        </is>
      </c>
      <c r="Q18" s="68" t="inlineStr">
        <is>
          <t>FULL</t>
        </is>
      </c>
    </row>
    <row r="19" ht="16" customHeight="1">
      <c r="A19" s="90" t="n">
        <v>15</v>
      </c>
      <c r="B19" s="91" t="inlineStr">
        <is>
          <t>Invesco India Smallcap Fund - Regular Plan - Growth</t>
        </is>
      </c>
      <c r="C19" s="91" t="inlineStr">
        <is>
          <t>Invesco Mutual Fund</t>
        </is>
      </c>
      <c r="D19" s="91" t="inlineStr">
        <is>
          <t>Small Cap Fund</t>
        </is>
      </c>
      <c r="E19" s="92" t="n">
        <v>-1.64</v>
      </c>
      <c r="F19" s="93" t="n">
        <v>10.54</v>
      </c>
      <c r="G19" s="93" t="n">
        <v>2.08</v>
      </c>
      <c r="H19" s="93" t="n">
        <v>1.55</v>
      </c>
      <c r="I19" s="93" t="n">
        <v>8.434311912788939</v>
      </c>
      <c r="J19" s="93" t="n">
        <v>78.16</v>
      </c>
      <c r="K19" s="73" t="n">
        <v>63.2</v>
      </c>
      <c r="L19" s="18" t="n">
        <v>0</v>
      </c>
      <c r="M19" s="19" t="n">
        <v>34.8</v>
      </c>
      <c r="N19" s="94" t="inlineStr">
        <is>
          <t>📈 Good</t>
        </is>
      </c>
      <c r="O19" s="94" t="inlineStr">
        <is>
          <t>🔴 Not Qualified</t>
        </is>
      </c>
      <c r="P19" s="94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PGIM India Small Cap Fund - Regular Plan - Growth Option</t>
        </is>
      </c>
      <c r="C20" s="86" t="inlineStr">
        <is>
          <t>PGIM India Mutual Fund</t>
        </is>
      </c>
      <c r="D20" s="86" t="inlineStr">
        <is>
          <t>Small Cap Fund</t>
        </is>
      </c>
      <c r="E20" s="87" t="n">
        <v>-2.28</v>
      </c>
      <c r="F20" s="88" t="n">
        <v>9.529999999999999</v>
      </c>
      <c r="G20" s="88" t="n">
        <v>1.37</v>
      </c>
      <c r="H20" s="88" t="n">
        <v>3.23</v>
      </c>
      <c r="I20" s="88" t="n">
        <v>6.018866245588583</v>
      </c>
      <c r="J20" s="88" t="n">
        <v>49.45</v>
      </c>
      <c r="K20" s="73" t="n">
        <v>61.7</v>
      </c>
      <c r="L20" s="18" t="n">
        <v>0</v>
      </c>
      <c r="M20" s="19" t="n">
        <v>33.9</v>
      </c>
      <c r="N20" s="89" t="inlineStr">
        <is>
          <t>📈 Good</t>
        </is>
      </c>
      <c r="O20" s="89" t="inlineStr">
        <is>
          <t>🔴 Not Qualified</t>
        </is>
      </c>
      <c r="P20" s="89" t="inlineStr">
        <is>
          <t>🔴 Avoid</t>
        </is>
      </c>
      <c r="Q20" s="68" t="inlineStr">
        <is>
          <t>FULL</t>
        </is>
      </c>
    </row>
    <row r="21" ht="16" customHeight="1">
      <c r="A21" s="90" t="n">
        <v>17</v>
      </c>
      <c r="B21" s="91" t="inlineStr">
        <is>
          <t>Mahindra Manulife Small Cap Fund - Regular Plan - Growth</t>
        </is>
      </c>
      <c r="C21" s="91" t="inlineStr">
        <is>
          <t>Mahindra Manulife Mutual Fund</t>
        </is>
      </c>
      <c r="D21" s="91" t="inlineStr">
        <is>
          <t>Small Cap Fund</t>
        </is>
      </c>
      <c r="E21" s="92" t="n">
        <v>-2.55</v>
      </c>
      <c r="F21" s="93" t="n">
        <v>8.92</v>
      </c>
      <c r="G21" s="93" t="n">
        <v>2.26</v>
      </c>
      <c r="H21" s="93" t="n">
        <v>1.84</v>
      </c>
      <c r="I21" s="93" t="n">
        <v>3.392456204502659</v>
      </c>
      <c r="J21" s="93" t="n">
        <v>75.26000000000001</v>
      </c>
      <c r="K21" s="73" t="n">
        <v>59.9</v>
      </c>
      <c r="L21" s="18" t="n">
        <v>0</v>
      </c>
      <c r="M21" s="19" t="n">
        <v>32.9</v>
      </c>
      <c r="N21" s="94" t="inlineStr">
        <is>
          <t>➡️ Neutral</t>
        </is>
      </c>
      <c r="O21" s="94" t="inlineStr">
        <is>
          <t>🔴 Not Qualified</t>
        </is>
      </c>
      <c r="P21" s="94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HSBC Small Cap Fund - Regular Growth</t>
        </is>
      </c>
      <c r="C22" s="86" t="inlineStr">
        <is>
          <t>HSBC Mutual Fund</t>
        </is>
      </c>
      <c r="D22" s="86" t="inlineStr">
        <is>
          <t>Small Cap Fund</t>
        </is>
      </c>
      <c r="E22" s="87" t="n">
        <v>-3.13</v>
      </c>
      <c r="F22" s="88" t="n">
        <v>11.81</v>
      </c>
      <c r="G22" s="88" t="n">
        <v>3.27</v>
      </c>
      <c r="H22" s="87" t="n">
        <v>-3.8</v>
      </c>
      <c r="I22" s="87" t="n">
        <v>-0.3054665490629827</v>
      </c>
      <c r="J22" s="88" t="n">
        <v>51.81</v>
      </c>
      <c r="K22" s="73" t="n">
        <v>50.3</v>
      </c>
      <c r="L22" s="18" t="n">
        <v>0</v>
      </c>
      <c r="M22" s="19" t="n">
        <v>27.7</v>
      </c>
      <c r="N22" s="89" t="inlineStr">
        <is>
          <t>➡️ Neutral</t>
        </is>
      </c>
      <c r="O22" s="89" t="inlineStr">
        <is>
          <t>🔴 Not Qualified</t>
        </is>
      </c>
      <c r="P22" s="89" t="inlineStr">
        <is>
          <t>🔴 Avoid</t>
        </is>
      </c>
      <c r="Q22" s="68" t="inlineStr">
        <is>
          <t>FULL</t>
        </is>
      </c>
    </row>
    <row r="23" ht="16" customHeight="1">
      <c r="A23" s="90" t="n">
        <v>19</v>
      </c>
      <c r="B23" s="91" t="inlineStr">
        <is>
          <t>Nippon India Small Cap Fund - Growth Plan - Bonus Option</t>
        </is>
      </c>
      <c r="C23" s="91" t="inlineStr">
        <is>
          <t>Nippon India Mutual Fund</t>
        </is>
      </c>
      <c r="D23" s="91" t="inlineStr">
        <is>
          <t>Small Cap Fund</t>
        </is>
      </c>
      <c r="E23" s="92" t="n">
        <v>-3.04</v>
      </c>
      <c r="F23" s="93" t="n">
        <v>8.18</v>
      </c>
      <c r="G23" s="93" t="n">
        <v>2.17</v>
      </c>
      <c r="H23" s="92" t="n">
        <v>-1.18</v>
      </c>
      <c r="I23" s="93" t="n">
        <v>2.107786186950511</v>
      </c>
      <c r="J23" s="93" t="n">
        <v>60.51</v>
      </c>
      <c r="K23" s="78" t="n">
        <v>44.7</v>
      </c>
      <c r="L23" s="18" t="n">
        <v>0</v>
      </c>
      <c r="M23" s="19" t="n">
        <v>24.6</v>
      </c>
      <c r="N23" s="94" t="inlineStr">
        <is>
          <t>➡️ Neutral</t>
        </is>
      </c>
      <c r="O23" s="94" t="inlineStr">
        <is>
          <t>🔴 Not Qualified</t>
        </is>
      </c>
      <c r="P23" s="94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Nippon India Small Cap Fund - Growth Plan - Growth Option</t>
        </is>
      </c>
      <c r="C24" s="86" t="inlineStr">
        <is>
          <t>Nippon India Mutual Fund</t>
        </is>
      </c>
      <c r="D24" s="86" t="inlineStr">
        <is>
          <t>Small Cap Fund</t>
        </is>
      </c>
      <c r="E24" s="87" t="n">
        <v>-3.04</v>
      </c>
      <c r="F24" s="88" t="n">
        <v>8.18</v>
      </c>
      <c r="G24" s="88" t="n">
        <v>2.17</v>
      </c>
      <c r="H24" s="87" t="n">
        <v>-1.18</v>
      </c>
      <c r="I24" s="88" t="n">
        <v>2.107786186950511</v>
      </c>
      <c r="J24" s="88" t="n">
        <v>60.51</v>
      </c>
      <c r="K24" s="78" t="n">
        <v>44.7</v>
      </c>
      <c r="L24" s="18" t="n">
        <v>0</v>
      </c>
      <c r="M24" s="19" t="n">
        <v>24.6</v>
      </c>
      <c r="N24" s="89" t="inlineStr">
        <is>
          <t>➡️ Neutral</t>
        </is>
      </c>
      <c r="O24" s="89" t="inlineStr">
        <is>
          <t>🔴 Not Qualified</t>
        </is>
      </c>
      <c r="P24" s="89" t="inlineStr">
        <is>
          <t>🔴 Avoid</t>
        </is>
      </c>
      <c r="Q24" s="68" t="inlineStr">
        <is>
          <t>FULL</t>
        </is>
      </c>
    </row>
    <row r="25" ht="16" customHeight="1">
      <c r="A25" s="90" t="n">
        <v>21</v>
      </c>
      <c r="B25" s="91" t="inlineStr">
        <is>
          <t>SBI Small Cap Fund - Regular Plan - Growth</t>
        </is>
      </c>
      <c r="C25" s="91" t="inlineStr">
        <is>
          <t>SBI Mutual Fund</t>
        </is>
      </c>
      <c r="D25" s="91" t="inlineStr">
        <is>
          <t>Small Cap Fund</t>
        </is>
      </c>
      <c r="E25" s="92" t="n">
        <v>-1.56</v>
      </c>
      <c r="F25" s="93" t="n">
        <v>8.039999999999999</v>
      </c>
      <c r="G25" s="92" t="n">
        <v>-0.23</v>
      </c>
      <c r="H25" s="92" t="n">
        <v>-2.66</v>
      </c>
      <c r="I25" s="92" t="n">
        <v>-0.767948726230594</v>
      </c>
      <c r="J25" s="93" t="n">
        <v>39.87</v>
      </c>
      <c r="K25" s="78" t="n">
        <v>43.3</v>
      </c>
      <c r="L25" s="18" t="n">
        <v>0</v>
      </c>
      <c r="M25" s="19" t="n">
        <v>23.8</v>
      </c>
      <c r="N25" s="94" t="inlineStr">
        <is>
          <t>➡️ Neutral</t>
        </is>
      </c>
      <c r="O25" s="94" t="inlineStr">
        <is>
          <t>🔴 Not Qualified</t>
        </is>
      </c>
      <c r="P25" s="94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BANDHAN SMALL CAP FUND - REGULAR PLAN GROWTH</t>
        </is>
      </c>
      <c r="C26" s="86" t="inlineStr">
        <is>
          <t>Bandhan Mutual Fund</t>
        </is>
      </c>
      <c r="D26" s="86" t="inlineStr">
        <is>
          <t>Small Cap Fund</t>
        </is>
      </c>
      <c r="E26" s="87" t="n">
        <v>-3.5</v>
      </c>
      <c r="F26" s="88" t="n">
        <v>8.43</v>
      </c>
      <c r="G26" s="88" t="n">
        <v>1.23</v>
      </c>
      <c r="H26" s="87" t="n">
        <v>-0.91</v>
      </c>
      <c r="I26" s="88" t="n">
        <v>9.215383531808374</v>
      </c>
      <c r="J26" s="88" t="n">
        <v>102.2</v>
      </c>
      <c r="K26" s="78" t="n">
        <v>39.6</v>
      </c>
      <c r="L26" s="18" t="n">
        <v>0</v>
      </c>
      <c r="M26" s="19" t="n">
        <v>21.8</v>
      </c>
      <c r="N26" s="89" t="inlineStr">
        <is>
          <t>📉 Weak</t>
        </is>
      </c>
      <c r="O26" s="89" t="inlineStr">
        <is>
          <t>🔴 Not Qualified</t>
        </is>
      </c>
      <c r="P26" s="89" t="inlineStr">
        <is>
          <t>🔴 Avoid</t>
        </is>
      </c>
      <c r="Q26" s="68" t="inlineStr">
        <is>
          <t>FULL</t>
        </is>
      </c>
    </row>
    <row r="27" ht="16" customHeight="1">
      <c r="A27" s="90" t="n">
        <v>23</v>
      </c>
      <c r="B27" s="91" t="inlineStr">
        <is>
          <t>Edelweiss Small Cap Fund - Regular Plan - Growth</t>
        </is>
      </c>
      <c r="C27" s="91" t="inlineStr">
        <is>
          <t>Edelweiss Mutual Fund</t>
        </is>
      </c>
      <c r="D27" s="91" t="inlineStr">
        <is>
          <t>Small Cap Fund</t>
        </is>
      </c>
      <c r="E27" s="92" t="n">
        <v>-3.32</v>
      </c>
      <c r="F27" s="93" t="n">
        <v>7.88</v>
      </c>
      <c r="G27" s="93" t="n">
        <v>1.02</v>
      </c>
      <c r="H27" s="92" t="n">
        <v>-0.8</v>
      </c>
      <c r="I27" s="93" t="n">
        <v>3.339247142603097</v>
      </c>
      <c r="J27" s="93" t="n">
        <v>57.84</v>
      </c>
      <c r="K27" s="78" t="n">
        <v>36.1</v>
      </c>
      <c r="L27" s="18" t="n">
        <v>0</v>
      </c>
      <c r="M27" s="19" t="n">
        <v>19.9</v>
      </c>
      <c r="N27" s="94" t="inlineStr">
        <is>
          <t>📉 Weak</t>
        </is>
      </c>
      <c r="O27" s="94" t="inlineStr">
        <is>
          <t>🔴 Not Qualified</t>
        </is>
      </c>
      <c r="P27" s="94" t="inlineStr">
        <is>
          <t>🔴 Avoid</t>
        </is>
      </c>
      <c r="Q27" s="68" t="inlineStr">
        <is>
          <t>FULL</t>
        </is>
      </c>
    </row>
    <row r="28" ht="16" customHeight="1">
      <c r="A28" s="95" t="n">
        <v>24</v>
      </c>
      <c r="B28" s="96" t="inlineStr">
        <is>
          <t>Samco Small Cap Fund - Regular Plan</t>
        </is>
      </c>
      <c r="C28" s="96" t="inlineStr">
        <is>
          <t>Samco Mutual Fund</t>
        </is>
      </c>
      <c r="D28" s="96" t="inlineStr">
        <is>
          <t>Small Cap Fund</t>
        </is>
      </c>
      <c r="E28" s="97" t="n">
        <v>-3.82</v>
      </c>
      <c r="F28" s="98" t="n">
        <v>7.02</v>
      </c>
      <c r="G28" s="98" t="n">
        <v>1.82</v>
      </c>
      <c r="H28" s="98" t="n">
        <v>0</v>
      </c>
      <c r="I28" s="98" t="n">
        <v>0</v>
      </c>
      <c r="J28" s="98" t="n">
        <v>0</v>
      </c>
      <c r="K28" s="78" t="n">
        <v>35.8</v>
      </c>
      <c r="L28" s="18" t="n">
        <v>0</v>
      </c>
      <c r="M28" s="19" t="n">
        <v>19.7</v>
      </c>
      <c r="N28" s="99" t="inlineStr">
        <is>
          <t>📉 Weak</t>
        </is>
      </c>
      <c r="O28" s="99" t="inlineStr">
        <is>
          <t>⏳ New Fund</t>
        </is>
      </c>
      <c r="P28" s="99" t="inlineStr">
        <is>
          <t>⏳ New Fund</t>
        </is>
      </c>
      <c r="Q28" s="100" t="inlineStr">
        <is>
          <t>MOMENTUM_ONLY</t>
        </is>
      </c>
    </row>
    <row r="29" ht="16" customHeight="1">
      <c r="A29" s="95" t="n">
        <v>25</v>
      </c>
      <c r="B29" s="96" t="inlineStr">
        <is>
          <t>Baroda BNP Paribas Small Cap Fund - Regular Plan - Growth option</t>
        </is>
      </c>
      <c r="C29" s="96" t="inlineStr">
        <is>
          <t>Baroda BNP Paribas Mutual Fund</t>
        </is>
      </c>
      <c r="D29" s="96" t="inlineStr">
        <is>
          <t>Small Cap Fund</t>
        </is>
      </c>
      <c r="E29" s="97" t="n">
        <v>-4.49</v>
      </c>
      <c r="F29" s="98" t="n">
        <v>7.49</v>
      </c>
      <c r="G29" s="98" t="n">
        <v>2.46</v>
      </c>
      <c r="H29" s="97" t="n">
        <v>-0.97</v>
      </c>
      <c r="I29" s="98" t="n">
        <v>1.336074524327224</v>
      </c>
      <c r="J29" s="98" t="n">
        <v>0</v>
      </c>
      <c r="K29" s="78" t="n">
        <v>35.7</v>
      </c>
      <c r="L29" s="18" t="n">
        <v>0</v>
      </c>
      <c r="M29" s="19" t="n">
        <v>19.6</v>
      </c>
      <c r="N29" s="99" t="inlineStr">
        <is>
          <t>📉 Weak</t>
        </is>
      </c>
      <c r="O29" s="99" t="inlineStr">
        <is>
          <t>⏳ New Fund</t>
        </is>
      </c>
      <c r="P29" s="99" t="inlineStr">
        <is>
          <t>⏳ New Fund</t>
        </is>
      </c>
      <c r="Q29" s="100" t="inlineStr">
        <is>
          <t>MOMENTUM_ONLY</t>
        </is>
      </c>
    </row>
    <row r="30" ht="16" customHeight="1">
      <c r="A30" s="85" t="n">
        <v>26</v>
      </c>
      <c r="B30" s="86" t="inlineStr">
        <is>
          <t>Kotak-Small Cap Fund - Growth</t>
        </is>
      </c>
      <c r="C30" s="86" t="inlineStr">
        <is>
          <t>Kotak Mahindra Mutual Fund</t>
        </is>
      </c>
      <c r="D30" s="86" t="inlineStr">
        <is>
          <t>Small Cap Fund</t>
        </is>
      </c>
      <c r="E30" s="87" t="n">
        <v>-2.84</v>
      </c>
      <c r="F30" s="88" t="n">
        <v>7.98</v>
      </c>
      <c r="G30" s="88" t="n">
        <v>0.49</v>
      </c>
      <c r="H30" s="87" t="n">
        <v>-4.61</v>
      </c>
      <c r="I30" s="87" t="n">
        <v>-0.2753791684320328</v>
      </c>
      <c r="J30" s="88" t="n">
        <v>42.47</v>
      </c>
      <c r="K30" s="78" t="n">
        <v>32.1</v>
      </c>
      <c r="L30" s="18" t="n">
        <v>0</v>
      </c>
      <c r="M30" s="19" t="n">
        <v>17.6</v>
      </c>
      <c r="N30" s="89" t="inlineStr">
        <is>
          <t>📉 Weak</t>
        </is>
      </c>
      <c r="O30" s="89" t="inlineStr">
        <is>
          <t>🔴 Not Qualified</t>
        </is>
      </c>
      <c r="P30" s="89" t="inlineStr">
        <is>
          <t>🔴 Avoid</t>
        </is>
      </c>
      <c r="Q30" s="68" t="inlineStr">
        <is>
          <t>FULL</t>
        </is>
      </c>
    </row>
    <row r="31" ht="16" customHeight="1">
      <c r="A31" s="90" t="n">
        <v>26</v>
      </c>
      <c r="B31" s="91" t="inlineStr">
        <is>
          <t>Kotak-Small Cap Fund - Payout of Income Distribution cum capital withdrawal option</t>
        </is>
      </c>
      <c r="C31" s="91" t="inlineStr">
        <is>
          <t>Kotak Mahindra Mutual Fund</t>
        </is>
      </c>
      <c r="D31" s="91" t="inlineStr">
        <is>
          <t>Small Cap Fund</t>
        </is>
      </c>
      <c r="E31" s="92" t="n">
        <v>-2.84</v>
      </c>
      <c r="F31" s="93" t="n">
        <v>7.98</v>
      </c>
      <c r="G31" s="93" t="n">
        <v>0.49</v>
      </c>
      <c r="H31" s="92" t="n">
        <v>-4.61</v>
      </c>
      <c r="I31" s="92" t="n">
        <v>-0.2753791684320328</v>
      </c>
      <c r="J31" s="93" t="n">
        <v>42.47</v>
      </c>
      <c r="K31" s="78" t="n">
        <v>32.1</v>
      </c>
      <c r="L31" s="18" t="n">
        <v>0</v>
      </c>
      <c r="M31" s="19" t="n">
        <v>17.6</v>
      </c>
      <c r="N31" s="94" t="inlineStr">
        <is>
          <t>📉 Weak</t>
        </is>
      </c>
      <c r="O31" s="94" t="inlineStr">
        <is>
          <t>🔴 Not Qualified</t>
        </is>
      </c>
      <c r="P31" s="94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Axis Small Cap Fund - Regular Plan - Growth</t>
        </is>
      </c>
      <c r="C32" s="86" t="inlineStr">
        <is>
          <t>Axis Mutual Fund</t>
        </is>
      </c>
      <c r="D32" s="86" t="inlineStr">
        <is>
          <t>Small Cap Fund</t>
        </is>
      </c>
      <c r="E32" s="87" t="n">
        <v>-3.26</v>
      </c>
      <c r="F32" s="88" t="n">
        <v>7.23</v>
      </c>
      <c r="G32" s="88" t="n">
        <v>0.31</v>
      </c>
      <c r="H32" s="87" t="n">
        <v>-1.83</v>
      </c>
      <c r="I32" s="88" t="n">
        <v>4.618354030256078</v>
      </c>
      <c r="J32" s="88" t="n">
        <v>50.6</v>
      </c>
      <c r="K32" s="78" t="n">
        <v>29.2</v>
      </c>
      <c r="L32" s="18" t="n">
        <v>0</v>
      </c>
      <c r="M32" s="19" t="n">
        <v>16</v>
      </c>
      <c r="N32" s="89" t="inlineStr">
        <is>
          <t>📉 Weak</t>
        </is>
      </c>
      <c r="O32" s="89" t="inlineStr">
        <is>
          <t>🔴 Not Qualified</t>
        </is>
      </c>
      <c r="P32" s="89" t="inlineStr">
        <is>
          <t>🔴 Avoid</t>
        </is>
      </c>
      <c r="Q32" s="68" t="inlineStr">
        <is>
          <t>FULL</t>
        </is>
      </c>
    </row>
    <row r="33" ht="16" customHeight="1">
      <c r="A33" s="90" t="n">
        <v>29</v>
      </c>
      <c r="B33" s="91" t="inlineStr">
        <is>
          <t>UTI Small Cap Fund - Regular Plan - Growth Option</t>
        </is>
      </c>
      <c r="C33" s="91" t="inlineStr">
        <is>
          <t>UTI Mutual Fund</t>
        </is>
      </c>
      <c r="D33" s="91" t="inlineStr">
        <is>
          <t>Small Cap Fund</t>
        </is>
      </c>
      <c r="E33" s="92" t="n">
        <v>-4.24</v>
      </c>
      <c r="F33" s="93" t="n">
        <v>9.57</v>
      </c>
      <c r="G33" s="92" t="n">
        <v>-0.3</v>
      </c>
      <c r="H33" s="92" t="n">
        <v>-3.04</v>
      </c>
      <c r="I33" s="93" t="n">
        <v>4.947605975553349</v>
      </c>
      <c r="J33" s="93" t="n">
        <v>50.76</v>
      </c>
      <c r="K33" s="78" t="n">
        <v>28.5</v>
      </c>
      <c r="L33" s="18" t="n">
        <v>0</v>
      </c>
      <c r="M33" s="19" t="n">
        <v>15.7</v>
      </c>
      <c r="N33" s="94" t="inlineStr">
        <is>
          <t>📉 Weak</t>
        </is>
      </c>
      <c r="O33" s="94" t="inlineStr">
        <is>
          <t>🔴 Not Qualified</t>
        </is>
      </c>
      <c r="P33" s="94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Tata Small Cap Fund-Regular Plan-Growth</t>
        </is>
      </c>
      <c r="C34" s="86" t="inlineStr">
        <is>
          <t>Tata Mutual Fund</t>
        </is>
      </c>
      <c r="D34" s="86" t="inlineStr">
        <is>
          <t>Small Cap Fund</t>
        </is>
      </c>
      <c r="E34" s="87" t="n">
        <v>-1.95</v>
      </c>
      <c r="F34" s="88" t="n">
        <v>7.97</v>
      </c>
      <c r="G34" s="87" t="n">
        <v>-4.1</v>
      </c>
      <c r="H34" s="87" t="n">
        <v>-12.44</v>
      </c>
      <c r="I34" s="87" t="n">
        <v>-2.204294572818788</v>
      </c>
      <c r="J34" s="88" t="n">
        <v>34.24</v>
      </c>
      <c r="K34" s="78" t="n">
        <v>27.8</v>
      </c>
      <c r="L34" s="18" t="n">
        <v>0</v>
      </c>
      <c r="M34" s="19" t="n">
        <v>15.3</v>
      </c>
      <c r="N34" s="89" t="inlineStr">
        <is>
          <t>📉 Weak</t>
        </is>
      </c>
      <c r="O34" s="89" t="inlineStr">
        <is>
          <t>🔴 Not Qualified</t>
        </is>
      </c>
      <c r="P34" s="89" t="inlineStr">
        <is>
          <t>🔴 Avoid</t>
        </is>
      </c>
      <c r="Q34" s="68" t="inlineStr">
        <is>
          <t>FULL</t>
        </is>
      </c>
    </row>
    <row r="35" ht="16" customHeight="1">
      <c r="A35" s="90" t="n">
        <v>31</v>
      </c>
      <c r="B35" s="91" t="inlineStr">
        <is>
          <t>ICICI Prudential Smallcap Fund - Growth</t>
        </is>
      </c>
      <c r="C35" s="91" t="inlineStr">
        <is>
          <t>ICICI Prudential Mutual Fund</t>
        </is>
      </c>
      <c r="D35" s="91" t="inlineStr">
        <is>
          <t>Small Cap Fund</t>
        </is>
      </c>
      <c r="E35" s="92" t="n">
        <v>-2.45</v>
      </c>
      <c r="F35" s="93" t="n">
        <v>5.27</v>
      </c>
      <c r="G35" s="92" t="n">
        <v>-2.19</v>
      </c>
      <c r="H35" s="92" t="n">
        <v>-4.26</v>
      </c>
      <c r="I35" s="92" t="n">
        <v>-0.425906983794222</v>
      </c>
      <c r="J35" s="93" t="n">
        <v>41.78</v>
      </c>
      <c r="K35" s="78" t="n">
        <v>26.1</v>
      </c>
      <c r="L35" s="18" t="n">
        <v>0</v>
      </c>
      <c r="M35" s="19" t="n">
        <v>14.4</v>
      </c>
      <c r="N35" s="94" t="inlineStr">
        <is>
          <t>📉 Weak</t>
        </is>
      </c>
      <c r="O35" s="94" t="inlineStr">
        <is>
          <t>🔴 Not Qualified</t>
        </is>
      </c>
      <c r="P35" s="94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Franklin India Small Cap Fund-Growth</t>
        </is>
      </c>
      <c r="C36" s="86" t="inlineStr">
        <is>
          <t>Franklin Templeton Mutual Fund</t>
        </is>
      </c>
      <c r="D36" s="86" t="inlineStr">
        <is>
          <t>Small Cap Fund</t>
        </is>
      </c>
      <c r="E36" s="87" t="n">
        <v>-4.04</v>
      </c>
      <c r="F36" s="88" t="n">
        <v>7.69</v>
      </c>
      <c r="G36" s="88" t="n">
        <v>1.04</v>
      </c>
      <c r="H36" s="87" t="n">
        <v>-5.4</v>
      </c>
      <c r="I36" s="87" t="n">
        <v>-1.806313848598196</v>
      </c>
      <c r="J36" s="88" t="n">
        <v>54.01</v>
      </c>
      <c r="K36" s="78" t="n">
        <v>23.9</v>
      </c>
      <c r="L36" s="18" t="n">
        <v>0</v>
      </c>
      <c r="M36" s="19" t="n">
        <v>13.1</v>
      </c>
      <c r="N36" s="89" t="inlineStr">
        <is>
          <t>📉 Weak</t>
        </is>
      </c>
      <c r="O36" s="89" t="inlineStr">
        <is>
          <t>🔴 Not Qualified</t>
        </is>
      </c>
      <c r="P36" s="89" t="inlineStr">
        <is>
          <t>🔴 Avoid</t>
        </is>
      </c>
      <c r="Q36" s="68" t="inlineStr">
        <is>
          <t>FULL</t>
        </is>
      </c>
    </row>
    <row r="37" ht="16" customHeight="1">
      <c r="A37" s="95" t="n">
        <v>33</v>
      </c>
      <c r="B37" s="96" t="inlineStr">
        <is>
          <t>Mirae Asset Small Cap Fund - Regular Plan - Growth</t>
        </is>
      </c>
      <c r="C37" s="96" t="inlineStr">
        <is>
          <t>Mirae Asset Mutual Fund</t>
        </is>
      </c>
      <c r="D37" s="96" t="inlineStr">
        <is>
          <t>Small Cap Fund</t>
        </is>
      </c>
      <c r="E37" s="97" t="n">
        <v>-4.37</v>
      </c>
      <c r="F37" s="98" t="n">
        <v>4.03</v>
      </c>
      <c r="G37" s="97" t="n">
        <v>-2.07</v>
      </c>
      <c r="H37" s="97" t="n">
        <v>-0.01</v>
      </c>
      <c r="I37" s="98" t="n">
        <v>0</v>
      </c>
      <c r="J37" s="98" t="n">
        <v>0</v>
      </c>
      <c r="K37" s="78" t="n">
        <v>22.2</v>
      </c>
      <c r="L37" s="18" t="n">
        <v>0</v>
      </c>
      <c r="M37" s="19" t="n">
        <v>12.2</v>
      </c>
      <c r="N37" s="99" t="inlineStr">
        <is>
          <t>📉 Weak</t>
        </is>
      </c>
      <c r="O37" s="99" t="inlineStr">
        <is>
          <t>⏳ New Fund</t>
        </is>
      </c>
      <c r="P37" s="99" t="inlineStr">
        <is>
          <t>⏳ New Fund</t>
        </is>
      </c>
      <c r="Q37" s="100" t="inlineStr">
        <is>
          <t>MOMENTUM_ONLY</t>
        </is>
      </c>
    </row>
    <row r="38" ht="16" customHeight="1">
      <c r="A38" s="85" t="n">
        <v>34</v>
      </c>
      <c r="B38" s="86" t="inlineStr">
        <is>
          <t>TATA SmallCap Fund Regular Plan - Payout of Income Distribution cum capital withdrawal option</t>
        </is>
      </c>
      <c r="C38" s="86" t="inlineStr">
        <is>
          <t>Tata Mutual Fund</t>
        </is>
      </c>
      <c r="D38" s="86" t="inlineStr">
        <is>
          <t>Small Cap Fund</t>
        </is>
      </c>
      <c r="E38" s="87" t="n">
        <v>-1.95</v>
      </c>
      <c r="F38" s="88" t="n">
        <v>3.82</v>
      </c>
      <c r="G38" s="87" t="n">
        <v>-7.78</v>
      </c>
      <c r="H38" s="87" t="n">
        <v>-15.81</v>
      </c>
      <c r="I38" s="87" t="n">
        <v>-4.104223242105187</v>
      </c>
      <c r="J38" s="88" t="n">
        <v>29.08</v>
      </c>
      <c r="K38" s="78" t="n">
        <v>18.3</v>
      </c>
      <c r="L38" s="18" t="n">
        <v>0</v>
      </c>
      <c r="M38" s="19" t="n">
        <v>10.1</v>
      </c>
      <c r="N38" s="89" t="inlineStr">
        <is>
          <t>📉 Weak</t>
        </is>
      </c>
      <c r="O38" s="89" t="inlineStr">
        <is>
          <t>🔴 Not Qualified</t>
        </is>
      </c>
      <c r="P38" s="89" t="inlineStr">
        <is>
          <t>🔴 Avoid</t>
        </is>
      </c>
      <c r="Q38" s="68" t="inlineStr">
        <is>
          <t>FULL</t>
        </is>
      </c>
    </row>
    <row r="39" ht="16" customHeight="1">
      <c r="A39" s="90" t="n">
        <v>34</v>
      </c>
      <c r="B39" s="91" t="inlineStr">
        <is>
          <t>TATA Small Cap Fund Regular Plan - Reinvestment of Income Distribution cum capital withdrawal option</t>
        </is>
      </c>
      <c r="C39" s="91" t="inlineStr">
        <is>
          <t>Tata Mutual Fund</t>
        </is>
      </c>
      <c r="D39" s="91" t="inlineStr">
        <is>
          <t>Small Cap Fund</t>
        </is>
      </c>
      <c r="E39" s="92" t="n">
        <v>-1.95</v>
      </c>
      <c r="F39" s="93" t="n">
        <v>3.82</v>
      </c>
      <c r="G39" s="92" t="n">
        <v>-7.78</v>
      </c>
      <c r="H39" s="92" t="n">
        <v>-15.81</v>
      </c>
      <c r="I39" s="92" t="n">
        <v>-4.104223242105187</v>
      </c>
      <c r="J39" s="93" t="n">
        <v>29.08</v>
      </c>
      <c r="K39" s="78" t="n">
        <v>18.3</v>
      </c>
      <c r="L39" s="18" t="n">
        <v>0</v>
      </c>
      <c r="M39" s="19" t="n">
        <v>10.1</v>
      </c>
      <c r="N39" s="94" t="inlineStr">
        <is>
          <t>📉 Weak</t>
        </is>
      </c>
      <c r="O39" s="94" t="inlineStr">
        <is>
          <t>🔴 Not Qualified</t>
        </is>
      </c>
      <c r="P39" s="94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CANARA ROBECO SMALL CAP FUND - REGULAR PLAN - GROWTH OPTION</t>
        </is>
      </c>
      <c r="C40" s="86" t="inlineStr">
        <is>
          <t>Canara Robeco Mutual Fund</t>
        </is>
      </c>
      <c r="D40" s="86" t="inlineStr">
        <is>
          <t>Small Cap Fund</t>
        </is>
      </c>
      <c r="E40" s="87" t="n">
        <v>-4.42</v>
      </c>
      <c r="F40" s="88" t="n">
        <v>6.01</v>
      </c>
      <c r="G40" s="87" t="n">
        <v>-1.13</v>
      </c>
      <c r="H40" s="87" t="n">
        <v>-4.06</v>
      </c>
      <c r="I40" s="88" t="n">
        <v>0.5087060905671015</v>
      </c>
      <c r="J40" s="88" t="n">
        <v>43.18</v>
      </c>
      <c r="K40" s="78" t="n">
        <v>16.5</v>
      </c>
      <c r="L40" s="18" t="n">
        <v>0</v>
      </c>
      <c r="M40" s="19" t="n">
        <v>9.1</v>
      </c>
      <c r="N40" s="89" t="inlineStr">
        <is>
          <t>📉 Weak</t>
        </is>
      </c>
      <c r="O40" s="89" t="inlineStr">
        <is>
          <t>🔴 Not Qualified</t>
        </is>
      </c>
      <c r="P40" s="89" t="inlineStr">
        <is>
          <t>🔴 Avoid</t>
        </is>
      </c>
      <c r="Q40" s="68" t="inlineStr">
        <is>
          <t>FULL</t>
        </is>
      </c>
    </row>
    <row r="41" ht="16" customHeight="1">
      <c r="A41" s="90" t="n">
        <v>37</v>
      </c>
      <c r="B41" s="91" t="inlineStr">
        <is>
          <t>HDFC Small Cap Fund - Growth Option</t>
        </is>
      </c>
      <c r="C41" s="91" t="inlineStr">
        <is>
          <t>HDFC Mutual Fund</t>
        </is>
      </c>
      <c r="D41" s="91" t="inlineStr">
        <is>
          <t>Small Cap Fund</t>
        </is>
      </c>
      <c r="E41" s="92" t="n">
        <v>-3.34</v>
      </c>
      <c r="F41" s="93" t="n">
        <v>3.21</v>
      </c>
      <c r="G41" s="92" t="n">
        <v>-4.82</v>
      </c>
      <c r="H41" s="92" t="n">
        <v>-5.64</v>
      </c>
      <c r="I41" s="93" t="n">
        <v>1.034647522520715</v>
      </c>
      <c r="J41" s="93" t="n">
        <v>44.12</v>
      </c>
      <c r="K41" s="78" t="n">
        <v>11.8</v>
      </c>
      <c r="L41" s="18" t="n">
        <v>0</v>
      </c>
      <c r="M41" s="19" t="n">
        <v>6.5</v>
      </c>
      <c r="N41" s="94" t="inlineStr">
        <is>
          <t>📉 Weak</t>
        </is>
      </c>
      <c r="O41" s="94" t="inlineStr">
        <is>
          <t>🔴 Not Qualified</t>
        </is>
      </c>
      <c r="P41" s="94" t="inlineStr">
        <is>
          <t>🔴 Avoid</t>
        </is>
      </c>
      <c r="Q41" s="68" t="inlineStr">
        <is>
          <t>FULL</t>
        </is>
      </c>
    </row>
    <row r="42" ht="16" customHeight="1">
      <c r="A42" s="80" t="n">
        <v>0</v>
      </c>
      <c r="B42" s="81" t="inlineStr">
        <is>
          <t>The Wealth Company Small Cap Fund- Regular-Growth</t>
        </is>
      </c>
      <c r="C42" s="81" t="inlineStr">
        <is>
          <t>The Wealth Company Mutual Fund</t>
        </is>
      </c>
      <c r="D42" s="81" t="inlineStr">
        <is>
          <t>Small Cap Fund</t>
        </is>
      </c>
      <c r="E42" s="101" t="n">
        <v>-2.37</v>
      </c>
      <c r="F42" s="82" t="n">
        <v>0</v>
      </c>
      <c r="G42" s="82" t="n">
        <v>0</v>
      </c>
      <c r="H42" s="82" t="n">
        <v>0</v>
      </c>
      <c r="I42" s="82" t="n">
        <v>0</v>
      </c>
      <c r="J42" s="82" t="n">
        <v>0</v>
      </c>
      <c r="K42" s="78" t="n">
        <v>0</v>
      </c>
      <c r="L42" s="18" t="n">
        <v>0</v>
      </c>
      <c r="M42" s="19" t="n">
        <v>0</v>
      </c>
      <c r="N42" s="83" t="inlineStr">
        <is>
          <t>❌ N/A</t>
        </is>
      </c>
      <c r="O42" s="83" t="inlineStr">
        <is>
          <t>❌ N/A</t>
        </is>
      </c>
      <c r="P42" s="83" t="inlineStr">
        <is>
          <t>❌ Missing Data</t>
        </is>
      </c>
      <c r="Q42" s="84" t="inlineStr">
        <is>
          <t>MISSING</t>
        </is>
      </c>
    </row>
    <row r="43" ht="16" customHeight="1">
      <c r="A43" s="80" t="n">
        <v>0</v>
      </c>
      <c r="B43" s="81" t="inlineStr">
        <is>
          <t>Groww Small Cap Fund-Regular-Growth</t>
        </is>
      </c>
      <c r="C43" s="81" t="inlineStr">
        <is>
          <t>Groww Mutual Fund</t>
        </is>
      </c>
      <c r="D43" s="81" t="inlineStr">
        <is>
          <t>Small Cap Fund</t>
        </is>
      </c>
      <c r="E43" s="101" t="n">
        <v>-2.02</v>
      </c>
      <c r="F43" s="82" t="n">
        <v>12.91</v>
      </c>
      <c r="G43" s="82" t="n">
        <v>0</v>
      </c>
      <c r="H43" s="82" t="n">
        <v>0</v>
      </c>
      <c r="I43" s="82" t="n">
        <v>0</v>
      </c>
      <c r="J43" s="82" t="n">
        <v>0</v>
      </c>
      <c r="K43" s="78" t="n">
        <v>0</v>
      </c>
      <c r="L43" s="18" t="n">
        <v>0</v>
      </c>
      <c r="M43" s="19" t="n">
        <v>0</v>
      </c>
      <c r="N43" s="83" t="inlineStr">
        <is>
          <t>❌ N/A</t>
        </is>
      </c>
      <c r="O43" s="83" t="inlineStr">
        <is>
          <t>❌ N/A</t>
        </is>
      </c>
      <c r="P43" s="83" t="inlineStr">
        <is>
          <t>❌ Missing Data</t>
        </is>
      </c>
      <c r="Q43" s="84" t="inlineStr">
        <is>
          <t>MISSING</t>
        </is>
      </c>
    </row>
    <row r="44" ht="16" customHeight="1">
      <c r="A44" s="80" t="n">
        <v>0</v>
      </c>
      <c r="B44" s="81" t="inlineStr">
        <is>
          <t>Abakkus Small Cap Fund - Regular  Plan - Growth</t>
        </is>
      </c>
      <c r="C44" s="81" t="inlineStr">
        <is>
          <t>Abakkus Mutual Fund</t>
        </is>
      </c>
      <c r="D44" s="81" t="inlineStr">
        <is>
          <t>Small Cap Fund</t>
        </is>
      </c>
      <c r="E44" s="101" t="n">
        <v>-0.26</v>
      </c>
      <c r="F44" s="82" t="n">
        <v>0</v>
      </c>
      <c r="G44" s="82" t="n">
        <v>0</v>
      </c>
      <c r="H44" s="82" t="n">
        <v>0</v>
      </c>
      <c r="I44" s="82" t="n">
        <v>0</v>
      </c>
      <c r="J44" s="82" t="n">
        <v>0</v>
      </c>
      <c r="K44" s="78" t="n">
        <v>0</v>
      </c>
      <c r="L44" s="18" t="n">
        <v>0</v>
      </c>
      <c r="M44" s="19" t="n">
        <v>0</v>
      </c>
      <c r="N44" s="83" t="inlineStr">
        <is>
          <t>❌ N/A</t>
        </is>
      </c>
      <c r="O44" s="83" t="inlineStr">
        <is>
          <t>❌ N/A</t>
        </is>
      </c>
      <c r="P44" s="83" t="inlineStr">
        <is>
          <t>❌ Missing Data</t>
        </is>
      </c>
      <c r="Q44" s="84" t="inlineStr">
        <is>
          <t>MISSING</t>
        </is>
      </c>
    </row>
  </sheetData>
  <autoFilter ref="A4:Q4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VALUE FUND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Quant Value Fund - Growth Option - Regular Plan</t>
        </is>
      </c>
      <c r="C5" s="65" t="inlineStr">
        <is>
          <t>quant Mutual Fund</t>
        </is>
      </c>
      <c r="D5" s="65" t="inlineStr">
        <is>
          <t>Value Fund</t>
        </is>
      </c>
      <c r="E5" s="66" t="n">
        <v>-1.99</v>
      </c>
      <c r="F5" s="67" t="n">
        <v>14.5</v>
      </c>
      <c r="G5" s="67" t="n">
        <v>9.56</v>
      </c>
      <c r="H5" s="67" t="n">
        <v>9.98</v>
      </c>
      <c r="I5" s="67" t="n">
        <v>2.966013810383084</v>
      </c>
      <c r="J5" s="67" t="n">
        <v>84.87</v>
      </c>
      <c r="K5" s="17" t="n">
        <v>95.5</v>
      </c>
      <c r="L5" s="18" t="n">
        <v>0</v>
      </c>
      <c r="M5" s="21" t="n">
        <v>52.5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95" t="n">
        <v>2</v>
      </c>
      <c r="B6" s="96" t="inlineStr">
        <is>
          <t>LIC MF Value Fund-Regular Plan-Growth</t>
        </is>
      </c>
      <c r="C6" s="96" t="inlineStr">
        <is>
          <t>LIC Mutual Fund</t>
        </is>
      </c>
      <c r="D6" s="96" t="inlineStr">
        <is>
          <t>Value Fund</t>
        </is>
      </c>
      <c r="E6" s="97" t="n">
        <v>-1.79</v>
      </c>
      <c r="F6" s="98" t="n">
        <v>7.92</v>
      </c>
      <c r="G6" s="98" t="n">
        <v>5.12</v>
      </c>
      <c r="H6" s="98" t="n">
        <v>6.44</v>
      </c>
      <c r="I6" s="98" t="n">
        <v>5.099952426249943</v>
      </c>
      <c r="J6" s="98" t="n">
        <v>0</v>
      </c>
      <c r="K6" s="17" t="n">
        <v>93.5</v>
      </c>
      <c r="L6" s="18" t="n">
        <v>0</v>
      </c>
      <c r="M6" s="21" t="n">
        <v>51.4</v>
      </c>
      <c r="N6" s="99" t="inlineStr">
        <is>
          <t>🔥 Hot</t>
        </is>
      </c>
      <c r="O6" s="99" t="inlineStr">
        <is>
          <t>⏳ New Fund</t>
        </is>
      </c>
      <c r="P6" s="99" t="inlineStr">
        <is>
          <t>🔥 Hot Momentum</t>
        </is>
      </c>
      <c r="Q6" s="100" t="inlineStr">
        <is>
          <t>MOMENTUM_ONLY</t>
        </is>
      </c>
    </row>
    <row r="7" ht="16" customHeight="1">
      <c r="A7" s="74" t="n">
        <v>3</v>
      </c>
      <c r="B7" s="75" t="inlineStr">
        <is>
          <t>DSP Value Fund - Regular Plan - Growth</t>
        </is>
      </c>
      <c r="C7" s="75" t="inlineStr">
        <is>
          <t>DSP Mutual Fund</t>
        </is>
      </c>
      <c r="D7" s="75" t="inlineStr">
        <is>
          <t>Value Fund</t>
        </is>
      </c>
      <c r="E7" s="76" t="n">
        <v>-2.16</v>
      </c>
      <c r="F7" s="77" t="n">
        <v>2.52</v>
      </c>
      <c r="G7" s="77" t="n">
        <v>0.27</v>
      </c>
      <c r="H7" s="77" t="n">
        <v>6.81</v>
      </c>
      <c r="I7" s="77" t="n">
        <v>9.09170454255448</v>
      </c>
      <c r="J7" s="77" t="n">
        <v>61.9</v>
      </c>
      <c r="K7" s="17" t="n">
        <v>81.90000000000001</v>
      </c>
      <c r="L7" s="18" t="n">
        <v>0</v>
      </c>
      <c r="M7" s="19" t="n">
        <v>45</v>
      </c>
      <c r="N7" s="79" t="inlineStr">
        <is>
          <t>⭐ Strong</t>
        </is>
      </c>
      <c r="O7" s="79" t="inlineStr">
        <is>
          <t>🔴 Not Qualified</t>
        </is>
      </c>
      <c r="P7" s="79" t="inlineStr">
        <is>
          <t>⚠️ Watch</t>
        </is>
      </c>
      <c r="Q7" s="68" t="inlineStr">
        <is>
          <t>FULL</t>
        </is>
      </c>
    </row>
    <row r="8" ht="16" customHeight="1">
      <c r="A8" s="95" t="n">
        <v>4</v>
      </c>
      <c r="B8" s="96" t="inlineStr">
        <is>
          <t>Mahindra Manulife Value Fund - Regular Plan - Growth</t>
        </is>
      </c>
      <c r="C8" s="96" t="inlineStr">
        <is>
          <t>Mahindra Manulife Mutual Fund</t>
        </is>
      </c>
      <c r="D8" s="96" t="inlineStr">
        <is>
          <t>Value Fund</t>
        </is>
      </c>
      <c r="E8" s="97" t="n">
        <v>-2.34</v>
      </c>
      <c r="F8" s="98" t="n">
        <v>2.91</v>
      </c>
      <c r="G8" s="98" t="n">
        <v>0.73</v>
      </c>
      <c r="H8" s="98" t="n">
        <v>3.66</v>
      </c>
      <c r="I8" s="98" t="n">
        <v>0</v>
      </c>
      <c r="J8" s="98" t="n">
        <v>0</v>
      </c>
      <c r="K8" s="17" t="n">
        <v>81.7</v>
      </c>
      <c r="L8" s="18" t="n">
        <v>0</v>
      </c>
      <c r="M8" s="19" t="n">
        <v>44.9</v>
      </c>
      <c r="N8" s="99" t="inlineStr">
        <is>
          <t>⭐ Strong</t>
        </is>
      </c>
      <c r="O8" s="99" t="inlineStr">
        <is>
          <t>⏳ New Fund</t>
        </is>
      </c>
      <c r="P8" s="99" t="inlineStr">
        <is>
          <t>🔥 Hot Momentum</t>
        </is>
      </c>
      <c r="Q8" s="100" t="inlineStr">
        <is>
          <t>MOMENTUM_ONLY</t>
        </is>
      </c>
    </row>
    <row r="9" ht="16" customHeight="1">
      <c r="A9" s="90" t="n">
        <v>5</v>
      </c>
      <c r="B9" s="91" t="inlineStr">
        <is>
          <t>Aditya Birla Sun Life Value Fund - Growth Option</t>
        </is>
      </c>
      <c r="C9" s="91" t="inlineStr">
        <is>
          <t>Aditya Birla Sun Life Mutual Fund</t>
        </is>
      </c>
      <c r="D9" s="91" t="inlineStr">
        <is>
          <t>Value Fund</t>
        </is>
      </c>
      <c r="E9" s="92" t="n">
        <v>-2.58</v>
      </c>
      <c r="F9" s="93" t="n">
        <v>5.61</v>
      </c>
      <c r="G9" s="93" t="n">
        <v>0.06</v>
      </c>
      <c r="H9" s="93" t="n">
        <v>0.74</v>
      </c>
      <c r="I9" s="93" t="n">
        <v>4.196928937469169</v>
      </c>
      <c r="J9" s="93" t="n">
        <v>60.58</v>
      </c>
      <c r="K9" s="17" t="n">
        <v>81.09999999999999</v>
      </c>
      <c r="L9" s="18" t="n">
        <v>0</v>
      </c>
      <c r="M9" s="19" t="n">
        <v>44.6</v>
      </c>
      <c r="N9" s="94" t="inlineStr">
        <is>
          <t>⭐ Strong</t>
        </is>
      </c>
      <c r="O9" s="94" t="inlineStr">
        <is>
          <t>🔴 Not Qualified</t>
        </is>
      </c>
      <c r="P9" s="94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Axis Value Fund - Regular Plan - Growth</t>
        </is>
      </c>
      <c r="C10" s="86" t="inlineStr">
        <is>
          <t>Axis Mutual Fund</t>
        </is>
      </c>
      <c r="D10" s="86" t="inlineStr">
        <is>
          <t>Value Fund</t>
        </is>
      </c>
      <c r="E10" s="87" t="n">
        <v>-2.59</v>
      </c>
      <c r="F10" s="88" t="n">
        <v>1.6</v>
      </c>
      <c r="G10" s="87" t="n">
        <v>-3.75</v>
      </c>
      <c r="H10" s="88" t="n">
        <v>0.11</v>
      </c>
      <c r="I10" s="88" t="n">
        <v>5.294824184287417</v>
      </c>
      <c r="J10" s="88" t="n">
        <v>64.38</v>
      </c>
      <c r="K10" s="73" t="n">
        <v>69.90000000000001</v>
      </c>
      <c r="L10" s="18" t="n">
        <v>0</v>
      </c>
      <c r="M10" s="19" t="n">
        <v>38.4</v>
      </c>
      <c r="N10" s="89" t="inlineStr">
        <is>
          <t>📈 Good</t>
        </is>
      </c>
      <c r="O10" s="89" t="inlineStr">
        <is>
          <t>🔴 Not Qualified</t>
        </is>
      </c>
      <c r="P10" s="89" t="inlineStr">
        <is>
          <t>🔴 Avoid</t>
        </is>
      </c>
      <c r="Q10" s="68" t="inlineStr">
        <is>
          <t>FULL</t>
        </is>
      </c>
    </row>
    <row r="11" ht="16" customHeight="1">
      <c r="A11" s="90" t="n">
        <v>7</v>
      </c>
      <c r="B11" s="91" t="inlineStr">
        <is>
          <t>HDFC Value Fund - Growth Plan</t>
        </is>
      </c>
      <c r="C11" s="91" t="inlineStr">
        <is>
          <t>HDFC Mutual Fund</t>
        </is>
      </c>
      <c r="D11" s="91" t="inlineStr">
        <is>
          <t>Value Fund</t>
        </is>
      </c>
      <c r="E11" s="92" t="n">
        <v>-1.82</v>
      </c>
      <c r="F11" s="93" t="n">
        <v>2.55</v>
      </c>
      <c r="G11" s="92" t="n">
        <v>-4.99</v>
      </c>
      <c r="H11" s="92" t="n">
        <v>-1.05</v>
      </c>
      <c r="I11" s="93" t="n">
        <v>3.821962994349137</v>
      </c>
      <c r="J11" s="93" t="n">
        <v>55.57</v>
      </c>
      <c r="K11" s="73" t="n">
        <v>67.7</v>
      </c>
      <c r="L11" s="18" t="n">
        <v>0</v>
      </c>
      <c r="M11" s="19" t="n">
        <v>37.2</v>
      </c>
      <c r="N11" s="94" t="inlineStr">
        <is>
          <t>📈 Good</t>
        </is>
      </c>
      <c r="O11" s="94" t="inlineStr">
        <is>
          <t>🔴 Not Qualified</t>
        </is>
      </c>
      <c r="P11" s="94" t="inlineStr">
        <is>
          <t>🔴 Avoid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Groww Value Fund (formerly known as Indiabulls Value Fund)- Regular Plan- Quarterly - Income Distribution cum capital withdrawal Option (Payout &amp; Reinvestment)</t>
        </is>
      </c>
      <c r="C12" s="86" t="inlineStr">
        <is>
          <t>Groww Mutual Fund</t>
        </is>
      </c>
      <c r="D12" s="86" t="inlineStr">
        <is>
          <t>Value Fund</t>
        </is>
      </c>
      <c r="E12" s="87" t="n">
        <v>-1.27</v>
      </c>
      <c r="F12" s="88" t="n">
        <v>3.27</v>
      </c>
      <c r="G12" s="87" t="n">
        <v>-4.68</v>
      </c>
      <c r="H12" s="87" t="n">
        <v>-3.66</v>
      </c>
      <c r="I12" s="88" t="n">
        <v>2.279030108815561</v>
      </c>
      <c r="J12" s="88" t="n">
        <v>48.03</v>
      </c>
      <c r="K12" s="73" t="n">
        <v>65.5</v>
      </c>
      <c r="L12" s="18" t="n">
        <v>0</v>
      </c>
      <c r="M12" s="19" t="n">
        <v>36</v>
      </c>
      <c r="N12" s="89" t="inlineStr">
        <is>
          <t>📈 Good</t>
        </is>
      </c>
      <c r="O12" s="89" t="inlineStr">
        <is>
          <t>🔴 Not Qualified</t>
        </is>
      </c>
      <c r="P12" s="89" t="inlineStr">
        <is>
          <t>🔴 Avoid</t>
        </is>
      </c>
      <c r="Q12" s="68" t="inlineStr">
        <is>
          <t>FULL</t>
        </is>
      </c>
    </row>
    <row r="13" ht="16" customHeight="1">
      <c r="A13" s="90" t="n">
        <v>8</v>
      </c>
      <c r="B13" s="91" t="inlineStr">
        <is>
          <t>Groww Value Fund (formerly known as Indiabulls Value Fund)- Regular Plan- Half Yearly -Income Distribution cum capital withdrawal Option (Payout &amp; Reinvestment)</t>
        </is>
      </c>
      <c r="C13" s="91" t="inlineStr">
        <is>
          <t>Groww Mutual Fund</t>
        </is>
      </c>
      <c r="D13" s="91" t="inlineStr">
        <is>
          <t>Value Fund</t>
        </is>
      </c>
      <c r="E13" s="92" t="n">
        <v>-1.27</v>
      </c>
      <c r="F13" s="93" t="n">
        <v>3.27</v>
      </c>
      <c r="G13" s="92" t="n">
        <v>-4.68</v>
      </c>
      <c r="H13" s="92" t="n">
        <v>-3.66</v>
      </c>
      <c r="I13" s="93" t="n">
        <v>2.279030108815561</v>
      </c>
      <c r="J13" s="93" t="n">
        <v>47.89</v>
      </c>
      <c r="K13" s="73" t="n">
        <v>65.5</v>
      </c>
      <c r="L13" s="18" t="n">
        <v>0</v>
      </c>
      <c r="M13" s="19" t="n">
        <v>36</v>
      </c>
      <c r="N13" s="94" t="inlineStr">
        <is>
          <t>📈 Good</t>
        </is>
      </c>
      <c r="O13" s="94" t="inlineStr">
        <is>
          <t>🔴 Not Qualified</t>
        </is>
      </c>
      <c r="P13" s="94" t="inlineStr">
        <is>
          <t>🔴 Avoid</t>
        </is>
      </c>
      <c r="Q13" s="68" t="inlineStr">
        <is>
          <t>FULL</t>
        </is>
      </c>
    </row>
    <row r="14" ht="16" customHeight="1">
      <c r="A14" s="85" t="n">
        <v>8</v>
      </c>
      <c r="B14" s="86" t="inlineStr">
        <is>
          <t>Groww Value Fund (formerly known as Indiabulls Value Fund)- Regular Plan- Monthly - Income Distribution cum capital withdrawal Option (Payout &amp; Reinvestment.</t>
        </is>
      </c>
      <c r="C14" s="86" t="inlineStr">
        <is>
          <t>Groww Mutual Fund</t>
        </is>
      </c>
      <c r="D14" s="86" t="inlineStr">
        <is>
          <t>Value Fund</t>
        </is>
      </c>
      <c r="E14" s="87" t="n">
        <v>-1.27</v>
      </c>
      <c r="F14" s="88" t="n">
        <v>3.27</v>
      </c>
      <c r="G14" s="87" t="n">
        <v>-4.68</v>
      </c>
      <c r="H14" s="87" t="n">
        <v>-3.66</v>
      </c>
      <c r="I14" s="88" t="n">
        <v>2.279030108815561</v>
      </c>
      <c r="J14" s="88" t="n">
        <v>47.89</v>
      </c>
      <c r="K14" s="73" t="n">
        <v>65.5</v>
      </c>
      <c r="L14" s="18" t="n">
        <v>0</v>
      </c>
      <c r="M14" s="19" t="n">
        <v>36</v>
      </c>
      <c r="N14" s="89" t="inlineStr">
        <is>
          <t>📈 Good</t>
        </is>
      </c>
      <c r="O14" s="89" t="inlineStr">
        <is>
          <t>🔴 Not Qualified</t>
        </is>
      </c>
      <c r="P14" s="89" t="inlineStr">
        <is>
          <t>🔴 Avoid</t>
        </is>
      </c>
      <c r="Q14" s="68" t="inlineStr">
        <is>
          <t>FULL</t>
        </is>
      </c>
    </row>
    <row r="15" ht="16" customHeight="1">
      <c r="A15" s="90" t="n">
        <v>8</v>
      </c>
      <c r="B15" s="91" t="inlineStr">
        <is>
          <t>Groww Value Fund (formerly known as Indiabulls Value Fund)- Regular Plan - Income Distribution cum capital withdrawal Option (Payout &amp; Reinvestment)</t>
        </is>
      </c>
      <c r="C15" s="91" t="inlineStr">
        <is>
          <t>Groww Mutual Fund</t>
        </is>
      </c>
      <c r="D15" s="91" t="inlineStr">
        <is>
          <t>Value Fund</t>
        </is>
      </c>
      <c r="E15" s="92" t="n">
        <v>-1.27</v>
      </c>
      <c r="F15" s="93" t="n">
        <v>3.27</v>
      </c>
      <c r="G15" s="92" t="n">
        <v>-4.68</v>
      </c>
      <c r="H15" s="92" t="n">
        <v>-3.66</v>
      </c>
      <c r="I15" s="93" t="n">
        <v>2.279030108815561</v>
      </c>
      <c r="J15" s="93" t="n">
        <v>47.89</v>
      </c>
      <c r="K15" s="73" t="n">
        <v>65.5</v>
      </c>
      <c r="L15" s="18" t="n">
        <v>0</v>
      </c>
      <c r="M15" s="19" t="n">
        <v>36</v>
      </c>
      <c r="N15" s="94" t="inlineStr">
        <is>
          <t>📈 Good</t>
        </is>
      </c>
      <c r="O15" s="94" t="inlineStr">
        <is>
          <t>🔴 Not Qualified</t>
        </is>
      </c>
      <c r="P15" s="94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Groww Value Fund (formerly known as Indiabulls Value Fund) - Regular Plan - Growth Option</t>
        </is>
      </c>
      <c r="C16" s="86" t="inlineStr">
        <is>
          <t>Groww Mutual Fund</t>
        </is>
      </c>
      <c r="D16" s="86" t="inlineStr">
        <is>
          <t>Value Fund</t>
        </is>
      </c>
      <c r="E16" s="87" t="n">
        <v>-1.27</v>
      </c>
      <c r="F16" s="88" t="n">
        <v>3.27</v>
      </c>
      <c r="G16" s="87" t="n">
        <v>-4.68</v>
      </c>
      <c r="H16" s="87" t="n">
        <v>-3.67</v>
      </c>
      <c r="I16" s="88" t="n">
        <v>2.279030108815561</v>
      </c>
      <c r="J16" s="88" t="n">
        <v>47.89</v>
      </c>
      <c r="K16" s="73" t="n">
        <v>64.5</v>
      </c>
      <c r="L16" s="18" t="n">
        <v>0</v>
      </c>
      <c r="M16" s="19" t="n">
        <v>35.5</v>
      </c>
      <c r="N16" s="89" t="inlineStr">
        <is>
          <t>📈 Good</t>
        </is>
      </c>
      <c r="O16" s="89" t="inlineStr">
        <is>
          <t>🔴 Not Qualified</t>
        </is>
      </c>
      <c r="P16" s="89" t="inlineStr">
        <is>
          <t>🔴 Avoid</t>
        </is>
      </c>
      <c r="Q16" s="68" t="inlineStr">
        <is>
          <t>FULL</t>
        </is>
      </c>
    </row>
    <row r="17" ht="16" customHeight="1">
      <c r="A17" s="90" t="n">
        <v>13</v>
      </c>
      <c r="B17" s="91" t="inlineStr">
        <is>
          <t>HSBC Value Fund - Regular Growth</t>
        </is>
      </c>
      <c r="C17" s="91" t="inlineStr">
        <is>
          <t>HSBC Mutual Fund</t>
        </is>
      </c>
      <c r="D17" s="91" t="inlineStr">
        <is>
          <t>Value Fund</t>
        </is>
      </c>
      <c r="E17" s="92" t="n">
        <v>-3.62</v>
      </c>
      <c r="F17" s="92" t="n">
        <v>-0.28</v>
      </c>
      <c r="G17" s="92" t="n">
        <v>-3.96</v>
      </c>
      <c r="H17" s="92" t="n">
        <v>-2.71</v>
      </c>
      <c r="I17" s="93" t="n">
        <v>2.23013254417701</v>
      </c>
      <c r="J17" s="93" t="n">
        <v>66.76000000000001</v>
      </c>
      <c r="K17" s="73" t="n">
        <v>55.5</v>
      </c>
      <c r="L17" s="18" t="n">
        <v>0</v>
      </c>
      <c r="M17" s="19" t="n">
        <v>30.5</v>
      </c>
      <c r="N17" s="94" t="inlineStr">
        <is>
          <t>➡️ Neutral</t>
        </is>
      </c>
      <c r="O17" s="94" t="inlineStr">
        <is>
          <t>🔴 Not Qualified</t>
        </is>
      </c>
      <c r="P17" s="94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ITI Value Fund - Regular Plan - Growth Option</t>
        </is>
      </c>
      <c r="C18" s="86" t="inlineStr">
        <is>
          <t>ITI Mutual Fund</t>
        </is>
      </c>
      <c r="D18" s="86" t="inlineStr">
        <is>
          <t>Value Fund</t>
        </is>
      </c>
      <c r="E18" s="87" t="n">
        <v>-4.07</v>
      </c>
      <c r="F18" s="88" t="n">
        <v>1.09</v>
      </c>
      <c r="G18" s="87" t="n">
        <v>-4.58</v>
      </c>
      <c r="H18" s="87" t="n">
        <v>-2.7</v>
      </c>
      <c r="I18" s="87" t="n">
        <v>-1.278168574524507</v>
      </c>
      <c r="J18" s="88" t="n">
        <v>47.12</v>
      </c>
      <c r="K18" s="73" t="n">
        <v>53.7</v>
      </c>
      <c r="L18" s="18" t="n">
        <v>0</v>
      </c>
      <c r="M18" s="19" t="n">
        <v>29.5</v>
      </c>
      <c r="N18" s="89" t="inlineStr">
        <is>
          <t>➡️ Neutral</t>
        </is>
      </c>
      <c r="O18" s="89" t="inlineStr">
        <is>
          <t>🔴 Not Qualified</t>
        </is>
      </c>
      <c r="P18" s="89" t="inlineStr">
        <is>
          <t>🔴 Avoid</t>
        </is>
      </c>
      <c r="Q18" s="68" t="inlineStr">
        <is>
          <t>FULL</t>
        </is>
      </c>
    </row>
    <row r="19" ht="16" customHeight="1">
      <c r="A19" s="90" t="n">
        <v>15</v>
      </c>
      <c r="B19" s="91" t="inlineStr">
        <is>
          <t>Union Value Fund - Regular Plan - Growth Option</t>
        </is>
      </c>
      <c r="C19" s="91" t="inlineStr">
        <is>
          <t>Union Mutual Fund</t>
        </is>
      </c>
      <c r="D19" s="91" t="inlineStr">
        <is>
          <t>Value Fund</t>
        </is>
      </c>
      <c r="E19" s="92" t="n">
        <v>-3.06</v>
      </c>
      <c r="F19" s="92" t="n">
        <v>-0.29</v>
      </c>
      <c r="G19" s="92" t="n">
        <v>-5.91</v>
      </c>
      <c r="H19" s="92" t="n">
        <v>-3.06</v>
      </c>
      <c r="I19" s="93" t="n">
        <v>1.75460677532</v>
      </c>
      <c r="J19" s="93" t="n">
        <v>47.67</v>
      </c>
      <c r="K19" s="78" t="n">
        <v>48.1</v>
      </c>
      <c r="L19" s="18" t="n">
        <v>0</v>
      </c>
      <c r="M19" s="19" t="n">
        <v>26.5</v>
      </c>
      <c r="N19" s="94" t="inlineStr">
        <is>
          <t>➡️ Neutral</t>
        </is>
      </c>
      <c r="O19" s="94" t="inlineStr">
        <is>
          <t>🔴 Not Qualified</t>
        </is>
      </c>
      <c r="P19" s="94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Bandhan Value Fund - Regular Plan - Growth</t>
        </is>
      </c>
      <c r="C20" s="86" t="inlineStr">
        <is>
          <t>Bandhan Mutual Fund</t>
        </is>
      </c>
      <c r="D20" s="86" t="inlineStr">
        <is>
          <t>Value Fund</t>
        </is>
      </c>
      <c r="E20" s="87" t="n">
        <v>-3.08</v>
      </c>
      <c r="F20" s="87" t="n">
        <v>-0.77</v>
      </c>
      <c r="G20" s="87" t="n">
        <v>-7.44</v>
      </c>
      <c r="H20" s="87" t="n">
        <v>-5.16</v>
      </c>
      <c r="I20" s="87" t="n">
        <v>-0.7981855004657756</v>
      </c>
      <c r="J20" s="88" t="n">
        <v>40.16</v>
      </c>
      <c r="K20" s="78" t="n">
        <v>33.5</v>
      </c>
      <c r="L20" s="18" t="n">
        <v>0</v>
      </c>
      <c r="M20" s="19" t="n">
        <v>18.4</v>
      </c>
      <c r="N20" s="89" t="inlineStr">
        <is>
          <t>📉 Weak</t>
        </is>
      </c>
      <c r="O20" s="89" t="inlineStr">
        <is>
          <t>🔴 Not Qualified</t>
        </is>
      </c>
      <c r="P20" s="89" t="inlineStr">
        <is>
          <t>🔴 Avoid</t>
        </is>
      </c>
      <c r="Q20" s="68" t="inlineStr">
        <is>
          <t>FULL</t>
        </is>
      </c>
    </row>
    <row r="21" ht="16" customHeight="1">
      <c r="A21" s="90" t="n">
        <v>17</v>
      </c>
      <c r="B21" s="91" t="inlineStr">
        <is>
          <t>Canara Robeco Value Fund - Regular Plan - Growth Option</t>
        </is>
      </c>
      <c r="C21" s="91" t="inlineStr">
        <is>
          <t>Canara Robeco Mutual Fund</t>
        </is>
      </c>
      <c r="D21" s="91" t="inlineStr">
        <is>
          <t>Value Fund</t>
        </is>
      </c>
      <c r="E21" s="92" t="n">
        <v>-3.55</v>
      </c>
      <c r="F21" s="92" t="n">
        <v>-0.17</v>
      </c>
      <c r="G21" s="92" t="n">
        <v>-7.1</v>
      </c>
      <c r="H21" s="92" t="n">
        <v>-6.75</v>
      </c>
      <c r="I21" s="92" t="n">
        <v>-0.2302651101046549</v>
      </c>
      <c r="J21" s="93" t="n">
        <v>39.46</v>
      </c>
      <c r="K21" s="78" t="n">
        <v>32.1</v>
      </c>
      <c r="L21" s="18" t="n">
        <v>0</v>
      </c>
      <c r="M21" s="19" t="n">
        <v>17.7</v>
      </c>
      <c r="N21" s="94" t="inlineStr">
        <is>
          <t>📉 Weak</t>
        </is>
      </c>
      <c r="O21" s="94" t="inlineStr">
        <is>
          <t>🔴 Not Qualified</t>
        </is>
      </c>
      <c r="P21" s="94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Templeton India Value Fund - Growth Plan</t>
        </is>
      </c>
      <c r="C22" s="86" t="inlineStr">
        <is>
          <t>Franklin Templeton Mutual Fund</t>
        </is>
      </c>
      <c r="D22" s="86" t="inlineStr">
        <is>
          <t>Value Fund</t>
        </is>
      </c>
      <c r="E22" s="87" t="n">
        <v>-2.57</v>
      </c>
      <c r="F22" s="87" t="n">
        <v>-1.68</v>
      </c>
      <c r="G22" s="87" t="n">
        <v>-8.34</v>
      </c>
      <c r="H22" s="87" t="n">
        <v>-5.67</v>
      </c>
      <c r="I22" s="87" t="n">
        <v>-1.668926579641161</v>
      </c>
      <c r="J22" s="88" t="n">
        <v>42.06</v>
      </c>
      <c r="K22" s="78" t="n">
        <v>31.9</v>
      </c>
      <c r="L22" s="18" t="n">
        <v>0</v>
      </c>
      <c r="M22" s="19" t="n">
        <v>17.5</v>
      </c>
      <c r="N22" s="89" t="inlineStr">
        <is>
          <t>📉 Weak</t>
        </is>
      </c>
      <c r="O22" s="89" t="inlineStr">
        <is>
          <t>🔴 Not Qualified</t>
        </is>
      </c>
      <c r="P22" s="89" t="inlineStr">
        <is>
          <t>🔴 Avoid</t>
        </is>
      </c>
      <c r="Q22" s="68" t="inlineStr">
        <is>
          <t>FULL</t>
        </is>
      </c>
    </row>
    <row r="23" ht="16" customHeight="1">
      <c r="A23" s="90" t="n">
        <v>19</v>
      </c>
      <c r="B23" s="91" t="inlineStr">
        <is>
          <t>Baroda BNP Paribas Value Fund - Regular Plan - Growth option</t>
        </is>
      </c>
      <c r="C23" s="91" t="inlineStr">
        <is>
          <t>Baroda BNP Paribas Mutual Fund</t>
        </is>
      </c>
      <c r="D23" s="91" t="inlineStr">
        <is>
          <t>Value Fund</t>
        </is>
      </c>
      <c r="E23" s="92" t="n">
        <v>-3.78</v>
      </c>
      <c r="F23" s="92" t="n">
        <v>-0.99</v>
      </c>
      <c r="G23" s="92" t="n">
        <v>-6.28</v>
      </c>
      <c r="H23" s="92" t="n">
        <v>-5.1</v>
      </c>
      <c r="I23" s="92" t="n">
        <v>-2.491026054008749</v>
      </c>
      <c r="J23" s="93" t="n">
        <v>31.94</v>
      </c>
      <c r="K23" s="78" t="n">
        <v>31.5</v>
      </c>
      <c r="L23" s="18" t="n">
        <v>0</v>
      </c>
      <c r="M23" s="19" t="n">
        <v>17.3</v>
      </c>
      <c r="N23" s="94" t="inlineStr">
        <is>
          <t>📉 Weak</t>
        </is>
      </c>
      <c r="O23" s="94" t="inlineStr">
        <is>
          <t>🔴 Not Qualified</t>
        </is>
      </c>
      <c r="P23" s="94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Nippon India Value Fund- Growth Plan</t>
        </is>
      </c>
      <c r="C24" s="86" t="inlineStr">
        <is>
          <t>Nippon India Mutual Fund</t>
        </is>
      </c>
      <c r="D24" s="86" t="inlineStr">
        <is>
          <t>Value Fund</t>
        </is>
      </c>
      <c r="E24" s="87" t="n">
        <v>-4.21</v>
      </c>
      <c r="F24" s="87" t="n">
        <v>-0.22</v>
      </c>
      <c r="G24" s="87" t="n">
        <v>-7.18</v>
      </c>
      <c r="H24" s="87" t="n">
        <v>-5.2</v>
      </c>
      <c r="I24" s="88" t="n">
        <v>1.38047149229481</v>
      </c>
      <c r="J24" s="88" t="n">
        <v>59.86</v>
      </c>
      <c r="K24" s="78" t="n">
        <v>28.1</v>
      </c>
      <c r="L24" s="18" t="n">
        <v>0</v>
      </c>
      <c r="M24" s="19" t="n">
        <v>15.5</v>
      </c>
      <c r="N24" s="89" t="inlineStr">
        <is>
          <t>📉 Weak</t>
        </is>
      </c>
      <c r="O24" s="89" t="inlineStr">
        <is>
          <t>🔴 Not Qualified</t>
        </is>
      </c>
      <c r="P24" s="89" t="inlineStr">
        <is>
          <t>🔴 Avoid</t>
        </is>
      </c>
      <c r="Q24" s="68" t="inlineStr">
        <is>
          <t>FULL</t>
        </is>
      </c>
    </row>
    <row r="25" ht="16" customHeight="1">
      <c r="A25" s="90" t="n">
        <v>21</v>
      </c>
      <c r="B25" s="91" t="inlineStr">
        <is>
          <t>UTI Value Fund - Regular Plan - Growth Option</t>
        </is>
      </c>
      <c r="C25" s="91" t="inlineStr">
        <is>
          <t>UTI Mutual Fund</t>
        </is>
      </c>
      <c r="D25" s="91" t="inlineStr">
        <is>
          <t>Value Fund</t>
        </is>
      </c>
      <c r="E25" s="92" t="n">
        <v>-2.98</v>
      </c>
      <c r="F25" s="92" t="n">
        <v>-0.95</v>
      </c>
      <c r="G25" s="92" t="n">
        <v>-9.15</v>
      </c>
      <c r="H25" s="92" t="n">
        <v>-6.07</v>
      </c>
      <c r="I25" s="93" t="n">
        <v>1.720204482688681</v>
      </c>
      <c r="J25" s="93" t="n">
        <v>47.96</v>
      </c>
      <c r="K25" s="78" t="n">
        <v>26.9</v>
      </c>
      <c r="L25" s="18" t="n">
        <v>0</v>
      </c>
      <c r="M25" s="19" t="n">
        <v>14.8</v>
      </c>
      <c r="N25" s="94" t="inlineStr">
        <is>
          <t>📉 Weak</t>
        </is>
      </c>
      <c r="O25" s="94" t="inlineStr">
        <is>
          <t>🔴 Not Qualified</t>
        </is>
      </c>
      <c r="P25" s="94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ICICI Prudential Value Fund (erstwhile Value Discovery Fund) - Growth</t>
        </is>
      </c>
      <c r="C26" s="86" t="inlineStr">
        <is>
          <t>ICICI Prudential Mutual Fund</t>
        </is>
      </c>
      <c r="D26" s="86" t="inlineStr">
        <is>
          <t>Value Fund</t>
        </is>
      </c>
      <c r="E26" s="87" t="n">
        <v>-2.84</v>
      </c>
      <c r="F26" s="87" t="n">
        <v>-2.87</v>
      </c>
      <c r="G26" s="87" t="n">
        <v>-10.12</v>
      </c>
      <c r="H26" s="87" t="n">
        <v>-4.61</v>
      </c>
      <c r="I26" s="88" t="n">
        <v>3.788245962632963</v>
      </c>
      <c r="J26" s="88" t="n">
        <v>53.69</v>
      </c>
      <c r="K26" s="78" t="n">
        <v>23.5</v>
      </c>
      <c r="L26" s="18" t="n">
        <v>0</v>
      </c>
      <c r="M26" s="19" t="n">
        <v>12.9</v>
      </c>
      <c r="N26" s="89" t="inlineStr">
        <is>
          <t>📉 Weak</t>
        </is>
      </c>
      <c r="O26" s="89" t="inlineStr">
        <is>
          <t>🔴 Not Qualified</t>
        </is>
      </c>
      <c r="P26" s="89" t="inlineStr">
        <is>
          <t>🔴 Avoid</t>
        </is>
      </c>
      <c r="Q26" s="68" t="inlineStr">
        <is>
          <t>FULL</t>
        </is>
      </c>
    </row>
    <row r="27" ht="16" customHeight="1">
      <c r="A27" s="90" t="n">
        <v>23</v>
      </c>
      <c r="B27" s="91" t="inlineStr">
        <is>
          <t>JM Value Fund (Regular) - Growth Option</t>
        </is>
      </c>
      <c r="C27" s="91" t="inlineStr">
        <is>
          <t>JM Financial Mutual Fund</t>
        </is>
      </c>
      <c r="D27" s="91" t="inlineStr">
        <is>
          <t>Value Fund</t>
        </is>
      </c>
      <c r="E27" s="92" t="n">
        <v>-4.64</v>
      </c>
      <c r="F27" s="93" t="n">
        <v>2.16</v>
      </c>
      <c r="G27" s="92" t="n">
        <v>-7.68</v>
      </c>
      <c r="H27" s="92" t="n">
        <v>-10.93</v>
      </c>
      <c r="I27" s="92" t="n">
        <v>-4.496073379153676</v>
      </c>
      <c r="J27" s="93" t="n">
        <v>47.79</v>
      </c>
      <c r="K27" s="78" t="n">
        <v>20.9</v>
      </c>
      <c r="L27" s="18" t="n">
        <v>0</v>
      </c>
      <c r="M27" s="19" t="n">
        <v>11.5</v>
      </c>
      <c r="N27" s="94" t="inlineStr">
        <is>
          <t>📉 Weak</t>
        </is>
      </c>
      <c r="O27" s="94" t="inlineStr">
        <is>
          <t>🔴 Not Qualified</t>
        </is>
      </c>
      <c r="P27" s="94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Quantum Value Fund - Regular Plan Growth Option</t>
        </is>
      </c>
      <c r="C28" s="86" t="inlineStr">
        <is>
          <t>Quantum Mutual Fund</t>
        </is>
      </c>
      <c r="D28" s="86" t="inlineStr">
        <is>
          <t>Value Fund</t>
        </is>
      </c>
      <c r="E28" s="87" t="n">
        <v>-3.16</v>
      </c>
      <c r="F28" s="87" t="n">
        <v>-1.52</v>
      </c>
      <c r="G28" s="87" t="n">
        <v>-10.16</v>
      </c>
      <c r="H28" s="87" t="n">
        <v>-9.48</v>
      </c>
      <c r="I28" s="87" t="n">
        <v>-1.08084108727976</v>
      </c>
      <c r="J28" s="88" t="n">
        <v>39.37</v>
      </c>
      <c r="K28" s="78" t="n">
        <v>15.9</v>
      </c>
      <c r="L28" s="18" t="n">
        <v>0</v>
      </c>
      <c r="M28" s="19" t="n">
        <v>8.699999999999999</v>
      </c>
      <c r="N28" s="89" t="inlineStr">
        <is>
          <t>📉 Weak</t>
        </is>
      </c>
      <c r="O28" s="89" t="inlineStr">
        <is>
          <t>🔴 Not Qualified</t>
        </is>
      </c>
      <c r="P28" s="89" t="inlineStr">
        <is>
          <t>🔴 Avoid</t>
        </is>
      </c>
      <c r="Q28" s="68" t="inlineStr">
        <is>
          <t>FULL</t>
        </is>
      </c>
    </row>
    <row r="29" ht="16" customHeight="1">
      <c r="A29" s="90" t="n">
        <v>25</v>
      </c>
      <c r="B29" s="91" t="inlineStr">
        <is>
          <t>Tata Value Fund - Regular Plan -Growth Option</t>
        </is>
      </c>
      <c r="C29" s="91" t="inlineStr">
        <is>
          <t>Tata Mutual Fund</t>
        </is>
      </c>
      <c r="D29" s="91" t="inlineStr">
        <is>
          <t>Value Fund</t>
        </is>
      </c>
      <c r="E29" s="92" t="n">
        <v>-3.96</v>
      </c>
      <c r="F29" s="92" t="n">
        <v>-2.96</v>
      </c>
      <c r="G29" s="92" t="n">
        <v>-8.35</v>
      </c>
      <c r="H29" s="92" t="n">
        <v>-6.32</v>
      </c>
      <c r="I29" s="92" t="n">
        <v>-1.096006147375428</v>
      </c>
      <c r="J29" s="93" t="n">
        <v>46.53</v>
      </c>
      <c r="K29" s="78" t="n">
        <v>15.1</v>
      </c>
      <c r="L29" s="18" t="n">
        <v>0</v>
      </c>
      <c r="M29" s="19" t="n">
        <v>8.300000000000001</v>
      </c>
      <c r="N29" s="94" t="inlineStr">
        <is>
          <t>📉 Weak</t>
        </is>
      </c>
      <c r="O29" s="94" t="inlineStr">
        <is>
          <t>🔴 Not Qualified</t>
        </is>
      </c>
      <c r="P29" s="94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Sundaram Value Fund Regular Plan - Growth</t>
        </is>
      </c>
      <c r="C30" s="86" t="inlineStr">
        <is>
          <t>Sundaram Mutual Fund</t>
        </is>
      </c>
      <c r="D30" s="86" t="inlineStr">
        <is>
          <t>Value Fund</t>
        </is>
      </c>
      <c r="E30" s="87" t="n">
        <v>-3.7</v>
      </c>
      <c r="F30" s="87" t="n">
        <v>-3.26</v>
      </c>
      <c r="G30" s="87" t="n">
        <v>-10.76</v>
      </c>
      <c r="H30" s="87" t="n">
        <v>-8.140000000000001</v>
      </c>
      <c r="I30" s="87" t="n">
        <v>-0.9091326105175379</v>
      </c>
      <c r="J30" s="88" t="n">
        <v>25.84</v>
      </c>
      <c r="K30" s="78" t="n">
        <v>9.5</v>
      </c>
      <c r="L30" s="18" t="n">
        <v>0</v>
      </c>
      <c r="M30" s="19" t="n">
        <v>5.2</v>
      </c>
      <c r="N30" s="89" t="inlineStr">
        <is>
          <t>📉 Weak</t>
        </is>
      </c>
      <c r="O30" s="89" t="inlineStr">
        <is>
          <t>🔴 Not Qualified</t>
        </is>
      </c>
      <c r="P30" s="89" t="inlineStr">
        <is>
          <t>🔴 Avoid</t>
        </is>
      </c>
      <c r="Q30" s="68" t="inlineStr">
        <is>
          <t>FULL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6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"&amp;(COUNTA($B:$B)-4)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5" t="inlineStr">
        <is>
          <t>Sectoral/ Thematic</t>
        </is>
      </c>
      <c r="F5" s="66" t="n">
        <v>-1.6</v>
      </c>
      <c r="G5" s="67" t="n">
        <v>47.46</v>
      </c>
      <c r="H5" s="67" t="n">
        <v>95.56</v>
      </c>
      <c r="I5" s="67" t="n">
        <v>191.16</v>
      </c>
      <c r="J5" s="67" t="n">
        <v>81.12702724883441</v>
      </c>
      <c r="K5" s="67" t="n">
        <v>310.19</v>
      </c>
      <c r="L5" s="17" t="n">
        <v>98.40000000000001</v>
      </c>
      <c r="M5" s="24" t="n">
        <v>100</v>
      </c>
      <c r="N5" s="23" t="n">
        <v>99.09999999999999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20" t="inlineStr">
        <is>
          <t>🔥 Hot</t>
        </is>
      </c>
      <c r="S5" s="20" t="inlineStr">
        <is>
          <t>🏆 Elite</t>
        </is>
      </c>
      <c r="T5" s="20" t="inlineStr">
        <is>
          <t>🚀 Strong Conviction</t>
        </is>
      </c>
      <c r="U5" s="68" t="inlineStr">
        <is>
          <t>FULL</t>
        </is>
      </c>
    </row>
    <row r="6" ht="16" customHeight="1">
      <c r="A6" s="69" t="n">
        <v>2</v>
      </c>
      <c r="B6" s="70" t="inlineStr">
        <is>
          <t>HSBC Midcap Fund - Regular Growth</t>
        </is>
      </c>
      <c r="C6" s="70" t="inlineStr">
        <is>
          <t>HSBC Mutual Fund</t>
        </is>
      </c>
      <c r="D6" s="70" t="inlineStr">
        <is>
          <t>Mid Cap Fund</t>
        </is>
      </c>
      <c r="E6" s="70" t="inlineStr">
        <is>
          <t>Mid Cap Fund</t>
        </is>
      </c>
      <c r="F6" s="71" t="n">
        <v>-0.49</v>
      </c>
      <c r="G6" s="72" t="n">
        <v>12.92</v>
      </c>
      <c r="H6" s="72" t="n">
        <v>7.94</v>
      </c>
      <c r="I6" s="72" t="n">
        <v>11.36</v>
      </c>
      <c r="J6" s="72" t="n">
        <v>10.66164647247936</v>
      </c>
      <c r="K6" s="72" t="n">
        <v>95.65000000000001</v>
      </c>
      <c r="L6" s="17" t="n">
        <v>100</v>
      </c>
      <c r="M6" s="22" t="n">
        <v>70</v>
      </c>
      <c r="N6" s="23" t="n">
        <v>86.5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28" t="inlineStr">
        <is>
          <t>🔥 Hot</t>
        </is>
      </c>
      <c r="S6" s="28" t="inlineStr">
        <is>
          <t>🏛️ Solid</t>
        </is>
      </c>
      <c r="T6" s="28" t="inlineStr">
        <is>
          <t>⭐ Strong Buy</t>
        </is>
      </c>
      <c r="U6" s="68" t="inlineStr">
        <is>
          <t>FULL</t>
        </is>
      </c>
    </row>
    <row r="7" ht="16" customHeight="1">
      <c r="A7" s="74" t="n">
        <v>3</v>
      </c>
      <c r="B7" s="75" t="inlineStr">
        <is>
          <t>Franklin Asian Equity Fund - Growth Plan</t>
        </is>
      </c>
      <c r="C7" s="75" t="inlineStr">
        <is>
          <t>Franklin Templeton Mutual Fund</t>
        </is>
      </c>
      <c r="D7" s="75" t="inlineStr">
        <is>
          <t>Sectoral/ Thematic</t>
        </is>
      </c>
      <c r="E7" s="75" t="inlineStr">
        <is>
          <t>Sectoral/ Thematic</t>
        </is>
      </c>
      <c r="F7" s="76" t="n">
        <v>-1.31</v>
      </c>
      <c r="G7" s="77" t="n">
        <v>15</v>
      </c>
      <c r="H7" s="77" t="n">
        <v>22.08</v>
      </c>
      <c r="I7" s="77" t="n">
        <v>43.26</v>
      </c>
      <c r="J7" s="77" t="n">
        <v>27.32242536175629</v>
      </c>
      <c r="K7" s="77" t="n">
        <v>68.17</v>
      </c>
      <c r="L7" s="17" t="n">
        <v>98.7</v>
      </c>
      <c r="M7" s="22" t="n">
        <v>68.09999999999999</v>
      </c>
      <c r="N7" s="23" t="n">
        <v>84.90000000000001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79" t="inlineStr">
        <is>
          <t>🔥 Hot</t>
        </is>
      </c>
      <c r="S7" s="79" t="inlineStr">
        <is>
          <t>🏛️ Solid</t>
        </is>
      </c>
      <c r="T7" s="79" t="inlineStr">
        <is>
          <t>⭐ Strong Buy</t>
        </is>
      </c>
      <c r="U7" s="68" t="inlineStr">
        <is>
          <t>FULL</t>
        </is>
      </c>
    </row>
    <row r="8" ht="16" customHeight="1">
      <c r="A8" s="106" t="n">
        <v>4</v>
      </c>
      <c r="B8" s="107" t="inlineStr">
        <is>
          <t>UTI Healthcare Fund - Regular Plan - Growth Option</t>
        </is>
      </c>
      <c r="C8" s="107" t="inlineStr">
        <is>
          <t>UTI Mutual Fund</t>
        </is>
      </c>
      <c r="D8" s="107" t="inlineStr">
        <is>
          <t>Sectoral/ Thematic</t>
        </is>
      </c>
      <c r="E8" s="107" t="inlineStr">
        <is>
          <t>Sectoral/ Thematic</t>
        </is>
      </c>
      <c r="F8" s="108" t="n">
        <v>1.88</v>
      </c>
      <c r="G8" s="108" t="n">
        <v>10.16</v>
      </c>
      <c r="H8" s="108" t="n">
        <v>8.140000000000001</v>
      </c>
      <c r="I8" s="108" t="n">
        <v>10.16</v>
      </c>
      <c r="J8" s="108" t="n">
        <v>15.43396380615196</v>
      </c>
      <c r="K8" s="108" t="n">
        <v>101.02</v>
      </c>
      <c r="L8" s="17" t="n">
        <v>95.3</v>
      </c>
      <c r="M8" s="22" t="n">
        <v>60.8</v>
      </c>
      <c r="N8" s="23" t="n">
        <v>79.8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🏛️ Solid</t>
        </is>
      </c>
      <c r="T8" s="109" t="inlineStr">
        <is>
          <t>⭐ Strong Buy</t>
        </is>
      </c>
      <c r="U8" s="68" t="inlineStr">
        <is>
          <t>FULL</t>
        </is>
      </c>
    </row>
    <row r="9" ht="16" customHeight="1">
      <c r="A9" s="106" t="n">
        <v>5</v>
      </c>
      <c r="B9" s="107" t="inlineStr">
        <is>
          <t>SBI HEALTHCARE OPPORTUNITIES FUND - REGULAR PLAN -GROWTH</t>
        </is>
      </c>
      <c r="C9" s="107" t="inlineStr">
        <is>
          <t>SBI Mutual Fund</t>
        </is>
      </c>
      <c r="D9" s="107" t="inlineStr">
        <is>
          <t>Sectoral/ Thematic</t>
        </is>
      </c>
      <c r="E9" s="107" t="inlineStr">
        <is>
          <t>Sectoral/ Thematic</t>
        </is>
      </c>
      <c r="F9" s="108" t="n">
        <v>1.36</v>
      </c>
      <c r="G9" s="108" t="n">
        <v>9.75</v>
      </c>
      <c r="H9" s="108" t="n">
        <v>10.12</v>
      </c>
      <c r="I9" s="108" t="n">
        <v>9.9</v>
      </c>
      <c r="J9" s="108" t="n">
        <v>15.19548602267364</v>
      </c>
      <c r="K9" s="108" t="n">
        <v>94.59</v>
      </c>
      <c r="L9" s="17" t="n">
        <v>98.5</v>
      </c>
      <c r="M9" s="22" t="n">
        <v>53.1</v>
      </c>
      <c r="N9" s="23" t="n">
        <v>78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🔥 Hot</t>
        </is>
      </c>
      <c r="S9" s="109" t="inlineStr">
        <is>
          <t>➡️ Average</t>
        </is>
      </c>
      <c r="T9" s="109" t="inlineStr">
        <is>
          <t>⭐ Strong Buy</t>
        </is>
      </c>
      <c r="U9" s="68" t="inlineStr">
        <is>
          <t>FULL</t>
        </is>
      </c>
    </row>
    <row r="10" ht="16" customHeight="1">
      <c r="A10" s="106" t="n">
        <v>6</v>
      </c>
      <c r="B10" s="107" t="inlineStr">
        <is>
          <t>Mirae Asset Healthcare Fund -Regular Growth</t>
        </is>
      </c>
      <c r="C10" s="107" t="inlineStr">
        <is>
          <t>Mirae Asset Mutual Fund</t>
        </is>
      </c>
      <c r="D10" s="107" t="inlineStr">
        <is>
          <t>Sectoral/ Thematic</t>
        </is>
      </c>
      <c r="E10" s="107" t="inlineStr">
        <is>
          <t>Sectoral/ Thematic</t>
        </is>
      </c>
      <c r="F10" s="108" t="n">
        <v>0.2</v>
      </c>
      <c r="G10" s="108" t="n">
        <v>6.92</v>
      </c>
      <c r="H10" s="108" t="n">
        <v>9.9</v>
      </c>
      <c r="I10" s="108" t="n">
        <v>11.95</v>
      </c>
      <c r="J10" s="108" t="n">
        <v>14.03946685248927</v>
      </c>
      <c r="K10" s="108" t="n">
        <v>93.7</v>
      </c>
      <c r="L10" s="17" t="n">
        <v>95.09999999999999</v>
      </c>
      <c r="M10" s="22" t="n">
        <v>55</v>
      </c>
      <c r="N10" s="23" t="n">
        <v>77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🔥 Hot</t>
        </is>
      </c>
      <c r="S10" s="109" t="inlineStr">
        <is>
          <t>➡️ Average</t>
        </is>
      </c>
      <c r="T10" s="109" t="inlineStr">
        <is>
          <t>⭐ Strong Buy</t>
        </is>
      </c>
      <c r="U10" s="68" t="inlineStr">
        <is>
          <t>FULL</t>
        </is>
      </c>
    </row>
    <row r="11" ht="16" customHeight="1">
      <c r="A11" s="106" t="n">
        <v>7</v>
      </c>
      <c r="B11" s="107" t="inlineStr">
        <is>
          <t>Nippon India Japan Equity Fund- Growth Plan- Bonus Option</t>
        </is>
      </c>
      <c r="C11" s="107" t="inlineStr">
        <is>
          <t>Nippon India Mutual Fund</t>
        </is>
      </c>
      <c r="D11" s="107" t="inlineStr">
        <is>
          <t>Sectoral/ Thematic</t>
        </is>
      </c>
      <c r="E11" s="107" t="inlineStr">
        <is>
          <t>Sectoral/ Thematic</t>
        </is>
      </c>
      <c r="F11" s="110" t="n">
        <v>-0.02</v>
      </c>
      <c r="G11" s="108" t="n">
        <v>9.800000000000001</v>
      </c>
      <c r="H11" s="108" t="n">
        <v>16.99</v>
      </c>
      <c r="I11" s="108" t="n">
        <v>32.42</v>
      </c>
      <c r="J11" s="108" t="n">
        <v>22.12698309546504</v>
      </c>
      <c r="K11" s="108" t="n">
        <v>64.43000000000001</v>
      </c>
      <c r="L11" s="17" t="n">
        <v>99.59999999999999</v>
      </c>
      <c r="M11" s="18" t="n">
        <v>46.9</v>
      </c>
      <c r="N11" s="23" t="n">
        <v>75.90000000000001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🔥 Hot</t>
        </is>
      </c>
      <c r="S11" s="109" t="inlineStr">
        <is>
          <t>➡️ Average</t>
        </is>
      </c>
      <c r="T11" s="109" t="inlineStr">
        <is>
          <t>⭐ Strong Buy</t>
        </is>
      </c>
      <c r="U11" s="68" t="inlineStr">
        <is>
          <t>FULL</t>
        </is>
      </c>
    </row>
    <row r="12" ht="16" customHeight="1">
      <c r="A12" s="106" t="n">
        <v>8</v>
      </c>
      <c r="B12" s="107" t="inlineStr">
        <is>
          <t>Nippon India Japan Equity Fund- Growth Plan- Growth Option</t>
        </is>
      </c>
      <c r="C12" s="107" t="inlineStr">
        <is>
          <t>Nippon India Mutual Fund</t>
        </is>
      </c>
      <c r="D12" s="107" t="inlineStr">
        <is>
          <t>Sectoral/ Thematic</t>
        </is>
      </c>
      <c r="E12" s="107" t="inlineStr">
        <is>
          <t>Sectoral/ Thematic</t>
        </is>
      </c>
      <c r="F12" s="110" t="n">
        <v>-0.02</v>
      </c>
      <c r="G12" s="108" t="n">
        <v>9.800000000000001</v>
      </c>
      <c r="H12" s="108" t="n">
        <v>16.99</v>
      </c>
      <c r="I12" s="108" t="n">
        <v>32.42</v>
      </c>
      <c r="J12" s="108" t="n">
        <v>22.12698309546504</v>
      </c>
      <c r="K12" s="108" t="n">
        <v>64.43000000000001</v>
      </c>
      <c r="L12" s="17" t="n">
        <v>99.59999999999999</v>
      </c>
      <c r="M12" s="18" t="n">
        <v>46.9</v>
      </c>
      <c r="N12" s="23" t="n">
        <v>75.90000000000001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🔥 Hot</t>
        </is>
      </c>
      <c r="S12" s="109" t="inlineStr">
        <is>
          <t>➡️ Average</t>
        </is>
      </c>
      <c r="T12" s="109" t="inlineStr">
        <is>
          <t>⭐ Strong Buy</t>
        </is>
      </c>
      <c r="U12" s="68" t="inlineStr">
        <is>
          <t>FULL</t>
        </is>
      </c>
    </row>
    <row r="13" ht="16" customHeight="1">
      <c r="A13" s="106" t="n">
        <v>9</v>
      </c>
      <c r="B13" s="107" t="inlineStr">
        <is>
          <t>Aditya Birla Sun Life International Equity Fund - Growth - Regular Plan</t>
        </is>
      </c>
      <c r="C13" s="107" t="inlineStr">
        <is>
          <t>Aditya Birla Sun Life Mutual Fund</t>
        </is>
      </c>
      <c r="D13" s="107" t="inlineStr">
        <is>
          <t>Sectoral/ Thematic</t>
        </is>
      </c>
      <c r="E13" s="107" t="inlineStr">
        <is>
          <t>Sectoral/ Thematic</t>
        </is>
      </c>
      <c r="F13" s="110" t="n">
        <v>-2.54</v>
      </c>
      <c r="G13" s="108" t="n">
        <v>9.65</v>
      </c>
      <c r="H13" s="108" t="n">
        <v>9.1</v>
      </c>
      <c r="I13" s="108" t="n">
        <v>25.86</v>
      </c>
      <c r="J13" s="108" t="n">
        <v>24.20547491958638</v>
      </c>
      <c r="K13" s="108" t="n">
        <v>65.16</v>
      </c>
      <c r="L13" s="17" t="n">
        <v>86.59999999999999</v>
      </c>
      <c r="M13" s="22" t="n">
        <v>56.5</v>
      </c>
      <c r="N13" s="21" t="n">
        <v>73.09999999999999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⭐ Strong</t>
        </is>
      </c>
      <c r="S13" s="109" t="inlineStr">
        <is>
          <t>➡️ Average</t>
        </is>
      </c>
      <c r="T13" s="109" t="inlineStr">
        <is>
          <t>📈 Momentum Play</t>
        </is>
      </c>
      <c r="U13" s="68" t="inlineStr">
        <is>
          <t>FULL</t>
        </is>
      </c>
    </row>
    <row r="14" ht="16" customHeight="1">
      <c r="A14" s="106" t="n">
        <v>10</v>
      </c>
      <c r="B14" s="107" t="inlineStr">
        <is>
          <t>HDFC Defence Fund - Growth Option</t>
        </is>
      </c>
      <c r="C14" s="107" t="inlineStr">
        <is>
          <t>HDFC Mutual Fund</t>
        </is>
      </c>
      <c r="D14" s="107" t="inlineStr">
        <is>
          <t>Sectoral/ Thematic</t>
        </is>
      </c>
      <c r="E14" s="107" t="inlineStr">
        <is>
          <t>Sectoral/ Thematic</t>
        </is>
      </c>
      <c r="F14" s="110" t="n">
        <v>-1.93</v>
      </c>
      <c r="G14" s="108" t="n">
        <v>10.18</v>
      </c>
      <c r="H14" s="108" t="n">
        <v>18.8</v>
      </c>
      <c r="I14" s="108" t="n">
        <v>5.32</v>
      </c>
      <c r="J14" s="108" t="n">
        <v>12.73420066687836</v>
      </c>
      <c r="K14" s="108" t="n">
        <v>169.06</v>
      </c>
      <c r="L14" s="17" t="n">
        <v>90.09999999999999</v>
      </c>
      <c r="M14" s="22" t="n">
        <v>50.4</v>
      </c>
      <c r="N14" s="21" t="n">
        <v>72.2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🔥 Hot</t>
        </is>
      </c>
      <c r="S14" s="109" t="inlineStr">
        <is>
          <t>➡️ Average</t>
        </is>
      </c>
      <c r="T14" s="109" t="inlineStr">
        <is>
          <t>📈 Momentum Play</t>
        </is>
      </c>
      <c r="U14" s="68" t="inlineStr">
        <is>
          <t>FULL</t>
        </is>
      </c>
    </row>
    <row r="15" ht="16" customHeight="1">
      <c r="A15" s="90" t="n">
        <v>11</v>
      </c>
      <c r="B15" s="91" t="inlineStr">
        <is>
          <t>ICICI Prudential Pharma Healthcare and Diagnostics (P.H.D) Fund - Cumulative Option</t>
        </is>
      </c>
      <c r="C15" s="91" t="inlineStr">
        <is>
          <t>ICICI Prudential Mutual Fund</t>
        </is>
      </c>
      <c r="D15" s="91" t="inlineStr">
        <is>
          <t>Sectoral/ Thematic</t>
        </is>
      </c>
      <c r="E15" s="91" t="inlineStr">
        <is>
          <t>Sectoral/ Thematic</t>
        </is>
      </c>
      <c r="F15" s="92" t="n">
        <v>-0.89</v>
      </c>
      <c r="G15" s="93" t="n">
        <v>7.74</v>
      </c>
      <c r="H15" s="93" t="n">
        <v>2.74</v>
      </c>
      <c r="I15" s="93" t="n">
        <v>4.7</v>
      </c>
      <c r="J15" s="93" t="n">
        <v>13.64858116140297</v>
      </c>
      <c r="K15" s="93" t="n">
        <v>102.21</v>
      </c>
      <c r="L15" s="17" t="n">
        <v>81.2</v>
      </c>
      <c r="M15" s="18" t="n">
        <v>49.6</v>
      </c>
      <c r="N15" s="21" t="n">
        <v>67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94" t="inlineStr">
        <is>
          <t>⭐ Strong</t>
        </is>
      </c>
      <c r="S15" s="94" t="inlineStr">
        <is>
          <t>➡️ Average</t>
        </is>
      </c>
      <c r="T15" s="94" t="inlineStr">
        <is>
          <t>📈 Momentum Play</t>
        </is>
      </c>
      <c r="U15" s="68" t="inlineStr">
        <is>
          <t>FULL</t>
        </is>
      </c>
    </row>
    <row r="16" ht="16" customHeight="1">
      <c r="A16" s="85" t="n">
        <v>12</v>
      </c>
      <c r="B16" s="86" t="inlineStr">
        <is>
          <t>Aditya Birla Sun Life Pharma and Healthcare Fund-Regular-Growth</t>
        </is>
      </c>
      <c r="C16" s="86" t="inlineStr">
        <is>
          <t>Aditya Birla Sun Life Mutual Fund</t>
        </is>
      </c>
      <c r="D16" s="86" t="inlineStr">
        <is>
          <t>Sectoral/ Thematic</t>
        </is>
      </c>
      <c r="E16" s="86" t="inlineStr">
        <is>
          <t>Sectoral/ Thematic</t>
        </is>
      </c>
      <c r="F16" s="88" t="n">
        <v>0.21</v>
      </c>
      <c r="G16" s="88" t="n">
        <v>6.95</v>
      </c>
      <c r="H16" s="88" t="n">
        <v>8.58</v>
      </c>
      <c r="I16" s="88" t="n">
        <v>10.3</v>
      </c>
      <c r="J16" s="88" t="n">
        <v>10.66616465749592</v>
      </c>
      <c r="K16" s="88" t="n">
        <v>87.91</v>
      </c>
      <c r="L16" s="17" t="n">
        <v>93.7</v>
      </c>
      <c r="M16" s="18" t="n">
        <v>33.8</v>
      </c>
      <c r="N16" s="21" t="n">
        <v>66.8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89" t="inlineStr">
        <is>
          <t>🔥 Hot</t>
        </is>
      </c>
      <c r="S16" s="89" t="inlineStr">
        <is>
          <t>⚠️ Below Avg</t>
        </is>
      </c>
      <c r="T16" s="89" t="inlineStr">
        <is>
          <t>📈 Momentum Play</t>
        </is>
      </c>
      <c r="U16" s="68" t="inlineStr">
        <is>
          <t>FULL</t>
        </is>
      </c>
    </row>
    <row r="17" ht="16" customHeight="1">
      <c r="A17" s="90" t="n">
        <v>13</v>
      </c>
      <c r="B17" s="91" t="inlineStr">
        <is>
          <t>WhiteOak Capital Mid Cap Fund Regular Plan Growth</t>
        </is>
      </c>
      <c r="C17" s="91" t="inlineStr">
        <is>
          <t>WhiteOak Capital Mutual Fund</t>
        </is>
      </c>
      <c r="D17" s="91" t="inlineStr">
        <is>
          <t>Mid Cap Fund</t>
        </is>
      </c>
      <c r="E17" s="91" t="inlineStr">
        <is>
          <t>Mid Cap Fund</t>
        </is>
      </c>
      <c r="F17" s="92" t="n">
        <v>-1.77</v>
      </c>
      <c r="G17" s="93" t="n">
        <v>8.15</v>
      </c>
      <c r="H17" s="93" t="n">
        <v>0.23</v>
      </c>
      <c r="I17" s="93" t="n">
        <v>5.57</v>
      </c>
      <c r="J17" s="93" t="n">
        <v>10.94142598686929</v>
      </c>
      <c r="K17" s="93" t="n">
        <v>84.34</v>
      </c>
      <c r="L17" s="17" t="n">
        <v>83.8</v>
      </c>
      <c r="M17" s="18" t="n">
        <v>42.5</v>
      </c>
      <c r="N17" s="21" t="n">
        <v>65.2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94" t="inlineStr">
        <is>
          <t>⭐ Strong</t>
        </is>
      </c>
      <c r="S17" s="94" t="inlineStr">
        <is>
          <t>➡️ Average</t>
        </is>
      </c>
      <c r="T17" s="94" t="inlineStr">
        <is>
          <t>📈 Momentum Play</t>
        </is>
      </c>
      <c r="U17" s="68" t="inlineStr">
        <is>
          <t>FULL</t>
        </is>
      </c>
    </row>
    <row r="18" ht="16" customHeight="1">
      <c r="A18" s="85" t="n">
        <v>14</v>
      </c>
      <c r="B18" s="86" t="inlineStr">
        <is>
          <t>DSP Healthcare Fund - Regular Plan - Growth</t>
        </is>
      </c>
      <c r="C18" s="86" t="inlineStr">
        <is>
          <t>DSP Mutual Fund</t>
        </is>
      </c>
      <c r="D18" s="86" t="inlineStr">
        <is>
          <t>Sectoral/ Thematic</t>
        </is>
      </c>
      <c r="E18" s="86" t="inlineStr">
        <is>
          <t>Sectoral/ Thematic</t>
        </is>
      </c>
      <c r="F18" s="88" t="n">
        <v>3.71</v>
      </c>
      <c r="G18" s="88" t="n">
        <v>12.25</v>
      </c>
      <c r="H18" s="88" t="n">
        <v>5.44</v>
      </c>
      <c r="I18" s="88" t="n">
        <v>7.51</v>
      </c>
      <c r="J18" s="88" t="n">
        <v>11.86152153444007</v>
      </c>
      <c r="K18" s="88" t="n">
        <v>82.90000000000001</v>
      </c>
      <c r="L18" s="17" t="n">
        <v>93.8</v>
      </c>
      <c r="M18" s="18" t="n">
        <v>29.2</v>
      </c>
      <c r="N18" s="21" t="n">
        <v>64.7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89" t="inlineStr">
        <is>
          <t>🔥 Hot</t>
        </is>
      </c>
      <c r="S18" s="89" t="inlineStr">
        <is>
          <t>⚠️ Below Avg</t>
        </is>
      </c>
      <c r="T18" s="89" t="inlineStr">
        <is>
          <t>📈 Momentum Play</t>
        </is>
      </c>
      <c r="U18" s="68" t="inlineStr">
        <is>
          <t>FULL</t>
        </is>
      </c>
    </row>
    <row r="19" ht="16" customHeight="1">
      <c r="A19" s="90" t="n">
        <v>15</v>
      </c>
      <c r="B19" s="91" t="inlineStr">
        <is>
          <t>ICICI Prudential US Bluechip Equity Fund - Growth</t>
        </is>
      </c>
      <c r="C19" s="91" t="inlineStr">
        <is>
          <t>ICICI Prudential Mutual Fund</t>
        </is>
      </c>
      <c r="D19" s="91" t="inlineStr">
        <is>
          <t>Sectoral/ Thematic</t>
        </is>
      </c>
      <c r="E19" s="91" t="inlineStr">
        <is>
          <t>Sectoral/ Thematic</t>
        </is>
      </c>
      <c r="F19" s="93" t="n">
        <v>0.92</v>
      </c>
      <c r="G19" s="93" t="n">
        <v>3.87</v>
      </c>
      <c r="H19" s="93" t="n">
        <v>0.6</v>
      </c>
      <c r="I19" s="93" t="n">
        <v>17.44</v>
      </c>
      <c r="J19" s="93" t="n">
        <v>12.88932633336069</v>
      </c>
      <c r="K19" s="93" t="n">
        <v>44.26</v>
      </c>
      <c r="L19" s="17" t="n">
        <v>82.09999999999999</v>
      </c>
      <c r="M19" s="18" t="n">
        <v>24.6</v>
      </c>
      <c r="N19" s="21" t="n">
        <v>56.3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94" t="inlineStr">
        <is>
          <t>⭐ Strong</t>
        </is>
      </c>
      <c r="S19" s="94" t="inlineStr">
        <is>
          <t>⚠️ Below Avg</t>
        </is>
      </c>
      <c r="T19" s="94" t="inlineStr">
        <is>
          <t>✅ Buy</t>
        </is>
      </c>
      <c r="U19" s="68" t="inlineStr">
        <is>
          <t>FULL</t>
        </is>
      </c>
    </row>
    <row r="20" ht="16" customHeight="1">
      <c r="A20" s="85" t="n">
        <v>16</v>
      </c>
      <c r="B20" s="86" t="inlineStr">
        <is>
          <t>quant Large Cap Fund - Growth Option - Regular Plan</t>
        </is>
      </c>
      <c r="C20" s="86" t="inlineStr">
        <is>
          <t>quant Mutual Fund</t>
        </is>
      </c>
      <c r="D20" s="86" t="inlineStr">
        <is>
          <t>Large Cap Fund</t>
        </is>
      </c>
      <c r="E20" s="86" t="inlineStr">
        <is>
          <t>Large Cap Fund</t>
        </is>
      </c>
      <c r="F20" s="88" t="n">
        <v>1.82</v>
      </c>
      <c r="G20" s="88" t="n">
        <v>7.73</v>
      </c>
      <c r="H20" s="87" t="n">
        <v>-0.87</v>
      </c>
      <c r="I20" s="88" t="n">
        <v>1.7</v>
      </c>
      <c r="J20" s="87" t="n">
        <v>-0.1551203115552902</v>
      </c>
      <c r="K20" s="88" t="n">
        <v>51.06</v>
      </c>
      <c r="L20" s="17" t="n">
        <v>100</v>
      </c>
      <c r="M20" s="18" t="n">
        <v>0</v>
      </c>
      <c r="N20" s="21" t="n">
        <v>55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89" t="inlineStr">
        <is>
          <t>🔥 Hot</t>
        </is>
      </c>
      <c r="S20" s="89" t="inlineStr">
        <is>
          <t>🔴 Not Qualified</t>
        </is>
      </c>
      <c r="T20" s="89" t="inlineStr">
        <is>
          <t>✅ Buy</t>
        </is>
      </c>
      <c r="U20" s="68" t="inlineStr">
        <is>
          <t>FULL</t>
        </is>
      </c>
    </row>
    <row r="21" ht="16" customHeight="1">
      <c r="A21" s="90" t="n">
        <v>17</v>
      </c>
      <c r="B21" s="91" t="inlineStr">
        <is>
          <t>HSBC Large &amp; Mid Cap Fund - Regular Growth</t>
        </is>
      </c>
      <c r="C21" s="91" t="inlineStr">
        <is>
          <t>HSBC Mutual Fund</t>
        </is>
      </c>
      <c r="D21" s="91" t="inlineStr">
        <is>
          <t>Large &amp; Mid Cap Fund</t>
        </is>
      </c>
      <c r="E21" s="91" t="inlineStr">
        <is>
          <t>Large &amp; Mid Cap Fund</t>
        </is>
      </c>
      <c r="F21" s="92" t="n">
        <v>-0.07000000000000001</v>
      </c>
      <c r="G21" s="93" t="n">
        <v>8.93</v>
      </c>
      <c r="H21" s="93" t="n">
        <v>3.16</v>
      </c>
      <c r="I21" s="93" t="n">
        <v>5.96</v>
      </c>
      <c r="J21" s="93" t="n">
        <v>6.597373325987732</v>
      </c>
      <c r="K21" s="93" t="n">
        <v>65.06999999999999</v>
      </c>
      <c r="L21" s="17" t="n">
        <v>100</v>
      </c>
      <c r="M21" s="18" t="n">
        <v>0</v>
      </c>
      <c r="N21" s="21" t="n">
        <v>55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94" t="inlineStr">
        <is>
          <t>🔥 Hot</t>
        </is>
      </c>
      <c r="S21" s="94" t="inlineStr">
        <is>
          <t>🔴 Not Qualified</t>
        </is>
      </c>
      <c r="T21" s="94" t="inlineStr">
        <is>
          <t>✅ Buy</t>
        </is>
      </c>
      <c r="U21" s="68" t="inlineStr">
        <is>
          <t>FULL</t>
        </is>
      </c>
    </row>
    <row r="22" ht="16" customHeight="1">
      <c r="A22" s="85" t="n">
        <v>18</v>
      </c>
      <c r="B22" s="86" t="inlineStr">
        <is>
          <t>quant Flexi Cap Fund - Growth Option - Regular Plan</t>
        </is>
      </c>
      <c r="C22" s="86" t="inlineStr">
        <is>
          <t>quant Mutual Fund</t>
        </is>
      </c>
      <c r="D22" s="86" t="inlineStr">
        <is>
          <t>Flexi Cap Fund</t>
        </is>
      </c>
      <c r="E22" s="86" t="inlineStr">
        <is>
          <t>Flexi Cap Fund</t>
        </is>
      </c>
      <c r="F22" s="88" t="n">
        <v>0.66</v>
      </c>
      <c r="G22" s="88" t="n">
        <v>11.47</v>
      </c>
      <c r="H22" s="88" t="n">
        <v>5.04</v>
      </c>
      <c r="I22" s="88" t="n">
        <v>5.43</v>
      </c>
      <c r="J22" s="88" t="n">
        <v>0.2895807150473662</v>
      </c>
      <c r="K22" s="88" t="n">
        <v>62.67</v>
      </c>
      <c r="L22" s="17" t="n">
        <v>100</v>
      </c>
      <c r="M22" s="18" t="n">
        <v>0</v>
      </c>
      <c r="N22" s="21" t="n">
        <v>55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89" t="inlineStr">
        <is>
          <t>🔥 Hot</t>
        </is>
      </c>
      <c r="S22" s="89" t="inlineStr">
        <is>
          <t>🔴 Not Qualified</t>
        </is>
      </c>
      <c r="T22" s="89" t="inlineStr">
        <is>
          <t>✅ Buy</t>
        </is>
      </c>
      <c r="U22" s="68" t="inlineStr">
        <is>
          <t>FULL</t>
        </is>
      </c>
    </row>
    <row r="23" ht="16" customHeight="1">
      <c r="A23" s="90" t="n">
        <v>19</v>
      </c>
      <c r="B23" s="91" t="inlineStr">
        <is>
          <t>quant ELSS Tax Saver Fund - Growth Option - Regular Plan</t>
        </is>
      </c>
      <c r="C23" s="91" t="inlineStr">
        <is>
          <t>quant Mutual Fund</t>
        </is>
      </c>
      <c r="D23" s="91" t="inlineStr">
        <is>
          <t>Elss</t>
        </is>
      </c>
      <c r="E23" s="91" t="inlineStr">
        <is>
          <t>Elss</t>
        </is>
      </c>
      <c r="F23" s="92" t="n">
        <v>-0.54</v>
      </c>
      <c r="G23" s="93" t="n">
        <v>9.1</v>
      </c>
      <c r="H23" s="93" t="n">
        <v>1.7</v>
      </c>
      <c r="I23" s="93" t="n">
        <v>4.7</v>
      </c>
      <c r="J23" s="92" t="n">
        <v>-0.6974320573732595</v>
      </c>
      <c r="K23" s="93" t="n">
        <v>57.77</v>
      </c>
      <c r="L23" s="17" t="n">
        <v>100</v>
      </c>
      <c r="M23" s="18" t="n">
        <v>0</v>
      </c>
      <c r="N23" s="21" t="n">
        <v>55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94" t="inlineStr">
        <is>
          <t>🔥 Hot</t>
        </is>
      </c>
      <c r="S23" s="94" t="inlineStr">
        <is>
          <t>🔴 Not Qualified</t>
        </is>
      </c>
      <c r="T23" s="94" t="inlineStr">
        <is>
          <t>✅ Buy</t>
        </is>
      </c>
      <c r="U23" s="68" t="inlineStr">
        <is>
          <t>FULL</t>
        </is>
      </c>
    </row>
    <row r="24" ht="16" customHeight="1">
      <c r="A24" s="85" t="n">
        <v>20</v>
      </c>
      <c r="B24" s="86" t="inlineStr">
        <is>
          <t>Motilal Oswal Focused Fund - Regular Plan Growth Option</t>
        </is>
      </c>
      <c r="C24" s="86" t="inlineStr">
        <is>
          <t>Motilal Oswal Mutual Fund</t>
        </is>
      </c>
      <c r="D24" s="86" t="inlineStr">
        <is>
          <t>Focused Fund</t>
        </is>
      </c>
      <c r="E24" s="86" t="inlineStr">
        <is>
          <t>Focused Fund</t>
        </is>
      </c>
      <c r="F24" s="87" t="n">
        <v>-1.04</v>
      </c>
      <c r="G24" s="88" t="n">
        <v>10.99</v>
      </c>
      <c r="H24" s="88" t="n">
        <v>5.21</v>
      </c>
      <c r="I24" s="88" t="n">
        <v>3.23</v>
      </c>
      <c r="J24" s="88" t="n">
        <v>2.078401241398753</v>
      </c>
      <c r="K24" s="88" t="n">
        <v>31.3</v>
      </c>
      <c r="L24" s="17" t="n">
        <v>100</v>
      </c>
      <c r="M24" s="18" t="n">
        <v>0</v>
      </c>
      <c r="N24" s="21" t="n">
        <v>55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89" t="inlineStr">
        <is>
          <t>🔥 Hot</t>
        </is>
      </c>
      <c r="S24" s="89" t="inlineStr">
        <is>
          <t>🔴 Not Qualified</t>
        </is>
      </c>
      <c r="T24" s="89" t="inlineStr">
        <is>
          <t>✅ Buy</t>
        </is>
      </c>
      <c r="U24" s="68" t="inlineStr">
        <is>
          <t>FULL</t>
        </is>
      </c>
    </row>
    <row r="25" ht="16" customHeight="1">
      <c r="A25" s="90" t="n">
        <v>21</v>
      </c>
      <c r="B25" s="91" t="inlineStr">
        <is>
          <t>Edelweiss Recently Listed IPO Fund Regular Plan Growth</t>
        </is>
      </c>
      <c r="C25" s="91" t="inlineStr">
        <is>
          <t>Edelweiss Mutual Fund</t>
        </is>
      </c>
      <c r="D25" s="91" t="inlineStr">
        <is>
          <t>Sectoral/ Thematic</t>
        </is>
      </c>
      <c r="E25" s="91" t="inlineStr">
        <is>
          <t>Sectoral/ Thematic</t>
        </is>
      </c>
      <c r="F25" s="93" t="n">
        <v>2.4</v>
      </c>
      <c r="G25" s="93" t="n">
        <v>19.54</v>
      </c>
      <c r="H25" s="93" t="n">
        <v>10.72</v>
      </c>
      <c r="I25" s="93" t="n">
        <v>12.13</v>
      </c>
      <c r="J25" s="93" t="n">
        <v>9.370928495647313</v>
      </c>
      <c r="K25" s="93" t="n">
        <v>62.48</v>
      </c>
      <c r="L25" s="17" t="n">
        <v>99.8</v>
      </c>
      <c r="M25" s="18" t="n">
        <v>0</v>
      </c>
      <c r="N25" s="21" t="n">
        <v>54.9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94" t="inlineStr">
        <is>
          <t>🔥 Hot</t>
        </is>
      </c>
      <c r="S25" s="94" t="inlineStr">
        <is>
          <t>🔴 Not Qualified</t>
        </is>
      </c>
      <c r="T25" s="94" t="inlineStr">
        <is>
          <t>⚠️ Watch</t>
        </is>
      </c>
      <c r="U25" s="68" t="inlineStr">
        <is>
          <t>FULL</t>
        </is>
      </c>
    </row>
    <row r="26" ht="16" customHeight="1">
      <c r="A26" s="85" t="n">
        <v>22</v>
      </c>
      <c r="B26" s="86" t="inlineStr">
        <is>
          <t>BANK OF INDIA Small Cap Fund Regular Plan Growth</t>
        </is>
      </c>
      <c r="C26" s="86" t="inlineStr">
        <is>
          <t>Bank of India Mutual Fund</t>
        </is>
      </c>
      <c r="D26" s="86" t="inlineStr">
        <is>
          <t>Small Cap Fund</t>
        </is>
      </c>
      <c r="E26" s="86" t="inlineStr">
        <is>
          <t>Small Cap Fund</t>
        </is>
      </c>
      <c r="F26" s="88" t="n">
        <v>0.54</v>
      </c>
      <c r="G26" s="88" t="n">
        <v>20.48</v>
      </c>
      <c r="H26" s="88" t="n">
        <v>13.71</v>
      </c>
      <c r="I26" s="88" t="n">
        <v>7.87</v>
      </c>
      <c r="J26" s="88" t="n">
        <v>7.731146842498626</v>
      </c>
      <c r="K26" s="88" t="n">
        <v>73.53</v>
      </c>
      <c r="L26" s="17" t="n">
        <v>99.7</v>
      </c>
      <c r="M26" s="18" t="n">
        <v>0</v>
      </c>
      <c r="N26" s="21" t="n">
        <v>54.8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89" t="inlineStr">
        <is>
          <t>🔥 Hot</t>
        </is>
      </c>
      <c r="S26" s="89" t="inlineStr">
        <is>
          <t>🔴 Not Qualified</t>
        </is>
      </c>
      <c r="T26" s="89" t="inlineStr">
        <is>
          <t>⚠️ Watch</t>
        </is>
      </c>
      <c r="U26" s="68" t="inlineStr">
        <is>
          <t>FULL</t>
        </is>
      </c>
    </row>
    <row r="27" ht="16" customHeight="1">
      <c r="A27" s="90" t="n">
        <v>23</v>
      </c>
      <c r="B27" s="91" t="inlineStr">
        <is>
          <t>quant Large &amp; Mid Cap Fund - Growth Option</t>
        </is>
      </c>
      <c r="C27" s="91" t="inlineStr">
        <is>
          <t>quant Mutual Fund</t>
        </is>
      </c>
      <c r="D27" s="91" t="inlineStr">
        <is>
          <t>Large &amp; Mid Cap Fund</t>
        </is>
      </c>
      <c r="E27" s="91" t="inlineStr">
        <is>
          <t>Large &amp; Mid Cap Fund</t>
        </is>
      </c>
      <c r="F27" s="92" t="n">
        <v>-0.4</v>
      </c>
      <c r="G27" s="93" t="n">
        <v>13.72</v>
      </c>
      <c r="H27" s="93" t="n">
        <v>2.96</v>
      </c>
      <c r="I27" s="93" t="n">
        <v>0.5600000000000001</v>
      </c>
      <c r="J27" s="92" t="n">
        <v>-2.142961418199452</v>
      </c>
      <c r="K27" s="93" t="n">
        <v>60.31</v>
      </c>
      <c r="L27" s="17" t="n">
        <v>98.7</v>
      </c>
      <c r="M27" s="18" t="n">
        <v>0</v>
      </c>
      <c r="N27" s="21" t="n">
        <v>54.3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94" t="inlineStr">
        <is>
          <t>🔥 Hot</t>
        </is>
      </c>
      <c r="S27" s="94" t="inlineStr">
        <is>
          <t>🔴 Not Qualified</t>
        </is>
      </c>
      <c r="T27" s="94" t="inlineStr">
        <is>
          <t>⚠️ Watch</t>
        </is>
      </c>
      <c r="U27" s="68" t="inlineStr">
        <is>
          <t>FULL</t>
        </is>
      </c>
    </row>
    <row r="28" ht="16" customHeight="1">
      <c r="A28" s="85" t="n">
        <v>24</v>
      </c>
      <c r="B28" s="86" t="inlineStr">
        <is>
          <t>ITI Flexi Cap Fund- Regular Plan- Growth</t>
        </is>
      </c>
      <c r="C28" s="86" t="inlineStr">
        <is>
          <t>ITI Mutual Fund</t>
        </is>
      </c>
      <c r="D28" s="86" t="inlineStr">
        <is>
          <t>Flexi Cap Fund</t>
        </is>
      </c>
      <c r="E28" s="86" t="inlineStr">
        <is>
          <t>Flexi Cap Fund</t>
        </is>
      </c>
      <c r="F28" s="88" t="n">
        <v>0.06</v>
      </c>
      <c r="G28" s="88" t="n">
        <v>5.98</v>
      </c>
      <c r="H28" s="87" t="n">
        <v>-0.09</v>
      </c>
      <c r="I28" s="88" t="n">
        <v>0.92</v>
      </c>
      <c r="J28" s="88" t="n">
        <v>4.03364840281244</v>
      </c>
      <c r="K28" s="88" t="n">
        <v>61.52</v>
      </c>
      <c r="L28" s="17" t="n">
        <v>98.5</v>
      </c>
      <c r="M28" s="18" t="n">
        <v>0</v>
      </c>
      <c r="N28" s="21" t="n">
        <v>54.2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89" t="inlineStr">
        <is>
          <t>🔥 Hot</t>
        </is>
      </c>
      <c r="S28" s="89" t="inlineStr">
        <is>
          <t>🔴 Not Qualified</t>
        </is>
      </c>
      <c r="T28" s="89" t="inlineStr">
        <is>
          <t>⚠️ Watch</t>
        </is>
      </c>
      <c r="U28" s="68" t="inlineStr">
        <is>
          <t>FULL</t>
        </is>
      </c>
    </row>
    <row r="29" ht="16" customHeight="1">
      <c r="A29" s="90" t="n">
        <v>25</v>
      </c>
      <c r="B29" s="91" t="inlineStr">
        <is>
          <t>quant ESG Integration Strategy Fund - Growth Option - Regular Plan</t>
        </is>
      </c>
      <c r="C29" s="91" t="inlineStr">
        <is>
          <t>quant Mutual Fund</t>
        </is>
      </c>
      <c r="D29" s="91" t="inlineStr">
        <is>
          <t>Sectoral/ Thematic</t>
        </is>
      </c>
      <c r="E29" s="91" t="inlineStr">
        <is>
          <t>Sectoral/ Thematic</t>
        </is>
      </c>
      <c r="F29" s="93" t="n">
        <v>3.03</v>
      </c>
      <c r="G29" s="93" t="n">
        <v>19.28</v>
      </c>
      <c r="H29" s="93" t="n">
        <v>9.210000000000001</v>
      </c>
      <c r="I29" s="93" t="n">
        <v>8.32</v>
      </c>
      <c r="J29" s="93" t="n">
        <v>4.129726783469478</v>
      </c>
      <c r="K29" s="93" t="n">
        <v>68</v>
      </c>
      <c r="L29" s="17" t="n">
        <v>97.59999999999999</v>
      </c>
      <c r="M29" s="18" t="n">
        <v>0</v>
      </c>
      <c r="N29" s="21" t="n">
        <v>53.7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94" t="inlineStr">
        <is>
          <t>🔥 Hot</t>
        </is>
      </c>
      <c r="S29" s="94" t="inlineStr">
        <is>
          <t>🔴 Not Qualified</t>
        </is>
      </c>
      <c r="T29" s="94" t="inlineStr">
        <is>
          <t>⚠️ Watch</t>
        </is>
      </c>
      <c r="U29" s="68" t="inlineStr">
        <is>
          <t>FULL</t>
        </is>
      </c>
    </row>
    <row r="30" ht="16" customHeight="1">
      <c r="A30" s="85" t="n">
        <v>26</v>
      </c>
      <c r="B30" s="86" t="inlineStr">
        <is>
          <t>Invesco India Largecap Fund - Regular Plan - Growth</t>
        </is>
      </c>
      <c r="C30" s="86" t="inlineStr">
        <is>
          <t>Invesco Mutual Fund</t>
        </is>
      </c>
      <c r="D30" s="86" t="inlineStr">
        <is>
          <t>Large Cap Fund</t>
        </is>
      </c>
      <c r="E30" s="86" t="inlineStr">
        <is>
          <t>Large Cap Fund</t>
        </is>
      </c>
      <c r="F30" s="87" t="n">
        <v>-1.76</v>
      </c>
      <c r="G30" s="88" t="n">
        <v>3.22</v>
      </c>
      <c r="H30" s="87" t="n">
        <v>-5.76</v>
      </c>
      <c r="I30" s="87" t="n">
        <v>-3.73</v>
      </c>
      <c r="J30" s="88" t="n">
        <v>3.033974979130072</v>
      </c>
      <c r="K30" s="88" t="n">
        <v>44.06</v>
      </c>
      <c r="L30" s="17" t="n">
        <v>97.40000000000001</v>
      </c>
      <c r="M30" s="18" t="n">
        <v>0</v>
      </c>
      <c r="N30" s="21" t="n">
        <v>53.6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89" t="inlineStr">
        <is>
          <t>🔥 Hot</t>
        </is>
      </c>
      <c r="S30" s="89" t="inlineStr">
        <is>
          <t>🔴 Not Qualified</t>
        </is>
      </c>
      <c r="T30" s="89" t="inlineStr">
        <is>
          <t>⚠️ Watch</t>
        </is>
      </c>
      <c r="U30" s="68" t="inlineStr">
        <is>
          <t>FULL</t>
        </is>
      </c>
    </row>
    <row r="31" ht="16" customHeight="1">
      <c r="A31" s="90" t="n">
        <v>27</v>
      </c>
      <c r="B31" s="91" t="inlineStr">
        <is>
          <t>Quant Value Fund - Growth Option - Regular Plan</t>
        </is>
      </c>
      <c r="C31" s="91" t="inlineStr">
        <is>
          <t>quant Mutual Fund</t>
        </is>
      </c>
      <c r="D31" s="91" t="inlineStr">
        <is>
          <t>Value Fund</t>
        </is>
      </c>
      <c r="E31" s="91" t="inlineStr">
        <is>
          <t>Value Fund</t>
        </is>
      </c>
      <c r="F31" s="92" t="n">
        <v>-1.99</v>
      </c>
      <c r="G31" s="93" t="n">
        <v>14.5</v>
      </c>
      <c r="H31" s="93" t="n">
        <v>9.56</v>
      </c>
      <c r="I31" s="93" t="n">
        <v>9.98</v>
      </c>
      <c r="J31" s="93" t="n">
        <v>2.966013810383084</v>
      </c>
      <c r="K31" s="93" t="n">
        <v>84.87</v>
      </c>
      <c r="L31" s="17" t="n">
        <v>95.5</v>
      </c>
      <c r="M31" s="18" t="n">
        <v>0</v>
      </c>
      <c r="N31" s="21" t="n">
        <v>52.5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94" t="inlineStr">
        <is>
          <t>🔥 Hot</t>
        </is>
      </c>
      <c r="S31" s="94" t="inlineStr">
        <is>
          <t>🔴 Not Qualified</t>
        </is>
      </c>
      <c r="T31" s="94" t="inlineStr">
        <is>
          <t>⚠️ Watch</t>
        </is>
      </c>
      <c r="U31" s="68" t="inlineStr">
        <is>
          <t>FULL</t>
        </is>
      </c>
    </row>
    <row r="32" ht="16" customHeight="1">
      <c r="A32" s="85" t="n">
        <v>28</v>
      </c>
      <c r="B32" s="86" t="inlineStr">
        <is>
          <t>quant Focused Fund - Growth Option - Regular Plan</t>
        </is>
      </c>
      <c r="C32" s="86" t="inlineStr">
        <is>
          <t>quant Mutual Fund</t>
        </is>
      </c>
      <c r="D32" s="86" t="inlineStr">
        <is>
          <t>Focused Fund</t>
        </is>
      </c>
      <c r="E32" s="86" t="inlineStr">
        <is>
          <t>Focused Fund</t>
        </is>
      </c>
      <c r="F32" s="88" t="n">
        <v>1.02</v>
      </c>
      <c r="G32" s="88" t="n">
        <v>11.4</v>
      </c>
      <c r="H32" s="88" t="n">
        <v>1.41</v>
      </c>
      <c r="I32" s="88" t="n">
        <v>1.47</v>
      </c>
      <c r="J32" s="87" t="n">
        <v>-1.166807195153308</v>
      </c>
      <c r="K32" s="88" t="n">
        <v>50.24</v>
      </c>
      <c r="L32" s="17" t="n">
        <v>95.5</v>
      </c>
      <c r="M32" s="18" t="n">
        <v>0</v>
      </c>
      <c r="N32" s="21" t="n">
        <v>52.5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89" t="inlineStr">
        <is>
          <t>🔥 Hot</t>
        </is>
      </c>
      <c r="S32" s="89" t="inlineStr">
        <is>
          <t>🔴 Not Qualified</t>
        </is>
      </c>
      <c r="T32" s="89" t="inlineStr">
        <is>
          <t>⚠️ Watch</t>
        </is>
      </c>
      <c r="U32" s="68" t="inlineStr">
        <is>
          <t>FULL</t>
        </is>
      </c>
    </row>
    <row r="33" ht="16" customHeight="1">
      <c r="A33" s="90" t="n">
        <v>29</v>
      </c>
      <c r="B33" s="91" t="inlineStr">
        <is>
          <t>Nippon India US Equity Opportunities Fund- Growth Plan- Growth Option</t>
        </is>
      </c>
      <c r="C33" s="91" t="inlineStr">
        <is>
          <t>Nippon India Mutual Fund</t>
        </is>
      </c>
      <c r="D33" s="91" t="inlineStr">
        <is>
          <t>Sectoral/ Thematic</t>
        </is>
      </c>
      <c r="E33" s="91" t="inlineStr">
        <is>
          <t>Sectoral/ Thematic</t>
        </is>
      </c>
      <c r="F33" s="92" t="n">
        <v>-1.99</v>
      </c>
      <c r="G33" s="93" t="n">
        <v>8.09</v>
      </c>
      <c r="H33" s="93" t="n">
        <v>2.07</v>
      </c>
      <c r="I33" s="93" t="n">
        <v>11.11</v>
      </c>
      <c r="J33" s="93" t="n">
        <v>11.68706281391771</v>
      </c>
      <c r="K33" s="93" t="n">
        <v>59.26</v>
      </c>
      <c r="L33" s="17" t="n">
        <v>79.7</v>
      </c>
      <c r="M33" s="18" t="n">
        <v>17.3</v>
      </c>
      <c r="N33" s="21" t="n">
        <v>51.6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94" t="inlineStr">
        <is>
          <t>⭐ Strong</t>
        </is>
      </c>
      <c r="S33" s="94" t="inlineStr">
        <is>
          <t>⚠️ Below Avg</t>
        </is>
      </c>
      <c r="T33" s="94" t="inlineStr">
        <is>
          <t>⚠️ Watch</t>
        </is>
      </c>
      <c r="U33" s="68" t="inlineStr">
        <is>
          <t>FULL</t>
        </is>
      </c>
    </row>
    <row r="34" ht="16" customHeight="1">
      <c r="A34" s="85" t="n">
        <v>30</v>
      </c>
      <c r="B34" s="86" t="inlineStr">
        <is>
          <t>DSP India T.I.G.E.R. Fund - Regular Plan - Growth</t>
        </is>
      </c>
      <c r="C34" s="86" t="inlineStr">
        <is>
          <t>DSP Mutual Fund</t>
        </is>
      </c>
      <c r="D34" s="86" t="inlineStr">
        <is>
          <t>Sectoral/ Thematic</t>
        </is>
      </c>
      <c r="E34" s="86" t="inlineStr">
        <is>
          <t>Sectoral/ Thematic</t>
        </is>
      </c>
      <c r="F34" s="87" t="n">
        <v>-1.29</v>
      </c>
      <c r="G34" s="88" t="n">
        <v>9.460000000000001</v>
      </c>
      <c r="H34" s="88" t="n">
        <v>10.81</v>
      </c>
      <c r="I34" s="88" t="n">
        <v>9.699999999999999</v>
      </c>
      <c r="J34" s="88" t="n">
        <v>4.661358676447525</v>
      </c>
      <c r="K34" s="88" t="n">
        <v>91.16</v>
      </c>
      <c r="L34" s="17" t="n">
        <v>93.59999999999999</v>
      </c>
      <c r="M34" s="18" t="n">
        <v>0</v>
      </c>
      <c r="N34" s="21" t="n">
        <v>51.5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89" t="inlineStr">
        <is>
          <t>🔥 Hot</t>
        </is>
      </c>
      <c r="S34" s="89" t="inlineStr">
        <is>
          <t>🔴 Not Qualified</t>
        </is>
      </c>
      <c r="T34" s="89" t="inlineStr">
        <is>
          <t>⚠️ Watch</t>
        </is>
      </c>
      <c r="U34" s="68" t="inlineStr">
        <is>
          <t>FULL</t>
        </is>
      </c>
    </row>
    <row r="35" ht="16" customHeight="1">
      <c r="A35" s="90" t="n">
        <v>31</v>
      </c>
      <c r="B35" s="91" t="inlineStr">
        <is>
          <t>ITI Multi Cap Fund - Regular Plan - Growth Option</t>
        </is>
      </c>
      <c r="C35" s="91" t="inlineStr">
        <is>
          <t>ITI Mutual Fund</t>
        </is>
      </c>
      <c r="D35" s="91" t="inlineStr">
        <is>
          <t>Multi Cap Fund</t>
        </is>
      </c>
      <c r="E35" s="91" t="inlineStr">
        <is>
          <t>Multi Cap Fund</t>
        </is>
      </c>
      <c r="F35" s="92" t="n">
        <v>-1.33</v>
      </c>
      <c r="G35" s="93" t="n">
        <v>6.43</v>
      </c>
      <c r="H35" s="93" t="n">
        <v>1.19</v>
      </c>
      <c r="I35" s="93" t="n">
        <v>1.46</v>
      </c>
      <c r="J35" s="93" t="n">
        <v>2.547549946354155</v>
      </c>
      <c r="K35" s="93" t="n">
        <v>60.34</v>
      </c>
      <c r="L35" s="17" t="n">
        <v>92.7</v>
      </c>
      <c r="M35" s="18" t="n">
        <v>0</v>
      </c>
      <c r="N35" s="21" t="n">
        <v>51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94" t="inlineStr">
        <is>
          <t>🔥 Hot</t>
        </is>
      </c>
      <c r="S35" s="94" t="inlineStr">
        <is>
          <t>🔴 Not Qualified</t>
        </is>
      </c>
      <c r="T35" s="94" t="inlineStr">
        <is>
          <t>⚠️ Watch</t>
        </is>
      </c>
      <c r="U35" s="68" t="inlineStr">
        <is>
          <t>FULL</t>
        </is>
      </c>
    </row>
    <row r="36" ht="16" customHeight="1">
      <c r="A36" s="85" t="n">
        <v>32</v>
      </c>
      <c r="B36" s="86" t="inlineStr">
        <is>
          <t>SBI Large Cap FUND-REGULAR PLAN GROWTH</t>
        </is>
      </c>
      <c r="C36" s="86" t="inlineStr">
        <is>
          <t>SBI Mutual Fund</t>
        </is>
      </c>
      <c r="D36" s="86" t="inlineStr">
        <is>
          <t>Large Cap Fund</t>
        </is>
      </c>
      <c r="E36" s="86" t="inlineStr">
        <is>
          <t>Large Cap Fund</t>
        </is>
      </c>
      <c r="F36" s="87" t="n">
        <v>-2.07</v>
      </c>
      <c r="G36" s="88" t="n">
        <v>0.71</v>
      </c>
      <c r="H36" s="87" t="n">
        <v>-6.56</v>
      </c>
      <c r="I36" s="87" t="n">
        <v>-3.13</v>
      </c>
      <c r="J36" s="88" t="n">
        <v>2.5377979088687</v>
      </c>
      <c r="K36" s="88" t="n">
        <v>32.28</v>
      </c>
      <c r="L36" s="17" t="n">
        <v>92.09999999999999</v>
      </c>
      <c r="M36" s="18" t="n">
        <v>0</v>
      </c>
      <c r="N36" s="21" t="n">
        <v>50.7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89" t="inlineStr">
        <is>
          <t>🔥 Hot</t>
        </is>
      </c>
      <c r="S36" s="89" t="inlineStr">
        <is>
          <t>🔴 Not Qualified</t>
        </is>
      </c>
      <c r="T36" s="89" t="inlineStr">
        <is>
          <t>⚠️ Watch</t>
        </is>
      </c>
      <c r="U36" s="68" t="inlineStr">
        <is>
          <t>FULL</t>
        </is>
      </c>
    </row>
    <row r="37" ht="16" customHeight="1">
      <c r="A37" s="90" t="n">
        <v>33</v>
      </c>
      <c r="B37" s="91" t="inlineStr">
        <is>
          <t>JM Midcap Fund (Regular) - Growth</t>
        </is>
      </c>
      <c r="C37" s="91" t="inlineStr">
        <is>
          <t>JM Financial Mutual Fund</t>
        </is>
      </c>
      <c r="D37" s="91" t="inlineStr">
        <is>
          <t>Mid Cap Fund</t>
        </is>
      </c>
      <c r="E37" s="91" t="inlineStr">
        <is>
          <t>Mid Cap Fund</t>
        </is>
      </c>
      <c r="F37" s="92" t="n">
        <v>-1.53</v>
      </c>
      <c r="G37" s="93" t="n">
        <v>10.83</v>
      </c>
      <c r="H37" s="93" t="n">
        <v>3.03</v>
      </c>
      <c r="I37" s="93" t="n">
        <v>2.03</v>
      </c>
      <c r="J37" s="93" t="n">
        <v>3.571231526906149</v>
      </c>
      <c r="K37" s="93" t="n">
        <v>78.76000000000001</v>
      </c>
      <c r="L37" s="17" t="n">
        <v>91.90000000000001</v>
      </c>
      <c r="M37" s="18" t="n">
        <v>0</v>
      </c>
      <c r="N37" s="21" t="n">
        <v>50.6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94" t="inlineStr">
        <is>
          <t>🔥 Hot</t>
        </is>
      </c>
      <c r="S37" s="94" t="inlineStr">
        <is>
          <t>🔴 Not Qualified</t>
        </is>
      </c>
      <c r="T37" s="94" t="inlineStr">
        <is>
          <t>⚠️ Watch</t>
        </is>
      </c>
      <c r="U37" s="68" t="inlineStr">
        <is>
          <t>FULL</t>
        </is>
      </c>
    </row>
    <row r="38" ht="16" customHeight="1">
      <c r="A38" s="85" t="n">
        <v>34</v>
      </c>
      <c r="B38" s="86" t="inlineStr">
        <is>
          <t>Axis Large &amp; Mid Cap Fund - Regular Plan - Growth</t>
        </is>
      </c>
      <c r="C38" s="86" t="inlineStr">
        <is>
          <t>Axis Mutual Fund</t>
        </is>
      </c>
      <c r="D38" s="86" t="inlineStr">
        <is>
          <t>Large &amp; Mid Cap Fund</t>
        </is>
      </c>
      <c r="E38" s="86" t="inlineStr">
        <is>
          <t>Large &amp; Mid Cap Fund</t>
        </is>
      </c>
      <c r="F38" s="87" t="n">
        <v>-1.45</v>
      </c>
      <c r="G38" s="88" t="n">
        <v>4.18</v>
      </c>
      <c r="H38" s="87" t="n">
        <v>-1.86</v>
      </c>
      <c r="I38" s="88" t="n">
        <v>0.34</v>
      </c>
      <c r="J38" s="88" t="n">
        <v>4.340787806111557</v>
      </c>
      <c r="K38" s="88" t="n">
        <v>48.91</v>
      </c>
      <c r="L38" s="17" t="n">
        <v>91.8</v>
      </c>
      <c r="M38" s="18" t="n">
        <v>0</v>
      </c>
      <c r="N38" s="21" t="n">
        <v>50.5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89" t="inlineStr">
        <is>
          <t>🔥 Hot</t>
        </is>
      </c>
      <c r="S38" s="89" t="inlineStr">
        <is>
          <t>🔴 Not Qualified</t>
        </is>
      </c>
      <c r="T38" s="89" t="inlineStr">
        <is>
          <t>⚠️ Watch</t>
        </is>
      </c>
      <c r="U38" s="68" t="inlineStr">
        <is>
          <t>FULL</t>
        </is>
      </c>
    </row>
    <row r="39" ht="16" customHeight="1">
      <c r="A39" s="90" t="n">
        <v>35</v>
      </c>
      <c r="B39" s="91" t="inlineStr">
        <is>
          <t>BANK OF INDIA Large Cap Fund Regular Plan Growth</t>
        </is>
      </c>
      <c r="C39" s="91" t="inlineStr">
        <is>
          <t>Bank of India Mutual Fund</t>
        </is>
      </c>
      <c r="D39" s="91" t="inlineStr">
        <is>
          <t>Large Cap Fund</t>
        </is>
      </c>
      <c r="E39" s="91" t="inlineStr">
        <is>
          <t>Large Cap Fund</t>
        </is>
      </c>
      <c r="F39" s="92" t="n">
        <v>-2.33</v>
      </c>
      <c r="G39" s="93" t="n">
        <v>1.14</v>
      </c>
      <c r="H39" s="92" t="n">
        <v>-2.86</v>
      </c>
      <c r="I39" s="92" t="n">
        <v>-0.31</v>
      </c>
      <c r="J39" s="93" t="n">
        <v>0.3145054316672669</v>
      </c>
      <c r="K39" s="93" t="n">
        <v>44.74</v>
      </c>
      <c r="L39" s="17" t="n">
        <v>91.59999999999999</v>
      </c>
      <c r="M39" s="18" t="n">
        <v>0</v>
      </c>
      <c r="N39" s="21" t="n">
        <v>50.4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94" t="inlineStr">
        <is>
          <t>🔥 Hot</t>
        </is>
      </c>
      <c r="S39" s="94" t="inlineStr">
        <is>
          <t>🔴 Not Qualified</t>
        </is>
      </c>
      <c r="T39" s="94" t="inlineStr">
        <is>
          <t>⚠️ Watch</t>
        </is>
      </c>
      <c r="U39" s="68" t="inlineStr">
        <is>
          <t>FULL</t>
        </is>
      </c>
    </row>
    <row r="40" ht="16" customHeight="1">
      <c r="A40" s="85" t="n">
        <v>36</v>
      </c>
      <c r="B40" s="86" t="inlineStr">
        <is>
          <t>Navi Flexi Cap Fund - Regular Plan - Growth</t>
        </is>
      </c>
      <c r="C40" s="86" t="inlineStr">
        <is>
          <t>Navi Mutual Fund</t>
        </is>
      </c>
      <c r="D40" s="86" t="inlineStr">
        <is>
          <t>Flexi Cap Fund</t>
        </is>
      </c>
      <c r="E40" s="86" t="inlineStr">
        <is>
          <t>Flexi Cap Fund</t>
        </is>
      </c>
      <c r="F40" s="87" t="n">
        <v>-1.95</v>
      </c>
      <c r="G40" s="88" t="n">
        <v>4.15</v>
      </c>
      <c r="H40" s="87" t="n">
        <v>-1.12</v>
      </c>
      <c r="I40" s="88" t="n">
        <v>2.26</v>
      </c>
      <c r="J40" s="88" t="n">
        <v>3.072789813801013</v>
      </c>
      <c r="K40" s="88" t="n">
        <v>34.95</v>
      </c>
      <c r="L40" s="17" t="n">
        <v>90.90000000000001</v>
      </c>
      <c r="M40" s="18" t="n">
        <v>0</v>
      </c>
      <c r="N40" s="21" t="n">
        <v>50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89" t="inlineStr">
        <is>
          <t>🔥 Hot</t>
        </is>
      </c>
      <c r="S40" s="89" t="inlineStr">
        <is>
          <t>🔴 Not Qualified</t>
        </is>
      </c>
      <c r="T40" s="89" t="inlineStr">
        <is>
          <t>⚠️ Watch</t>
        </is>
      </c>
      <c r="U40" s="68" t="inlineStr">
        <is>
          <t>FULL</t>
        </is>
      </c>
    </row>
    <row r="41" ht="16" customHeight="1">
      <c r="A41" s="90" t="n">
        <v>37</v>
      </c>
      <c r="B41" s="91" t="inlineStr">
        <is>
          <t>quant Quantamental Fund - Growth Option - Regular Plan</t>
        </is>
      </c>
      <c r="C41" s="91" t="inlineStr">
        <is>
          <t>quant Mutual Fund</t>
        </is>
      </c>
      <c r="D41" s="91" t="inlineStr">
        <is>
          <t>Sectoral/ Thematic</t>
        </is>
      </c>
      <c r="E41" s="91" t="inlineStr">
        <is>
          <t>Sectoral/ Thematic</t>
        </is>
      </c>
      <c r="F41" s="93" t="n">
        <v>0.43</v>
      </c>
      <c r="G41" s="93" t="n">
        <v>11.82</v>
      </c>
      <c r="H41" s="93" t="n">
        <v>4.12</v>
      </c>
      <c r="I41" s="93" t="n">
        <v>6.61</v>
      </c>
      <c r="J41" s="93" t="n">
        <v>0.5484957619953601</v>
      </c>
      <c r="K41" s="93" t="n">
        <v>66.27</v>
      </c>
      <c r="L41" s="17" t="n">
        <v>89.7</v>
      </c>
      <c r="M41" s="18" t="n">
        <v>0</v>
      </c>
      <c r="N41" s="19" t="n">
        <v>49.4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94" t="inlineStr">
        <is>
          <t>⭐ Strong</t>
        </is>
      </c>
      <c r="S41" s="94" t="inlineStr">
        <is>
          <t>🔴 Not Qualified</t>
        </is>
      </c>
      <c r="T41" s="94" t="inlineStr">
        <is>
          <t>⚠️ Watch</t>
        </is>
      </c>
      <c r="U41" s="68" t="inlineStr">
        <is>
          <t>FULL</t>
        </is>
      </c>
    </row>
    <row r="42" ht="16" customHeight="1">
      <c r="A42" s="85" t="n">
        <v>38</v>
      </c>
      <c r="B42" s="86" t="inlineStr">
        <is>
          <t>Tata Large Cap Fund -Regular Plan - Growth Option</t>
        </is>
      </c>
      <c r="C42" s="86" t="inlineStr">
        <is>
          <t>Tata Mutual Fund</t>
        </is>
      </c>
      <c r="D42" s="86" t="inlineStr">
        <is>
          <t>Large Cap Fund</t>
        </is>
      </c>
      <c r="E42" s="86" t="inlineStr">
        <is>
          <t>Large Cap Fund</t>
        </is>
      </c>
      <c r="F42" s="87" t="n">
        <v>-1.95</v>
      </c>
      <c r="G42" s="88" t="n">
        <v>0.78</v>
      </c>
      <c r="H42" s="87" t="n">
        <v>-7.76</v>
      </c>
      <c r="I42" s="87" t="n">
        <v>-3.91</v>
      </c>
      <c r="J42" s="88" t="n">
        <v>0.3992031840890586</v>
      </c>
      <c r="K42" s="88" t="n">
        <v>36</v>
      </c>
      <c r="L42" s="17" t="n">
        <v>89.59999999999999</v>
      </c>
      <c r="M42" s="18" t="n">
        <v>0</v>
      </c>
      <c r="N42" s="19" t="n">
        <v>49.3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89" t="inlineStr">
        <is>
          <t>⭐ Strong</t>
        </is>
      </c>
      <c r="S42" s="89" t="inlineStr">
        <is>
          <t>🔴 Not Qualified</t>
        </is>
      </c>
      <c r="T42" s="89" t="inlineStr">
        <is>
          <t>⚠️ Watch</t>
        </is>
      </c>
      <c r="U42" s="68" t="inlineStr">
        <is>
          <t>FULL</t>
        </is>
      </c>
    </row>
    <row r="43" ht="16" customHeight="1">
      <c r="A43" s="90" t="n">
        <v>39</v>
      </c>
      <c r="B43" s="91" t="inlineStr">
        <is>
          <t>Invesco India Midcap Fund - Regular Plan - Growth Option</t>
        </is>
      </c>
      <c r="C43" s="91" t="inlineStr">
        <is>
          <t>Invesco Mutual Fund</t>
        </is>
      </c>
      <c r="D43" s="91" t="inlineStr">
        <is>
          <t>Mid Cap Fund</t>
        </is>
      </c>
      <c r="E43" s="91" t="inlineStr">
        <is>
          <t>Mid Cap Fund</t>
        </is>
      </c>
      <c r="F43" s="92" t="n">
        <v>-3.23</v>
      </c>
      <c r="G43" s="93" t="n">
        <v>7.61</v>
      </c>
      <c r="H43" s="92" t="n">
        <v>-2.92</v>
      </c>
      <c r="I43" s="93" t="n">
        <v>1.09</v>
      </c>
      <c r="J43" s="93" t="n">
        <v>10.89634800118533</v>
      </c>
      <c r="K43" s="93" t="n">
        <v>85.93000000000001</v>
      </c>
      <c r="L43" s="73" t="n">
        <v>58.1</v>
      </c>
      <c r="M43" s="18" t="n">
        <v>37.5</v>
      </c>
      <c r="N43" s="19" t="n">
        <v>48.8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94" t="inlineStr">
        <is>
          <t>➡️ Neutral</t>
        </is>
      </c>
      <c r="S43" s="94" t="inlineStr">
        <is>
          <t>⚠️ Below Avg</t>
        </is>
      </c>
      <c r="T43" s="94" t="inlineStr">
        <is>
          <t>⚠️ Watch</t>
        </is>
      </c>
      <c r="U43" s="68" t="inlineStr">
        <is>
          <t>FULL</t>
        </is>
      </c>
    </row>
    <row r="44" ht="16" customHeight="1">
      <c r="A44" s="85" t="n">
        <v>40</v>
      </c>
      <c r="B44" s="86" t="inlineStr">
        <is>
          <t>quant Infrastructure Fund - Growth Option</t>
        </is>
      </c>
      <c r="C44" s="86" t="inlineStr">
        <is>
          <t>quant Mutual Fund</t>
        </is>
      </c>
      <c r="D44" s="86" t="inlineStr">
        <is>
          <t>Sectoral/ Thematic</t>
        </is>
      </c>
      <c r="E44" s="86" t="inlineStr">
        <is>
          <t>Sectoral/ Thematic</t>
        </is>
      </c>
      <c r="F44" s="87" t="n">
        <v>-0.72</v>
      </c>
      <c r="G44" s="88" t="n">
        <v>14.52</v>
      </c>
      <c r="H44" s="88" t="n">
        <v>4.88</v>
      </c>
      <c r="I44" s="88" t="n">
        <v>3.83</v>
      </c>
      <c r="J44" s="87" t="n">
        <v>-2.660388330341079</v>
      </c>
      <c r="K44" s="88" t="n">
        <v>70.2</v>
      </c>
      <c r="L44" s="17" t="n">
        <v>87.40000000000001</v>
      </c>
      <c r="M44" s="18" t="n">
        <v>0</v>
      </c>
      <c r="N44" s="19" t="n">
        <v>48.1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89" t="inlineStr">
        <is>
          <t>⭐ Strong</t>
        </is>
      </c>
      <c r="S44" s="89" t="inlineStr">
        <is>
          <t>🔴 Not Qualified</t>
        </is>
      </c>
      <c r="T44" s="89" t="inlineStr">
        <is>
          <t>⚠️ Watch</t>
        </is>
      </c>
      <c r="U44" s="68" t="inlineStr">
        <is>
          <t>FULL</t>
        </is>
      </c>
    </row>
    <row r="45" ht="16" customHeight="1">
      <c r="A45" s="90" t="n">
        <v>41</v>
      </c>
      <c r="B45" s="91" t="inlineStr">
        <is>
          <t>Mahindra Manulife Mid Cap Fund - Regular Plan - Growth</t>
        </is>
      </c>
      <c r="C45" s="91" t="inlineStr">
        <is>
          <t>Mahindra Manulife Mutual Fund</t>
        </is>
      </c>
      <c r="D45" s="91" t="inlineStr">
        <is>
          <t>Mid Cap Fund</t>
        </is>
      </c>
      <c r="E45" s="91" t="inlineStr">
        <is>
          <t>Mid Cap Fund</t>
        </is>
      </c>
      <c r="F45" s="92" t="n">
        <v>-2.29</v>
      </c>
      <c r="G45" s="93" t="n">
        <v>5.63</v>
      </c>
      <c r="H45" s="93" t="n">
        <v>3.36</v>
      </c>
      <c r="I45" s="93" t="n">
        <v>3.32</v>
      </c>
      <c r="J45" s="93" t="n">
        <v>5.437185091408803</v>
      </c>
      <c r="K45" s="93" t="n">
        <v>77.52</v>
      </c>
      <c r="L45" s="17" t="n">
        <v>87.40000000000001</v>
      </c>
      <c r="M45" s="18" t="n">
        <v>0</v>
      </c>
      <c r="N45" s="19" t="n">
        <v>48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94" t="inlineStr">
        <is>
          <t>⭐ Strong</t>
        </is>
      </c>
      <c r="S45" s="94" t="inlineStr">
        <is>
          <t>🔴 Not Qualified</t>
        </is>
      </c>
      <c r="T45" s="94" t="inlineStr">
        <is>
          <t>⚠️ Watch</t>
        </is>
      </c>
      <c r="U45" s="68" t="inlineStr">
        <is>
          <t>FULL</t>
        </is>
      </c>
    </row>
    <row r="46" ht="16" customHeight="1">
      <c r="A46" s="85" t="n">
        <v>42</v>
      </c>
      <c r="B46" s="86" t="inlineStr">
        <is>
          <t>SBI FOCUSED FUND - REGULAR PLAN -GROWTH</t>
        </is>
      </c>
      <c r="C46" s="86" t="inlineStr">
        <is>
          <t>SBI Mutual Fund</t>
        </is>
      </c>
      <c r="D46" s="86" t="inlineStr">
        <is>
          <t>Focused Fund</t>
        </is>
      </c>
      <c r="E46" s="86" t="inlineStr">
        <is>
          <t>Focused Fund</t>
        </is>
      </c>
      <c r="F46" s="87" t="n">
        <v>-1.87</v>
      </c>
      <c r="G46" s="88" t="n">
        <v>5.42</v>
      </c>
      <c r="H46" s="87" t="n">
        <v>-1.39</v>
      </c>
      <c r="I46" s="88" t="n">
        <v>6.41</v>
      </c>
      <c r="J46" s="88" t="n">
        <v>8.63240768757727</v>
      </c>
      <c r="K46" s="88" t="n">
        <v>56.04</v>
      </c>
      <c r="L46" s="17" t="n">
        <v>86.3</v>
      </c>
      <c r="M46" s="18" t="n">
        <v>0</v>
      </c>
      <c r="N46" s="19" t="n">
        <v>47.5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89" t="inlineStr">
        <is>
          <t>⭐ Strong</t>
        </is>
      </c>
      <c r="S46" s="89" t="inlineStr">
        <is>
          <t>🔴 Not Qualified</t>
        </is>
      </c>
      <c r="T46" s="89" t="inlineStr">
        <is>
          <t>⚠️ Watch</t>
        </is>
      </c>
      <c r="U46" s="68" t="inlineStr">
        <is>
          <t>FULL</t>
        </is>
      </c>
    </row>
    <row r="47" ht="16" customHeight="1">
      <c r="A47" s="90" t="n">
        <v>43</v>
      </c>
      <c r="B47" s="91" t="inlineStr">
        <is>
          <t>JM ELSS Tax Saver Fund (Regular) - Growth option</t>
        </is>
      </c>
      <c r="C47" s="91" t="inlineStr">
        <is>
          <t>JM Financial Mutual Fund</t>
        </is>
      </c>
      <c r="D47" s="91" t="inlineStr">
        <is>
          <t>Elss</t>
        </is>
      </c>
      <c r="E47" s="91" t="inlineStr">
        <is>
          <t>Elss</t>
        </is>
      </c>
      <c r="F47" s="92" t="n">
        <v>-2.24</v>
      </c>
      <c r="G47" s="93" t="n">
        <v>5.96</v>
      </c>
      <c r="H47" s="92" t="n">
        <v>-5.86</v>
      </c>
      <c r="I47" s="92" t="n">
        <v>-1.75</v>
      </c>
      <c r="J47" s="93" t="n">
        <v>1.587400793602356</v>
      </c>
      <c r="K47" s="93" t="n">
        <v>51.3</v>
      </c>
      <c r="L47" s="17" t="n">
        <v>86.2</v>
      </c>
      <c r="M47" s="18" t="n">
        <v>0</v>
      </c>
      <c r="N47" s="19" t="n">
        <v>47.4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94" t="inlineStr">
        <is>
          <t>⭐ Strong</t>
        </is>
      </c>
      <c r="S47" s="94" t="inlineStr">
        <is>
          <t>🔴 Not Qualified</t>
        </is>
      </c>
      <c r="T47" s="94" t="inlineStr">
        <is>
          <t>⚠️ Watch</t>
        </is>
      </c>
      <c r="U47" s="68" t="inlineStr">
        <is>
          <t>FULL</t>
        </is>
      </c>
    </row>
    <row r="48" ht="16" customHeight="1">
      <c r="A48" s="85" t="n">
        <v>44</v>
      </c>
      <c r="B48" s="86" t="inlineStr">
        <is>
          <t>BANDHAN MIDCAP FUND - GROWTH - REGULAR PLAN</t>
        </is>
      </c>
      <c r="C48" s="86" t="inlineStr">
        <is>
          <t>Bandhan Mutual Fund</t>
        </is>
      </c>
      <c r="D48" s="86" t="inlineStr">
        <is>
          <t>Mid Cap Fund</t>
        </is>
      </c>
      <c r="E48" s="86" t="inlineStr">
        <is>
          <t>Mid Cap Fund</t>
        </is>
      </c>
      <c r="F48" s="87" t="n">
        <v>-1.69</v>
      </c>
      <c r="G48" s="88" t="n">
        <v>8.4</v>
      </c>
      <c r="H48" s="88" t="n">
        <v>0.95</v>
      </c>
      <c r="I48" s="88" t="n">
        <v>1.66</v>
      </c>
      <c r="J48" s="88" t="n">
        <v>5.199809885759765</v>
      </c>
      <c r="K48" s="88" t="n">
        <v>64.28</v>
      </c>
      <c r="L48" s="17" t="n">
        <v>86.2</v>
      </c>
      <c r="M48" s="18" t="n">
        <v>0</v>
      </c>
      <c r="N48" s="19" t="n">
        <v>47.4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89" t="inlineStr">
        <is>
          <t>⭐ Strong</t>
        </is>
      </c>
      <c r="S48" s="89" t="inlineStr">
        <is>
          <t>🔴 Not Qualified</t>
        </is>
      </c>
      <c r="T48" s="89" t="inlineStr">
        <is>
          <t>⚠️ Watch</t>
        </is>
      </c>
      <c r="U48" s="68" t="inlineStr">
        <is>
          <t>FULL</t>
        </is>
      </c>
    </row>
    <row r="49" ht="16" customHeight="1">
      <c r="A49" s="90" t="n">
        <v>45</v>
      </c>
      <c r="B49" s="91" t="inlineStr">
        <is>
          <t>Aditya Birla Sun Life Manufacturing Equity Fund - Regular Plan - Growth</t>
        </is>
      </c>
      <c r="C49" s="91" t="inlineStr">
        <is>
          <t>Aditya Birla Sun Life Mutual Fund</t>
        </is>
      </c>
      <c r="D49" s="91" t="inlineStr">
        <is>
          <t>Sectoral/ Thematic</t>
        </is>
      </c>
      <c r="E49" s="91" t="inlineStr">
        <is>
          <t>Sectoral/ Thematic</t>
        </is>
      </c>
      <c r="F49" s="92" t="n">
        <v>-1.51</v>
      </c>
      <c r="G49" s="93" t="n">
        <v>7.33</v>
      </c>
      <c r="H49" s="93" t="n">
        <v>6.26</v>
      </c>
      <c r="I49" s="93" t="n">
        <v>10.63</v>
      </c>
      <c r="J49" s="93" t="n">
        <v>7.48023074035522</v>
      </c>
      <c r="K49" s="93" t="n">
        <v>72.31</v>
      </c>
      <c r="L49" s="17" t="n">
        <v>86</v>
      </c>
      <c r="M49" s="18" t="n">
        <v>0</v>
      </c>
      <c r="N49" s="19" t="n">
        <v>47.3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94" t="inlineStr">
        <is>
          <t>⭐ Strong</t>
        </is>
      </c>
      <c r="S49" s="94" t="inlineStr">
        <is>
          <t>🔴 Not Qualified</t>
        </is>
      </c>
      <c r="T49" s="94" t="inlineStr">
        <is>
          <t>⚠️ Watch</t>
        </is>
      </c>
      <c r="U49" s="68" t="inlineStr">
        <is>
          <t>FULL</t>
        </is>
      </c>
    </row>
    <row r="50" ht="16" customHeight="1">
      <c r="A50" s="85" t="n">
        <v>46</v>
      </c>
      <c r="B50" s="86" t="inlineStr">
        <is>
          <t>HSBC ELSS Tax saver Fund - Regular Growth</t>
        </is>
      </c>
      <c r="C50" s="86" t="inlineStr">
        <is>
          <t>HSBC Mutual Fund</t>
        </is>
      </c>
      <c r="D50" s="86" t="inlineStr">
        <is>
          <t>Elss</t>
        </is>
      </c>
      <c r="E50" s="86" t="inlineStr">
        <is>
          <t>Elss</t>
        </is>
      </c>
      <c r="F50" s="87" t="n">
        <v>-2.51</v>
      </c>
      <c r="G50" s="88" t="n">
        <v>3.78</v>
      </c>
      <c r="H50" s="87" t="n">
        <v>-2.97</v>
      </c>
      <c r="I50" s="87" t="n">
        <v>-2.54</v>
      </c>
      <c r="J50" s="88" t="n">
        <v>3.995192196562614</v>
      </c>
      <c r="K50" s="88" t="n">
        <v>53.92</v>
      </c>
      <c r="L50" s="17" t="n">
        <v>85.40000000000001</v>
      </c>
      <c r="M50" s="18" t="n">
        <v>0</v>
      </c>
      <c r="N50" s="19" t="n">
        <v>46.9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89" t="inlineStr">
        <is>
          <t>⭐ Strong</t>
        </is>
      </c>
      <c r="S50" s="89" t="inlineStr">
        <is>
          <t>🔴 Not Qualified</t>
        </is>
      </c>
      <c r="T50" s="89" t="inlineStr">
        <is>
          <t>⚠️ Watch</t>
        </is>
      </c>
      <c r="U50" s="68" t="inlineStr">
        <is>
          <t>FULL</t>
        </is>
      </c>
    </row>
    <row r="51" ht="16" customHeight="1">
      <c r="A51" s="90" t="n">
        <v>47</v>
      </c>
      <c r="B51" s="91" t="inlineStr">
        <is>
          <t>quant Small Cap Fund - Growth - Regular Plan</t>
        </is>
      </c>
      <c r="C51" s="91" t="inlineStr">
        <is>
          <t>quant Mutual Fund</t>
        </is>
      </c>
      <c r="D51" s="91" t="inlineStr">
        <is>
          <t>Small Cap Fund</t>
        </is>
      </c>
      <c r="E51" s="91" t="inlineStr">
        <is>
          <t>Small Cap Fund</t>
        </is>
      </c>
      <c r="F51" s="92" t="n">
        <v>-0.12</v>
      </c>
      <c r="G51" s="93" t="n">
        <v>14.65</v>
      </c>
      <c r="H51" s="93" t="n">
        <v>4.58</v>
      </c>
      <c r="I51" s="93" t="n">
        <v>3.02</v>
      </c>
      <c r="J51" s="93" t="n">
        <v>1.370607179793493</v>
      </c>
      <c r="K51" s="93" t="n">
        <v>68.53</v>
      </c>
      <c r="L51" s="17" t="n">
        <v>85.09999999999999</v>
      </c>
      <c r="M51" s="18" t="n">
        <v>0</v>
      </c>
      <c r="N51" s="19" t="n">
        <v>46.8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94" t="inlineStr">
        <is>
          <t>⭐ Strong</t>
        </is>
      </c>
      <c r="S51" s="94" t="inlineStr">
        <is>
          <t>🔴 Not Qualified</t>
        </is>
      </c>
      <c r="T51" s="94" t="inlineStr">
        <is>
          <t>⚠️ Watch</t>
        </is>
      </c>
      <c r="U51" s="68" t="inlineStr">
        <is>
          <t>FULL</t>
        </is>
      </c>
    </row>
    <row r="52" ht="16" customHeight="1">
      <c r="A52" s="85" t="n">
        <v>48</v>
      </c>
      <c r="B52" s="86" t="inlineStr">
        <is>
          <t>Tata Multicap Fund - Regular Plan - Growth</t>
        </is>
      </c>
      <c r="C52" s="86" t="inlineStr">
        <is>
          <t>Tata Mutual Fund</t>
        </is>
      </c>
      <c r="D52" s="86" t="inlineStr">
        <is>
          <t>Multi Cap Fund</t>
        </is>
      </c>
      <c r="E52" s="86" t="inlineStr">
        <is>
          <t>Multi Cap Fund</t>
        </is>
      </c>
      <c r="F52" s="87" t="n">
        <v>-1.7</v>
      </c>
      <c r="G52" s="88" t="n">
        <v>5.95</v>
      </c>
      <c r="H52" s="87" t="n">
        <v>-0.62</v>
      </c>
      <c r="I52" s="88" t="n">
        <v>2.82</v>
      </c>
      <c r="J52" s="88" t="n">
        <v>2.542674043541515</v>
      </c>
      <c r="K52" s="88" t="n">
        <v>37.54</v>
      </c>
      <c r="L52" s="17" t="n">
        <v>84.90000000000001</v>
      </c>
      <c r="M52" s="18" t="n">
        <v>0</v>
      </c>
      <c r="N52" s="19" t="n">
        <v>46.7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89" t="inlineStr">
        <is>
          <t>⭐ Strong</t>
        </is>
      </c>
      <c r="S52" s="89" t="inlineStr">
        <is>
          <t>🔴 Not Qualified</t>
        </is>
      </c>
      <c r="T52" s="89" t="inlineStr">
        <is>
          <t>⚠️ Watch</t>
        </is>
      </c>
      <c r="U52" s="68" t="inlineStr">
        <is>
          <t>FULL</t>
        </is>
      </c>
    </row>
    <row r="53" ht="16" customHeight="1">
      <c r="A53" s="90" t="n">
        <v>49</v>
      </c>
      <c r="B53" s="91" t="inlineStr">
        <is>
          <t>ITI Small Cap Fund - Regular Plan - Growth Option</t>
        </is>
      </c>
      <c r="C53" s="91" t="inlineStr">
        <is>
          <t>ITI Mutual Fund</t>
        </is>
      </c>
      <c r="D53" s="91" t="inlineStr">
        <is>
          <t>Small Cap Fund</t>
        </is>
      </c>
      <c r="E53" s="91" t="inlineStr">
        <is>
          <t>Small Cap Fund</t>
        </is>
      </c>
      <c r="F53" s="92" t="n">
        <v>-1.5</v>
      </c>
      <c r="G53" s="93" t="n">
        <v>13.28</v>
      </c>
      <c r="H53" s="93" t="n">
        <v>7.32</v>
      </c>
      <c r="I53" s="93" t="n">
        <v>2.5</v>
      </c>
      <c r="J53" s="93" t="n">
        <v>6.051874099423626</v>
      </c>
      <c r="K53" s="93" t="n">
        <v>85.92</v>
      </c>
      <c r="L53" s="17" t="n">
        <v>84</v>
      </c>
      <c r="M53" s="18" t="n">
        <v>0</v>
      </c>
      <c r="N53" s="19" t="n">
        <v>46.2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94" t="inlineStr">
        <is>
          <t>⭐ Strong</t>
        </is>
      </c>
      <c r="S53" s="94" t="inlineStr">
        <is>
          <t>🔴 Not Qualified</t>
        </is>
      </c>
      <c r="T53" s="94" t="inlineStr">
        <is>
          <t>⚠️ Watch</t>
        </is>
      </c>
      <c r="U53" s="68" t="inlineStr">
        <is>
          <t>FULL</t>
        </is>
      </c>
    </row>
    <row r="54" ht="16" customHeight="1">
      <c r="A54" s="85" t="n">
        <v>50</v>
      </c>
      <c r="B54" s="86" t="inlineStr">
        <is>
          <t>quant Multi Cap Fund-GROWTH OPTION - Regular Plan</t>
        </is>
      </c>
      <c r="C54" s="86" t="inlineStr">
        <is>
          <t>quant Mutual Fund</t>
        </is>
      </c>
      <c r="D54" s="86" t="inlineStr">
        <is>
          <t>Multi Cap Fund</t>
        </is>
      </c>
      <c r="E54" s="86" t="inlineStr">
        <is>
          <t>Multi Cap Fund</t>
        </is>
      </c>
      <c r="F54" s="87" t="n">
        <v>-1.47</v>
      </c>
      <c r="G54" s="88" t="n">
        <v>10.64</v>
      </c>
      <c r="H54" s="88" t="n">
        <v>2.25</v>
      </c>
      <c r="I54" s="87" t="n">
        <v>-1.89</v>
      </c>
      <c r="J54" s="87" t="n">
        <v>-4.527490867789597</v>
      </c>
      <c r="K54" s="88" t="n">
        <v>38.98</v>
      </c>
      <c r="L54" s="17" t="n">
        <v>84</v>
      </c>
      <c r="M54" s="18" t="n">
        <v>0</v>
      </c>
      <c r="N54" s="19" t="n">
        <v>46.2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89" t="inlineStr">
        <is>
          <t>⭐ Strong</t>
        </is>
      </c>
      <c r="S54" s="89" t="inlineStr">
        <is>
          <t>🔴 Not Qualified</t>
        </is>
      </c>
      <c r="T54" s="89" t="inlineStr">
        <is>
          <t>⚠️ Watch</t>
        </is>
      </c>
      <c r="U54" s="68" t="inlineStr">
        <is>
          <t>FULL</t>
        </is>
      </c>
    </row>
    <row r="55" ht="16" customHeight="1">
      <c r="A55" s="90" t="n">
        <v>51</v>
      </c>
      <c r="B55" s="91" t="inlineStr">
        <is>
          <t>BANK OF INDIA ELSS Tax Saver -ECO Plan-Growth</t>
        </is>
      </c>
      <c r="C55" s="91" t="inlineStr">
        <is>
          <t>Bank of India Mutual Fund</t>
        </is>
      </c>
      <c r="D55" s="91" t="inlineStr">
        <is>
          <t>Elss</t>
        </is>
      </c>
      <c r="E55" s="91" t="inlineStr">
        <is>
          <t>Elss</t>
        </is>
      </c>
      <c r="F55" s="92" t="n">
        <v>-2.5</v>
      </c>
      <c r="G55" s="93" t="n">
        <v>2.55</v>
      </c>
      <c r="H55" s="92" t="n">
        <v>-0.08</v>
      </c>
      <c r="I55" s="92" t="n">
        <v>-2.91</v>
      </c>
      <c r="J55" s="92" t="n">
        <v>-1.369375952496377</v>
      </c>
      <c r="K55" s="93" t="n">
        <v>50.6</v>
      </c>
      <c r="L55" s="17" t="n">
        <v>83.7</v>
      </c>
      <c r="M55" s="18" t="n">
        <v>0</v>
      </c>
      <c r="N55" s="19" t="n">
        <v>46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94" t="inlineStr">
        <is>
          <t>⭐ Strong</t>
        </is>
      </c>
      <c r="S55" s="94" t="inlineStr">
        <is>
          <t>🔴 Not Qualified</t>
        </is>
      </c>
      <c r="T55" s="94" t="inlineStr">
        <is>
          <t>⚠️ Watch</t>
        </is>
      </c>
      <c r="U55" s="68" t="inlineStr">
        <is>
          <t>FULL</t>
        </is>
      </c>
    </row>
    <row r="56" ht="16" customHeight="1">
      <c r="A56" s="85" t="n">
        <v>52</v>
      </c>
      <c r="B56" s="86" t="inlineStr">
        <is>
          <t>Mirae Asset ELSS Tax Saver Fund - Regular Plan - Growth</t>
        </is>
      </c>
      <c r="C56" s="86" t="inlineStr">
        <is>
          <t>Mirae Asset Mutual Fund</t>
        </is>
      </c>
      <c r="D56" s="86" t="inlineStr">
        <is>
          <t>Elss</t>
        </is>
      </c>
      <c r="E56" s="86" t="inlineStr">
        <is>
          <t>Elss</t>
        </is>
      </c>
      <c r="F56" s="87" t="n">
        <v>-1.44</v>
      </c>
      <c r="G56" s="88" t="n">
        <v>2.37</v>
      </c>
      <c r="H56" s="87" t="n">
        <v>-6.33</v>
      </c>
      <c r="I56" s="87" t="n">
        <v>-2.39</v>
      </c>
      <c r="J56" s="88" t="n">
        <v>3.580886267689376</v>
      </c>
      <c r="K56" s="88" t="n">
        <v>45.77</v>
      </c>
      <c r="L56" s="17" t="n">
        <v>83.7</v>
      </c>
      <c r="M56" s="18" t="n">
        <v>0</v>
      </c>
      <c r="N56" s="19" t="n">
        <v>46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89" t="inlineStr">
        <is>
          <t>⭐ Strong</t>
        </is>
      </c>
      <c r="S56" s="89" t="inlineStr">
        <is>
          <t>🔴 Not Qualified</t>
        </is>
      </c>
      <c r="T56" s="89" t="inlineStr">
        <is>
          <t>⚠️ Watch</t>
        </is>
      </c>
      <c r="U56" s="68" t="inlineStr">
        <is>
          <t>FULL</t>
        </is>
      </c>
    </row>
    <row r="57" ht="16" customHeight="1">
      <c r="A57" s="90" t="n">
        <v>53</v>
      </c>
      <c r="B57" s="91" t="inlineStr">
        <is>
          <t>BANK OF INDIA Manufacturing &amp; Infrastructure Fund-Growth</t>
        </is>
      </c>
      <c r="C57" s="91" t="inlineStr">
        <is>
          <t>Bank of India Mutual Fund</t>
        </is>
      </c>
      <c r="D57" s="91" t="inlineStr">
        <is>
          <t>Sectoral/ Thematic</t>
        </is>
      </c>
      <c r="E57" s="91" t="inlineStr">
        <is>
          <t>Sectoral/ Thematic</t>
        </is>
      </c>
      <c r="F57" s="92" t="n">
        <v>-2.03</v>
      </c>
      <c r="G57" s="93" t="n">
        <v>7.5</v>
      </c>
      <c r="H57" s="93" t="n">
        <v>6.25</v>
      </c>
      <c r="I57" s="93" t="n">
        <v>9.890000000000001</v>
      </c>
      <c r="J57" s="93" t="n">
        <v>7.046718772692895</v>
      </c>
      <c r="K57" s="93" t="n">
        <v>84.89</v>
      </c>
      <c r="L57" s="17" t="n">
        <v>83.40000000000001</v>
      </c>
      <c r="M57" s="18" t="n">
        <v>0</v>
      </c>
      <c r="N57" s="19" t="n">
        <v>45.9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94" t="inlineStr">
        <is>
          <t>⭐ Strong</t>
        </is>
      </c>
      <c r="S57" s="94" t="inlineStr">
        <is>
          <t>🔴 Not Qualified</t>
        </is>
      </c>
      <c r="T57" s="94" t="inlineStr">
        <is>
          <t>⚠️ Watch</t>
        </is>
      </c>
      <c r="U57" s="68" t="inlineStr">
        <is>
          <t>FULL</t>
        </is>
      </c>
    </row>
    <row r="58" ht="16" customHeight="1">
      <c r="A58" s="85" t="n">
        <v>54</v>
      </c>
      <c r="B58" s="86" t="inlineStr">
        <is>
          <t>Invesco India Large &amp; Mid Cap Fund - Regular Plan - Growth</t>
        </is>
      </c>
      <c r="C58" s="86" t="inlineStr">
        <is>
          <t>Invesco Mutual Fund</t>
        </is>
      </c>
      <c r="D58" s="86" t="inlineStr">
        <is>
          <t>Large &amp; Mid Cap Fund</t>
        </is>
      </c>
      <c r="E58" s="86" t="inlineStr">
        <is>
          <t>Large &amp; Mid Cap Fund</t>
        </is>
      </c>
      <c r="F58" s="87" t="n">
        <v>-2.16</v>
      </c>
      <c r="G58" s="88" t="n">
        <v>7.67</v>
      </c>
      <c r="H58" s="87" t="n">
        <v>-2.6</v>
      </c>
      <c r="I58" s="87" t="n">
        <v>-1.15</v>
      </c>
      <c r="J58" s="88" t="n">
        <v>8.457364895151297</v>
      </c>
      <c r="K58" s="88" t="n">
        <v>77.59</v>
      </c>
      <c r="L58" s="17" t="n">
        <v>83.2</v>
      </c>
      <c r="M58" s="18" t="n">
        <v>0</v>
      </c>
      <c r="N58" s="19" t="n">
        <v>45.8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89" t="inlineStr">
        <is>
          <t>⭐ Strong</t>
        </is>
      </c>
      <c r="S58" s="89" t="inlineStr">
        <is>
          <t>🔴 Not Qualified</t>
        </is>
      </c>
      <c r="T58" s="89" t="inlineStr">
        <is>
          <t>⚠️ Watch</t>
        </is>
      </c>
      <c r="U58" s="68" t="inlineStr">
        <is>
          <t>FULL</t>
        </is>
      </c>
    </row>
    <row r="59" ht="16" customHeight="1">
      <c r="A59" s="90" t="n">
        <v>55</v>
      </c>
      <c r="B59" s="91" t="inlineStr">
        <is>
          <t>Aditya Birla Sun Life Special Opportunities Fund-Regular Plan-Growth</t>
        </is>
      </c>
      <c r="C59" s="91" t="inlineStr">
        <is>
          <t>Aditya Birla Sun Life Mutual Fund</t>
        </is>
      </c>
      <c r="D59" s="91" t="inlineStr">
        <is>
          <t>Sectoral/ Thematic</t>
        </is>
      </c>
      <c r="E59" s="91" t="inlineStr">
        <is>
          <t>Sectoral/ Thematic</t>
        </is>
      </c>
      <c r="F59" s="93" t="n">
        <v>0.42</v>
      </c>
      <c r="G59" s="93" t="n">
        <v>7.17</v>
      </c>
      <c r="H59" s="93" t="n">
        <v>0</v>
      </c>
      <c r="I59" s="93" t="n">
        <v>8.09</v>
      </c>
      <c r="J59" s="93" t="n">
        <v>9.128364782030896</v>
      </c>
      <c r="K59" s="93" t="n">
        <v>69.98999999999999</v>
      </c>
      <c r="L59" s="17" t="n">
        <v>82.5</v>
      </c>
      <c r="M59" s="18" t="n">
        <v>0</v>
      </c>
      <c r="N59" s="19" t="n">
        <v>45.4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94" t="inlineStr">
        <is>
          <t>⭐ Strong</t>
        </is>
      </c>
      <c r="S59" s="94" t="inlineStr">
        <is>
          <t>🔴 Not Qualified</t>
        </is>
      </c>
      <c r="T59" s="94" t="inlineStr">
        <is>
          <t>⚠️ Watch</t>
        </is>
      </c>
      <c r="U59" s="68" t="inlineStr">
        <is>
          <t>FULL</t>
        </is>
      </c>
    </row>
    <row r="60" ht="16" customHeight="1">
      <c r="A60" s="85" t="n">
        <v>56</v>
      </c>
      <c r="B60" s="86" t="inlineStr">
        <is>
          <t>DSP Small Cap Fund - Regular - Growth</t>
        </is>
      </c>
      <c r="C60" s="86" t="inlineStr">
        <is>
          <t>DSP Mutual Fund</t>
        </is>
      </c>
      <c r="D60" s="86" t="inlineStr">
        <is>
          <t>Small Cap Fund</t>
        </is>
      </c>
      <c r="E60" s="86" t="inlineStr">
        <is>
          <t>Small Cap Fund</t>
        </is>
      </c>
      <c r="F60" s="87" t="n">
        <v>-0.74</v>
      </c>
      <c r="G60" s="88" t="n">
        <v>11.82</v>
      </c>
      <c r="H60" s="88" t="n">
        <v>5.6</v>
      </c>
      <c r="I60" s="88" t="n">
        <v>2.7</v>
      </c>
      <c r="J60" s="88" t="n">
        <v>8.475803753648226</v>
      </c>
      <c r="K60" s="88" t="n">
        <v>64.05</v>
      </c>
      <c r="L60" s="17" t="n">
        <v>82.2</v>
      </c>
      <c r="M60" s="18" t="n">
        <v>0</v>
      </c>
      <c r="N60" s="19" t="n">
        <v>45.2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89" t="inlineStr">
        <is>
          <t>⭐ Strong</t>
        </is>
      </c>
      <c r="S60" s="89" t="inlineStr">
        <is>
          <t>🔴 Not Qualified</t>
        </is>
      </c>
      <c r="T60" s="89" t="inlineStr">
        <is>
          <t>⚠️ Watch</t>
        </is>
      </c>
      <c r="U60" s="68" t="inlineStr">
        <is>
          <t>FULL</t>
        </is>
      </c>
    </row>
    <row r="61" ht="16" customHeight="1">
      <c r="A61" s="90" t="n">
        <v>57</v>
      </c>
      <c r="B61" s="91" t="inlineStr">
        <is>
          <t>ITI Pharma and Healthcare Fund - Regular Plan - Growth Option</t>
        </is>
      </c>
      <c r="C61" s="91" t="inlineStr">
        <is>
          <t>ITI Mutual Fund</t>
        </is>
      </c>
      <c r="D61" s="91" t="inlineStr">
        <is>
          <t>Sectoral/ Thematic</t>
        </is>
      </c>
      <c r="E61" s="91" t="inlineStr">
        <is>
          <t>Sectoral/ Thematic</t>
        </is>
      </c>
      <c r="F61" s="92" t="n">
        <v>-0.83</v>
      </c>
      <c r="G61" s="93" t="n">
        <v>7.79</v>
      </c>
      <c r="H61" s="93" t="n">
        <v>4.39</v>
      </c>
      <c r="I61" s="93" t="n">
        <v>2.39</v>
      </c>
      <c r="J61" s="93" t="n">
        <v>9.247425598958614</v>
      </c>
      <c r="K61" s="93" t="n">
        <v>70.39</v>
      </c>
      <c r="L61" s="17" t="n">
        <v>82.2</v>
      </c>
      <c r="M61" s="18" t="n">
        <v>0</v>
      </c>
      <c r="N61" s="19" t="n">
        <v>45.2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94" t="inlineStr">
        <is>
          <t>⭐ Strong</t>
        </is>
      </c>
      <c r="S61" s="94" t="inlineStr">
        <is>
          <t>🔴 Not Qualified</t>
        </is>
      </c>
      <c r="T61" s="94" t="inlineStr">
        <is>
          <t>⚠️ Watch</t>
        </is>
      </c>
      <c r="U61" s="68" t="inlineStr">
        <is>
          <t>FULL</t>
        </is>
      </c>
    </row>
    <row r="62" ht="16" customHeight="1">
      <c r="A62" s="85" t="n">
        <v>58</v>
      </c>
      <c r="B62" s="86" t="inlineStr">
        <is>
          <t>Aditya Birla Sun Life Infrastructure Fund-Growth</t>
        </is>
      </c>
      <c r="C62" s="86" t="inlineStr">
        <is>
          <t>Aditya Birla Sun Life Mutual Fund</t>
        </is>
      </c>
      <c r="D62" s="86" t="inlineStr">
        <is>
          <t>Sectoral/ Thematic</t>
        </is>
      </c>
      <c r="E62" s="86" t="inlineStr">
        <is>
          <t>Sectoral/ Thematic</t>
        </is>
      </c>
      <c r="F62" s="87" t="n">
        <v>-1.89</v>
      </c>
      <c r="G62" s="88" t="n">
        <v>8.08</v>
      </c>
      <c r="H62" s="88" t="n">
        <v>5.79</v>
      </c>
      <c r="I62" s="88" t="n">
        <v>4.96</v>
      </c>
      <c r="J62" s="88" t="n">
        <v>2.391405889361642</v>
      </c>
      <c r="K62" s="88" t="n">
        <v>67.12</v>
      </c>
      <c r="L62" s="17" t="n">
        <v>82</v>
      </c>
      <c r="M62" s="18" t="n">
        <v>0</v>
      </c>
      <c r="N62" s="19" t="n">
        <v>45.1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89" t="inlineStr">
        <is>
          <t>⭐ Strong</t>
        </is>
      </c>
      <c r="S62" s="89" t="inlineStr">
        <is>
          <t>🔴 Not Qualified</t>
        </is>
      </c>
      <c r="T62" s="89" t="inlineStr">
        <is>
          <t>⚠️ Watch</t>
        </is>
      </c>
      <c r="U62" s="68" t="inlineStr">
        <is>
          <t>FULL</t>
        </is>
      </c>
    </row>
    <row r="63" ht="16" customHeight="1">
      <c r="A63" s="90" t="n">
        <v>59</v>
      </c>
      <c r="B63" s="91" t="inlineStr">
        <is>
          <t>DSP Value Fund - Regular Plan - Growth</t>
        </is>
      </c>
      <c r="C63" s="91" t="inlineStr">
        <is>
          <t>DSP Mutual Fund</t>
        </is>
      </c>
      <c r="D63" s="91" t="inlineStr">
        <is>
          <t>Value Fund</t>
        </is>
      </c>
      <c r="E63" s="91" t="inlineStr">
        <is>
          <t>Value Fund</t>
        </is>
      </c>
      <c r="F63" s="92" t="n">
        <v>-2.16</v>
      </c>
      <c r="G63" s="93" t="n">
        <v>2.52</v>
      </c>
      <c r="H63" s="93" t="n">
        <v>0.27</v>
      </c>
      <c r="I63" s="93" t="n">
        <v>6.81</v>
      </c>
      <c r="J63" s="93" t="n">
        <v>9.09170454255448</v>
      </c>
      <c r="K63" s="93" t="n">
        <v>61.9</v>
      </c>
      <c r="L63" s="17" t="n">
        <v>81.90000000000001</v>
      </c>
      <c r="M63" s="18" t="n">
        <v>0</v>
      </c>
      <c r="N63" s="19" t="n">
        <v>45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94" t="inlineStr">
        <is>
          <t>⭐ Strong</t>
        </is>
      </c>
      <c r="S63" s="94" t="inlineStr">
        <is>
          <t>🔴 Not Qualified</t>
        </is>
      </c>
      <c r="T63" s="94" t="inlineStr">
        <is>
          <t>⚠️ Watch</t>
        </is>
      </c>
      <c r="U63" s="68" t="inlineStr">
        <is>
          <t>FULL</t>
        </is>
      </c>
    </row>
    <row r="64" ht="16" customHeight="1">
      <c r="A64" s="85" t="n">
        <v>60</v>
      </c>
      <c r="B64" s="86" t="inlineStr">
        <is>
          <t>Kotak Pioneer Fund- Regular Plan- Growth Option</t>
        </is>
      </c>
      <c r="C64" s="86" t="inlineStr">
        <is>
          <t>Kotak Mahindra Mutual Fund</t>
        </is>
      </c>
      <c r="D64" s="86" t="inlineStr">
        <is>
          <t>Sectoral/ Thematic</t>
        </is>
      </c>
      <c r="E64" s="86" t="inlineStr">
        <is>
          <t>Sectoral/ Thematic</t>
        </is>
      </c>
      <c r="F64" s="87" t="n">
        <v>-1.06</v>
      </c>
      <c r="G64" s="88" t="n">
        <v>9.5</v>
      </c>
      <c r="H64" s="88" t="n">
        <v>1.63</v>
      </c>
      <c r="I64" s="88" t="n">
        <v>6.21</v>
      </c>
      <c r="J64" s="88" t="n">
        <v>8.138799697425902</v>
      </c>
      <c r="K64" s="88" t="n">
        <v>67.90000000000001</v>
      </c>
      <c r="L64" s="17" t="n">
        <v>81.8</v>
      </c>
      <c r="M64" s="18" t="n">
        <v>0</v>
      </c>
      <c r="N64" s="19" t="n">
        <v>45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89" t="inlineStr">
        <is>
          <t>⭐ Strong</t>
        </is>
      </c>
      <c r="S64" s="89" t="inlineStr">
        <is>
          <t>🔴 Not Qualified</t>
        </is>
      </c>
      <c r="T64" s="89" t="inlineStr">
        <is>
          <t>⚠️ Watch</t>
        </is>
      </c>
      <c r="U64" s="68" t="inlineStr">
        <is>
          <t>FULL</t>
        </is>
      </c>
    </row>
    <row r="65" ht="16" customHeight="1">
      <c r="A65" s="90" t="n">
        <v>61</v>
      </c>
      <c r="B65" s="91" t="inlineStr">
        <is>
          <t>Kotak Pioneer Fund- Regular Plan- Reinvestment of Income Distribution cum capital withdrawal option</t>
        </is>
      </c>
      <c r="C65" s="91" t="inlineStr">
        <is>
          <t>Kotak Mahindra Mutual Fund</t>
        </is>
      </c>
      <c r="D65" s="91" t="inlineStr">
        <is>
          <t>Sectoral/ Thematic</t>
        </is>
      </c>
      <c r="E65" s="91" t="inlineStr">
        <is>
          <t>Sectoral/ Thematic</t>
        </is>
      </c>
      <c r="F65" s="92" t="n">
        <v>-1.06</v>
      </c>
      <c r="G65" s="93" t="n">
        <v>9.5</v>
      </c>
      <c r="H65" s="93" t="n">
        <v>1.63</v>
      </c>
      <c r="I65" s="93" t="n">
        <v>6.2</v>
      </c>
      <c r="J65" s="93" t="n">
        <v>8.138799697425902</v>
      </c>
      <c r="K65" s="93" t="n">
        <v>67.97</v>
      </c>
      <c r="L65" s="17" t="n">
        <v>81.7</v>
      </c>
      <c r="M65" s="18" t="n">
        <v>0</v>
      </c>
      <c r="N65" s="19" t="n">
        <v>44.9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94" t="inlineStr">
        <is>
          <t>⭐ Strong</t>
        </is>
      </c>
      <c r="S65" s="94" t="inlineStr">
        <is>
          <t>🔴 Not Qualified</t>
        </is>
      </c>
      <c r="T65" s="94" t="inlineStr">
        <is>
          <t>⚠️ Watch</t>
        </is>
      </c>
      <c r="U65" s="68" t="inlineStr">
        <is>
          <t>FULL</t>
        </is>
      </c>
    </row>
    <row r="66" ht="16" customHeight="1">
      <c r="A66" s="85" t="n">
        <v>62</v>
      </c>
      <c r="B66" s="86" t="inlineStr">
        <is>
          <t>Union Focused Fund - Regular Plan - Growth Option</t>
        </is>
      </c>
      <c r="C66" s="86" t="inlineStr">
        <is>
          <t>Union Mutual Fund</t>
        </is>
      </c>
      <c r="D66" s="86" t="inlineStr">
        <is>
          <t>Focused Fund</t>
        </is>
      </c>
      <c r="E66" s="86" t="inlineStr">
        <is>
          <t>Focused Fund</t>
        </is>
      </c>
      <c r="F66" s="87" t="n">
        <v>-2.46</v>
      </c>
      <c r="G66" s="88" t="n">
        <v>4.68</v>
      </c>
      <c r="H66" s="88" t="n">
        <v>2.84</v>
      </c>
      <c r="I66" s="88" t="n">
        <v>2.14</v>
      </c>
      <c r="J66" s="88" t="n">
        <v>3.522944316706922</v>
      </c>
      <c r="K66" s="88" t="n">
        <v>38.06</v>
      </c>
      <c r="L66" s="17" t="n">
        <v>81.5</v>
      </c>
      <c r="M66" s="18" t="n">
        <v>0</v>
      </c>
      <c r="N66" s="19" t="n">
        <v>44.8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89" t="inlineStr">
        <is>
          <t>⭐ Strong</t>
        </is>
      </c>
      <c r="S66" s="89" t="inlineStr">
        <is>
          <t>🔴 Not Qualified</t>
        </is>
      </c>
      <c r="T66" s="89" t="inlineStr">
        <is>
          <t>⚠️ Watch</t>
        </is>
      </c>
      <c r="U66" s="68" t="inlineStr">
        <is>
          <t>FULL</t>
        </is>
      </c>
    </row>
    <row r="67" ht="16" customHeight="1">
      <c r="A67" s="90" t="n">
        <v>63</v>
      </c>
      <c r="B67" s="91" t="inlineStr">
        <is>
          <t>quant Business Cycle Fund - Growth Option - Regular Plan</t>
        </is>
      </c>
      <c r="C67" s="91" t="inlineStr">
        <is>
          <t>quant Mutual Fund</t>
        </is>
      </c>
      <c r="D67" s="91" t="inlineStr">
        <is>
          <t>Sectoral/ Thematic</t>
        </is>
      </c>
      <c r="E67" s="91" t="inlineStr">
        <is>
          <t>Sectoral/ Thematic</t>
        </is>
      </c>
      <c r="F67" s="93" t="n">
        <v>0.73</v>
      </c>
      <c r="G67" s="93" t="n">
        <v>12.6</v>
      </c>
      <c r="H67" s="93" t="n">
        <v>3.14</v>
      </c>
      <c r="I67" s="92" t="n">
        <v>-0.64</v>
      </c>
      <c r="J67" s="92" t="n">
        <v>-1.15163127294412</v>
      </c>
      <c r="K67" s="93" t="n">
        <v>62</v>
      </c>
      <c r="L67" s="17" t="n">
        <v>81.09999999999999</v>
      </c>
      <c r="M67" s="18" t="n">
        <v>0</v>
      </c>
      <c r="N67" s="19" t="n">
        <v>44.6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94" t="inlineStr">
        <is>
          <t>⭐ Strong</t>
        </is>
      </c>
      <c r="S67" s="94" t="inlineStr">
        <is>
          <t>🔴 Not Qualified</t>
        </is>
      </c>
      <c r="T67" s="94" t="inlineStr">
        <is>
          <t>⚠️ Watch</t>
        </is>
      </c>
      <c r="U67" s="68" t="inlineStr">
        <is>
          <t>FULL</t>
        </is>
      </c>
    </row>
    <row r="68" ht="16" customHeight="1">
      <c r="A68" s="85" t="n">
        <v>64</v>
      </c>
      <c r="B68" s="86" t="inlineStr">
        <is>
          <t>Aditya Birla Sun Life Value Fund - Growth Option</t>
        </is>
      </c>
      <c r="C68" s="86" t="inlineStr">
        <is>
          <t>Aditya Birla Sun Life Mutual Fund</t>
        </is>
      </c>
      <c r="D68" s="86" t="inlineStr">
        <is>
          <t>Value Fund</t>
        </is>
      </c>
      <c r="E68" s="86" t="inlineStr">
        <is>
          <t>Value Fund</t>
        </is>
      </c>
      <c r="F68" s="87" t="n">
        <v>-2.58</v>
      </c>
      <c r="G68" s="88" t="n">
        <v>5.61</v>
      </c>
      <c r="H68" s="88" t="n">
        <v>0.06</v>
      </c>
      <c r="I68" s="88" t="n">
        <v>0.74</v>
      </c>
      <c r="J68" s="88" t="n">
        <v>4.196928937469169</v>
      </c>
      <c r="K68" s="88" t="n">
        <v>60.58</v>
      </c>
      <c r="L68" s="17" t="n">
        <v>81.09999999999999</v>
      </c>
      <c r="M68" s="18" t="n">
        <v>0</v>
      </c>
      <c r="N68" s="19" t="n">
        <v>44.6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89" t="inlineStr">
        <is>
          <t>⭐ Strong</t>
        </is>
      </c>
      <c r="S68" s="89" t="inlineStr">
        <is>
          <t>🔴 Not Qualified</t>
        </is>
      </c>
      <c r="T68" s="89" t="inlineStr">
        <is>
          <t>⚠️ Watch</t>
        </is>
      </c>
      <c r="U68" s="68" t="inlineStr">
        <is>
          <t>FULL</t>
        </is>
      </c>
    </row>
    <row r="69" ht="16" customHeight="1">
      <c r="A69" s="90" t="n">
        <v>65</v>
      </c>
      <c r="B69" s="91" t="inlineStr">
        <is>
          <t>Nippon India Pharma Fund-Growth Plan-Growth Option</t>
        </is>
      </c>
      <c r="C69" s="91" t="inlineStr">
        <is>
          <t>Nippon India Mutual Fund</t>
        </is>
      </c>
      <c r="D69" s="91" t="inlineStr">
        <is>
          <t>Sectoral/ Thematic</t>
        </is>
      </c>
      <c r="E69" s="91" t="inlineStr">
        <is>
          <t>Sectoral/ Thematic</t>
        </is>
      </c>
      <c r="F69" s="92" t="n">
        <v>-0.5</v>
      </c>
      <c r="G69" s="93" t="n">
        <v>4.62</v>
      </c>
      <c r="H69" s="93" t="n">
        <v>4.54</v>
      </c>
      <c r="I69" s="93" t="n">
        <v>4.5</v>
      </c>
      <c r="J69" s="93" t="n">
        <v>9.02751946183129</v>
      </c>
      <c r="K69" s="93" t="n">
        <v>81.41</v>
      </c>
      <c r="L69" s="17" t="n">
        <v>81.09999999999999</v>
      </c>
      <c r="M69" s="18" t="n">
        <v>0</v>
      </c>
      <c r="N69" s="19" t="n">
        <v>44.6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94" t="inlineStr">
        <is>
          <t>⭐ Strong</t>
        </is>
      </c>
      <c r="S69" s="94" t="inlineStr">
        <is>
          <t>🔴 Not Qualified</t>
        </is>
      </c>
      <c r="T69" s="94" t="inlineStr">
        <is>
          <t>⚠️ Watch</t>
        </is>
      </c>
      <c r="U69" s="68" t="inlineStr">
        <is>
          <t>FULL</t>
        </is>
      </c>
    </row>
    <row r="70" ht="16" customHeight="1">
      <c r="A70" s="85" t="n">
        <v>66</v>
      </c>
      <c r="B70" s="86" t="inlineStr">
        <is>
          <t>Nippon India Pharma Fund-Growth Plan-Bonus Option</t>
        </is>
      </c>
      <c r="C70" s="86" t="inlineStr">
        <is>
          <t>Nippon India Mutual Fund</t>
        </is>
      </c>
      <c r="D70" s="86" t="inlineStr">
        <is>
          <t>Sectoral/ Thematic</t>
        </is>
      </c>
      <c r="E70" s="86" t="inlineStr">
        <is>
          <t>Sectoral/ Thematic</t>
        </is>
      </c>
      <c r="F70" s="87" t="n">
        <v>-0.5</v>
      </c>
      <c r="G70" s="88" t="n">
        <v>4.62</v>
      </c>
      <c r="H70" s="88" t="n">
        <v>4.54</v>
      </c>
      <c r="I70" s="88" t="n">
        <v>4.5</v>
      </c>
      <c r="J70" s="88" t="n">
        <v>9.02751946183129</v>
      </c>
      <c r="K70" s="88" t="n">
        <v>81.41</v>
      </c>
      <c r="L70" s="17" t="n">
        <v>81.09999999999999</v>
      </c>
      <c r="M70" s="18" t="n">
        <v>0</v>
      </c>
      <c r="N70" s="19" t="n">
        <v>44.6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89" t="inlineStr">
        <is>
          <t>⭐ Strong</t>
        </is>
      </c>
      <c r="S70" s="89" t="inlineStr">
        <is>
          <t>🔴 Not Qualified</t>
        </is>
      </c>
      <c r="T70" s="89" t="inlineStr">
        <is>
          <t>⚠️ Watch</t>
        </is>
      </c>
      <c r="U70" s="68" t="inlineStr">
        <is>
          <t>FULL</t>
        </is>
      </c>
    </row>
    <row r="71" ht="16" customHeight="1">
      <c r="A71" s="90" t="n">
        <v>67</v>
      </c>
      <c r="B71" s="91" t="inlineStr">
        <is>
          <t>SBI LARGE &amp; MIDCAP FUND- REGULAR PLAN -Growth</t>
        </is>
      </c>
      <c r="C71" s="91" t="inlineStr">
        <is>
          <t>SBI Mutual Fund</t>
        </is>
      </c>
      <c r="D71" s="91" t="inlineStr">
        <is>
          <t>Large &amp; Mid Cap Fund</t>
        </is>
      </c>
      <c r="E71" s="91" t="inlineStr">
        <is>
          <t>Large &amp; Mid Cap Fund</t>
        </is>
      </c>
      <c r="F71" s="92" t="n">
        <v>-1.51</v>
      </c>
      <c r="G71" s="93" t="n">
        <v>0.98</v>
      </c>
      <c r="H71" s="92" t="n">
        <v>-3.54</v>
      </c>
      <c r="I71" s="93" t="n">
        <v>0.9</v>
      </c>
      <c r="J71" s="93" t="n">
        <v>5.109466747767311</v>
      </c>
      <c r="K71" s="93" t="n">
        <v>48.85</v>
      </c>
      <c r="L71" s="17" t="n">
        <v>80.59999999999999</v>
      </c>
      <c r="M71" s="18" t="n">
        <v>0</v>
      </c>
      <c r="N71" s="19" t="n">
        <v>44.3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94" t="inlineStr">
        <is>
          <t>⭐ Strong</t>
        </is>
      </c>
      <c r="S71" s="94" t="inlineStr">
        <is>
          <t>🔴 Not Qualified</t>
        </is>
      </c>
      <c r="T71" s="94" t="inlineStr">
        <is>
          <t>⚠️ Watch</t>
        </is>
      </c>
      <c r="U71" s="68" t="inlineStr">
        <is>
          <t>FULL</t>
        </is>
      </c>
    </row>
    <row r="72" ht="16" customHeight="1">
      <c r="A72" s="85" t="n">
        <v>68</v>
      </c>
      <c r="B72" s="86" t="inlineStr">
        <is>
          <t>Union Multicap Fund - Regular Plan - Growth Option</t>
        </is>
      </c>
      <c r="C72" s="86" t="inlineStr">
        <is>
          <t>Union Mutual Fund</t>
        </is>
      </c>
      <c r="D72" s="86" t="inlineStr">
        <is>
          <t>Multi Cap Fund</t>
        </is>
      </c>
      <c r="E72" s="86" t="inlineStr">
        <is>
          <t>Multi Cap Fund</t>
        </is>
      </c>
      <c r="F72" s="87" t="n">
        <v>-2.01</v>
      </c>
      <c r="G72" s="88" t="n">
        <v>5.45</v>
      </c>
      <c r="H72" s="87" t="n">
        <v>-0.5600000000000001</v>
      </c>
      <c r="I72" s="88" t="n">
        <v>2.62</v>
      </c>
      <c r="J72" s="88" t="n">
        <v>4.699570199690895</v>
      </c>
      <c r="K72" s="88" t="n">
        <v>52.66</v>
      </c>
      <c r="L72" s="17" t="n">
        <v>80.40000000000001</v>
      </c>
      <c r="M72" s="18" t="n">
        <v>0</v>
      </c>
      <c r="N72" s="19" t="n">
        <v>44.2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89" t="inlineStr">
        <is>
          <t>⭐ Strong</t>
        </is>
      </c>
      <c r="S72" s="89" t="inlineStr">
        <is>
          <t>🔴 Not Qualified</t>
        </is>
      </c>
      <c r="T72" s="89" t="inlineStr">
        <is>
          <t>⚠️ Watch</t>
        </is>
      </c>
      <c r="U72" s="68" t="inlineStr">
        <is>
          <t>FULL</t>
        </is>
      </c>
    </row>
    <row r="73" ht="16" customHeight="1">
      <c r="A73" s="90" t="n">
        <v>69</v>
      </c>
      <c r="B73" s="91" t="inlineStr">
        <is>
          <t>LIC MF Infrastructure Fund-Regular Plan-Growth</t>
        </is>
      </c>
      <c r="C73" s="91" t="inlineStr">
        <is>
          <t>LIC Mutual Fund</t>
        </is>
      </c>
      <c r="D73" s="91" t="inlineStr">
        <is>
          <t>Sectoral/ Thematic</t>
        </is>
      </c>
      <c r="E73" s="91" t="inlineStr">
        <is>
          <t>Sectoral/ Thematic</t>
        </is>
      </c>
      <c r="F73" s="92" t="n">
        <v>-1.53</v>
      </c>
      <c r="G73" s="93" t="n">
        <v>7.01</v>
      </c>
      <c r="H73" s="93" t="n">
        <v>6.26</v>
      </c>
      <c r="I73" s="93" t="n">
        <v>2.51</v>
      </c>
      <c r="J73" s="93" t="n">
        <v>6.235587257754638</v>
      </c>
      <c r="K73" s="93" t="n">
        <v>98.86</v>
      </c>
      <c r="L73" s="17" t="n">
        <v>80.3</v>
      </c>
      <c r="M73" s="18" t="n">
        <v>0</v>
      </c>
      <c r="N73" s="19" t="n">
        <v>44.2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94" t="inlineStr">
        <is>
          <t>⭐ Strong</t>
        </is>
      </c>
      <c r="S73" s="94" t="inlineStr">
        <is>
          <t>🔴 Not Qualified</t>
        </is>
      </c>
      <c r="T73" s="94" t="inlineStr">
        <is>
          <t>⚠️ Watch</t>
        </is>
      </c>
      <c r="U73" s="68" t="inlineStr">
        <is>
          <t>FULL</t>
        </is>
      </c>
    </row>
    <row r="74" ht="16" customHeight="1">
      <c r="A74" s="85" t="n">
        <v>70</v>
      </c>
      <c r="B74" s="86" t="inlineStr">
        <is>
          <t>Kotak Contra Fund - Regular Plan - Growth</t>
        </is>
      </c>
      <c r="C74" s="86" t="inlineStr">
        <is>
          <t>Kotak Mahindra Mutual Fund</t>
        </is>
      </c>
      <c r="D74" s="86" t="inlineStr">
        <is>
          <t>Contra Fund</t>
        </is>
      </c>
      <c r="E74" s="86" t="inlineStr">
        <is>
          <t>Contra Fund</t>
        </is>
      </c>
      <c r="F74" s="87" t="n">
        <v>-2.36</v>
      </c>
      <c r="G74" s="87" t="n">
        <v>-0.45</v>
      </c>
      <c r="H74" s="87" t="n">
        <v>-6.46</v>
      </c>
      <c r="I74" s="87" t="n">
        <v>-2.58</v>
      </c>
      <c r="J74" s="88" t="n">
        <v>1.311401135311518</v>
      </c>
      <c r="K74" s="88" t="n">
        <v>56.53</v>
      </c>
      <c r="L74" s="17" t="n">
        <v>80</v>
      </c>
      <c r="M74" s="18" t="n">
        <v>0</v>
      </c>
      <c r="N74" s="19" t="n">
        <v>44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89" t="inlineStr">
        <is>
          <t>⭐ Strong</t>
        </is>
      </c>
      <c r="S74" s="89" t="inlineStr">
        <is>
          <t>🔴 Not Qualified</t>
        </is>
      </c>
      <c r="T74" s="89" t="inlineStr">
        <is>
          <t>⚠️ Watch</t>
        </is>
      </c>
      <c r="U74" s="68" t="inlineStr">
        <is>
          <t>FULL</t>
        </is>
      </c>
    </row>
    <row r="75" ht="16" customHeight="1">
      <c r="A75" s="90" t="n">
        <v>71</v>
      </c>
      <c r="B75" s="91" t="inlineStr">
        <is>
          <t>BANK OF INDIA ELSS Tax Saver -Regular Plan- Growth</t>
        </is>
      </c>
      <c r="C75" s="91" t="inlineStr">
        <is>
          <t>Bank of India Mutual Fund</t>
        </is>
      </c>
      <c r="D75" s="91" t="inlineStr">
        <is>
          <t>Elss</t>
        </is>
      </c>
      <c r="E75" s="91" t="inlineStr">
        <is>
          <t>Elss</t>
        </is>
      </c>
      <c r="F75" s="92" t="n">
        <v>-2.53</v>
      </c>
      <c r="G75" s="93" t="n">
        <v>2.46</v>
      </c>
      <c r="H75" s="92" t="n">
        <v>-0.23</v>
      </c>
      <c r="I75" s="92" t="n">
        <v>-3.18</v>
      </c>
      <c r="J75" s="92" t="n">
        <v>-1.628256089464386</v>
      </c>
      <c r="K75" s="93" t="n">
        <v>49.43</v>
      </c>
      <c r="L75" s="17" t="n">
        <v>79.5</v>
      </c>
      <c r="M75" s="18" t="n">
        <v>0</v>
      </c>
      <c r="N75" s="19" t="n">
        <v>43.7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94" t="inlineStr">
        <is>
          <t>⭐ Strong</t>
        </is>
      </c>
      <c r="S75" s="94" t="inlineStr">
        <is>
          <t>🔴 Not Qualified</t>
        </is>
      </c>
      <c r="T75" s="94" t="inlineStr">
        <is>
          <t>⚠️ Watch</t>
        </is>
      </c>
      <c r="U75" s="68" t="inlineStr">
        <is>
          <t>FULL</t>
        </is>
      </c>
    </row>
    <row r="76" ht="16" customHeight="1">
      <c r="A76" s="85" t="n">
        <v>72</v>
      </c>
      <c r="B76" s="86" t="inlineStr">
        <is>
          <t>BANK OF INDIA Flexi Cap Fund Regular Plan -Growth</t>
        </is>
      </c>
      <c r="C76" s="86" t="inlineStr">
        <is>
          <t>Bank of India Mutual Fund</t>
        </is>
      </c>
      <c r="D76" s="86" t="inlineStr">
        <is>
          <t>Flexi Cap Fund</t>
        </is>
      </c>
      <c r="E76" s="86" t="inlineStr">
        <is>
          <t>Flexi Cap Fund</t>
        </is>
      </c>
      <c r="F76" s="87" t="n">
        <v>-3.26</v>
      </c>
      <c r="G76" s="88" t="n">
        <v>5.34</v>
      </c>
      <c r="H76" s="88" t="n">
        <v>1.18</v>
      </c>
      <c r="I76" s="88" t="n">
        <v>1.32</v>
      </c>
      <c r="J76" s="88" t="n">
        <v>2.28391857960859</v>
      </c>
      <c r="K76" s="88" t="n">
        <v>70.2</v>
      </c>
      <c r="L76" s="17" t="n">
        <v>79.5</v>
      </c>
      <c r="M76" s="18" t="n">
        <v>0</v>
      </c>
      <c r="N76" s="19" t="n">
        <v>43.7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89" t="inlineStr">
        <is>
          <t>⭐ Strong</t>
        </is>
      </c>
      <c r="S76" s="89" t="inlineStr">
        <is>
          <t>🔴 Not Qualified</t>
        </is>
      </c>
      <c r="T76" s="89" t="inlineStr">
        <is>
          <t>⚠️ Watch</t>
        </is>
      </c>
      <c r="U76" s="68" t="inlineStr">
        <is>
          <t>FULL</t>
        </is>
      </c>
    </row>
    <row r="77" ht="16" customHeight="1">
      <c r="A77" s="90" t="n">
        <v>73</v>
      </c>
      <c r="B77" s="91" t="inlineStr">
        <is>
          <t>Tata ELSS Fund-Growth-Regular Plan</t>
        </is>
      </c>
      <c r="C77" s="91" t="inlineStr">
        <is>
          <t>Tata Mutual Fund</t>
        </is>
      </c>
      <c r="D77" s="91" t="inlineStr">
        <is>
          <t>Elss</t>
        </is>
      </c>
      <c r="E77" s="91" t="inlineStr">
        <is>
          <t>Elss</t>
        </is>
      </c>
      <c r="F77" s="92" t="n">
        <v>-2.52</v>
      </c>
      <c r="G77" s="93" t="n">
        <v>1.74</v>
      </c>
      <c r="H77" s="92" t="n">
        <v>-4.6</v>
      </c>
      <c r="I77" s="92" t="n">
        <v>-1.45</v>
      </c>
      <c r="J77" s="93" t="n">
        <v>3.759336929261448</v>
      </c>
      <c r="K77" s="93" t="n">
        <v>44.76</v>
      </c>
      <c r="L77" s="17" t="n">
        <v>79.40000000000001</v>
      </c>
      <c r="M77" s="18" t="n">
        <v>0</v>
      </c>
      <c r="N77" s="19" t="n">
        <v>43.7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94" t="inlineStr">
        <is>
          <t>⭐ Strong</t>
        </is>
      </c>
      <c r="S77" s="94" t="inlineStr">
        <is>
          <t>🔴 Not Qualified</t>
        </is>
      </c>
      <c r="T77" s="94" t="inlineStr">
        <is>
          <t>⚠️ Watch</t>
        </is>
      </c>
      <c r="U77" s="68" t="inlineStr">
        <is>
          <t>FULL</t>
        </is>
      </c>
    </row>
    <row r="78" ht="16" customHeight="1">
      <c r="A78" s="85" t="n">
        <v>74</v>
      </c>
      <c r="B78" s="86" t="inlineStr">
        <is>
          <t>Aditya Birla Sun Life Flexi Cap Fund - Growth - Regular Plan</t>
        </is>
      </c>
      <c r="C78" s="86" t="inlineStr">
        <is>
          <t>Aditya Birla Sun Life Mutual Fund</t>
        </is>
      </c>
      <c r="D78" s="86" t="inlineStr">
        <is>
          <t>Flexi Cap Fund</t>
        </is>
      </c>
      <c r="E78" s="86" t="inlineStr">
        <is>
          <t>Flexi Cap Fund</t>
        </is>
      </c>
      <c r="F78" s="87" t="n">
        <v>-2.24</v>
      </c>
      <c r="G78" s="88" t="n">
        <v>3.39</v>
      </c>
      <c r="H78" s="87" t="n">
        <v>-3.47</v>
      </c>
      <c r="I78" s="88" t="n">
        <v>0.87</v>
      </c>
      <c r="J78" s="88" t="n">
        <v>6.122570643572334</v>
      </c>
      <c r="K78" s="88" t="n">
        <v>53.75</v>
      </c>
      <c r="L78" s="17" t="n">
        <v>78.59999999999999</v>
      </c>
      <c r="M78" s="18" t="n">
        <v>0</v>
      </c>
      <c r="N78" s="19" t="n">
        <v>43.2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89" t="inlineStr">
        <is>
          <t>⭐ Strong</t>
        </is>
      </c>
      <c r="S78" s="89" t="inlineStr">
        <is>
          <t>🔴 Not Qualified</t>
        </is>
      </c>
      <c r="T78" s="89" t="inlineStr">
        <is>
          <t>⚠️ Watch</t>
        </is>
      </c>
      <c r="U78" s="68" t="inlineStr">
        <is>
          <t>FULL</t>
        </is>
      </c>
    </row>
    <row r="79" ht="16" customHeight="1">
      <c r="A79" s="90" t="n">
        <v>75</v>
      </c>
      <c r="B79" s="91" t="inlineStr">
        <is>
          <t>LIC MF Multi Cap Fund-Regular Plan-Growth</t>
        </is>
      </c>
      <c r="C79" s="91" t="inlineStr">
        <is>
          <t>LIC Mutual Fund</t>
        </is>
      </c>
      <c r="D79" s="91" t="inlineStr">
        <is>
          <t>Multi Cap Fund</t>
        </is>
      </c>
      <c r="E79" s="91" t="inlineStr">
        <is>
          <t>Multi Cap Fund</t>
        </is>
      </c>
      <c r="F79" s="92" t="n">
        <v>-1.42</v>
      </c>
      <c r="G79" s="93" t="n">
        <v>6</v>
      </c>
      <c r="H79" s="92" t="n">
        <v>-1.4</v>
      </c>
      <c r="I79" s="92" t="n">
        <v>-0.19</v>
      </c>
      <c r="J79" s="93" t="n">
        <v>5.475115548644927</v>
      </c>
      <c r="K79" s="93" t="n">
        <v>62.5</v>
      </c>
      <c r="L79" s="17" t="n">
        <v>78.40000000000001</v>
      </c>
      <c r="M79" s="18" t="n">
        <v>0</v>
      </c>
      <c r="N79" s="19" t="n">
        <v>43.1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94" t="inlineStr">
        <is>
          <t>⭐ Strong</t>
        </is>
      </c>
      <c r="S79" s="94" t="inlineStr">
        <is>
          <t>🔴 Not Qualified</t>
        </is>
      </c>
      <c r="T79" s="94" t="inlineStr">
        <is>
          <t>⚠️ Watch</t>
        </is>
      </c>
      <c r="U79" s="68" t="inlineStr">
        <is>
          <t>FULL</t>
        </is>
      </c>
    </row>
    <row r="80" ht="16" customHeight="1">
      <c r="A80" s="85" t="n">
        <v>76</v>
      </c>
      <c r="B80" s="86" t="inlineStr">
        <is>
          <t>Bank of India Multi Cap Fund Regular Plan - Growth</t>
        </is>
      </c>
      <c r="C80" s="86" t="inlineStr">
        <is>
          <t>Bank of India Mutual Fund</t>
        </is>
      </c>
      <c r="D80" s="86" t="inlineStr">
        <is>
          <t>Multi Cap Fund</t>
        </is>
      </c>
      <c r="E80" s="86" t="inlineStr">
        <is>
          <t>Multi Cap Fund</t>
        </is>
      </c>
      <c r="F80" s="87" t="n">
        <v>-2.28</v>
      </c>
      <c r="G80" s="88" t="n">
        <v>5.26</v>
      </c>
      <c r="H80" s="87" t="n">
        <v>-0.05</v>
      </c>
      <c r="I80" s="88" t="n">
        <v>3.43</v>
      </c>
      <c r="J80" s="88" t="n">
        <v>5.437185091408803</v>
      </c>
      <c r="K80" s="88" t="n">
        <v>65.70999999999999</v>
      </c>
      <c r="L80" s="17" t="n">
        <v>78</v>
      </c>
      <c r="M80" s="18" t="n">
        <v>0</v>
      </c>
      <c r="N80" s="19" t="n">
        <v>42.9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89" t="inlineStr">
        <is>
          <t>⭐ Strong</t>
        </is>
      </c>
      <c r="S80" s="89" t="inlineStr">
        <is>
          <t>🔴 Not Qualified</t>
        </is>
      </c>
      <c r="T80" s="89" t="inlineStr">
        <is>
          <t>⚠️ Watch</t>
        </is>
      </c>
      <c r="U80" s="68" t="inlineStr">
        <is>
          <t>FULL</t>
        </is>
      </c>
    </row>
    <row r="81" ht="16" customHeight="1">
      <c r="A81" s="90" t="n">
        <v>77</v>
      </c>
      <c r="B81" s="91" t="inlineStr">
        <is>
          <t>Kotak Midcap Fund - Regular Plan - Growth</t>
        </is>
      </c>
      <c r="C81" s="91" t="inlineStr">
        <is>
          <t>Kotak Mahindra Mutual Fund</t>
        </is>
      </c>
      <c r="D81" s="91" t="inlineStr">
        <is>
          <t>Mid Cap Fund</t>
        </is>
      </c>
      <c r="E81" s="91" t="inlineStr">
        <is>
          <t>Mid Cap Fund</t>
        </is>
      </c>
      <c r="F81" s="92" t="n">
        <v>-2.41</v>
      </c>
      <c r="G81" s="93" t="n">
        <v>5.3</v>
      </c>
      <c r="H81" s="93" t="n">
        <v>0.48</v>
      </c>
      <c r="I81" s="93" t="n">
        <v>2.18</v>
      </c>
      <c r="J81" s="93" t="n">
        <v>6.630202100530602</v>
      </c>
      <c r="K81" s="93" t="n">
        <v>68.69</v>
      </c>
      <c r="L81" s="17" t="n">
        <v>77.59999999999999</v>
      </c>
      <c r="M81" s="18" t="n">
        <v>0</v>
      </c>
      <c r="N81" s="19" t="n">
        <v>42.7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94" t="inlineStr">
        <is>
          <t>⭐ Strong</t>
        </is>
      </c>
      <c r="S81" s="94" t="inlineStr">
        <is>
          <t>🔴 Not Qualified</t>
        </is>
      </c>
      <c r="T81" s="94" t="inlineStr">
        <is>
          <t>⚠️ Watch</t>
        </is>
      </c>
      <c r="U81" s="68" t="inlineStr">
        <is>
          <t>FULL</t>
        </is>
      </c>
    </row>
    <row r="82" ht="16" customHeight="1">
      <c r="A82" s="85" t="n">
        <v>78</v>
      </c>
      <c r="B82" s="86" t="inlineStr">
        <is>
          <t>Tata India Pharma &amp; Healthcare Fund-Regular Plan-Growth</t>
        </is>
      </c>
      <c r="C82" s="86" t="inlineStr">
        <is>
          <t>Tata Mutual Fund</t>
        </is>
      </c>
      <c r="D82" s="86" t="inlineStr">
        <is>
          <t>Sectoral/ Thematic</t>
        </is>
      </c>
      <c r="E82" s="86" t="inlineStr">
        <is>
          <t>Sectoral/ Thematic</t>
        </is>
      </c>
      <c r="F82" s="87" t="n">
        <v>-1.09</v>
      </c>
      <c r="G82" s="88" t="n">
        <v>5.52</v>
      </c>
      <c r="H82" s="88" t="n">
        <v>2.6</v>
      </c>
      <c r="I82" s="88" t="n">
        <v>4.74</v>
      </c>
      <c r="J82" s="88" t="n">
        <v>9.316055545377244</v>
      </c>
      <c r="K82" s="88" t="n">
        <v>81.62</v>
      </c>
      <c r="L82" s="17" t="n">
        <v>77.59999999999999</v>
      </c>
      <c r="M82" s="18" t="n">
        <v>0</v>
      </c>
      <c r="N82" s="19" t="n">
        <v>42.7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89" t="inlineStr">
        <is>
          <t>⭐ Strong</t>
        </is>
      </c>
      <c r="S82" s="89" t="inlineStr">
        <is>
          <t>🔴 Not Qualified</t>
        </is>
      </c>
      <c r="T82" s="89" t="inlineStr">
        <is>
          <t>⚠️ Watch</t>
        </is>
      </c>
      <c r="U82" s="68" t="inlineStr">
        <is>
          <t>FULL</t>
        </is>
      </c>
    </row>
    <row r="83" ht="16" customHeight="1">
      <c r="A83" s="90" t="n">
        <v>79</v>
      </c>
      <c r="B83" s="91" t="inlineStr">
        <is>
          <t>Invesco India Infrastructure Fund - Regular Plan - Growth Option</t>
        </is>
      </c>
      <c r="C83" s="91" t="inlineStr">
        <is>
          <t>Invesco Mutual Fund</t>
        </is>
      </c>
      <c r="D83" s="91" t="inlineStr">
        <is>
          <t>Sectoral/ Thematic</t>
        </is>
      </c>
      <c r="E83" s="91" t="inlineStr">
        <is>
          <t>Sectoral/ Thematic</t>
        </is>
      </c>
      <c r="F83" s="92" t="n">
        <v>-1.44</v>
      </c>
      <c r="G83" s="93" t="n">
        <v>9.619999999999999</v>
      </c>
      <c r="H83" s="93" t="n">
        <v>6.83</v>
      </c>
      <c r="I83" s="92" t="n">
        <v>-1.91</v>
      </c>
      <c r="J83" s="93" t="n">
        <v>0.2247474429344587</v>
      </c>
      <c r="K83" s="93" t="n">
        <v>76.72</v>
      </c>
      <c r="L83" s="17" t="n">
        <v>77.5</v>
      </c>
      <c r="M83" s="18" t="n">
        <v>0</v>
      </c>
      <c r="N83" s="19" t="n">
        <v>42.6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94" t="inlineStr">
        <is>
          <t>⭐ Strong</t>
        </is>
      </c>
      <c r="S83" s="94" t="inlineStr">
        <is>
          <t>🔴 Not Qualified</t>
        </is>
      </c>
      <c r="T83" s="94" t="inlineStr">
        <is>
          <t>⚠️ Watch</t>
        </is>
      </c>
      <c r="U83" s="68" t="inlineStr">
        <is>
          <t>FULL</t>
        </is>
      </c>
    </row>
    <row r="84" ht="16" customHeight="1">
      <c r="A84" s="85" t="n">
        <v>80</v>
      </c>
      <c r="B84" s="86" t="inlineStr">
        <is>
          <t>Aditya Birla Sun Life ELSS Tax Saver Fund - Growth Option</t>
        </is>
      </c>
      <c r="C84" s="86" t="inlineStr">
        <is>
          <t>Aditya Birla Sun Life Mutual Fund</t>
        </is>
      </c>
      <c r="D84" s="86" t="inlineStr">
        <is>
          <t>Elss</t>
        </is>
      </c>
      <c r="E84" s="86" t="inlineStr">
        <is>
          <t>Elss</t>
        </is>
      </c>
      <c r="F84" s="87" t="n">
        <v>-2.2</v>
      </c>
      <c r="G84" s="88" t="n">
        <v>2.27</v>
      </c>
      <c r="H84" s="87" t="n">
        <v>-6.31</v>
      </c>
      <c r="I84" s="87" t="n">
        <v>-2.85</v>
      </c>
      <c r="J84" s="88" t="n">
        <v>2.449987798925579</v>
      </c>
      <c r="K84" s="88" t="n">
        <v>41.61</v>
      </c>
      <c r="L84" s="17" t="n">
        <v>77.40000000000001</v>
      </c>
      <c r="M84" s="18" t="n">
        <v>0</v>
      </c>
      <c r="N84" s="19" t="n">
        <v>42.6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89" t="inlineStr">
        <is>
          <t>⭐ Strong</t>
        </is>
      </c>
      <c r="S84" s="89" t="inlineStr">
        <is>
          <t>🔴 Not Qualified</t>
        </is>
      </c>
      <c r="T84" s="89" t="inlineStr">
        <is>
          <t>⚠️ Watch</t>
        </is>
      </c>
      <c r="U84" s="68" t="inlineStr">
        <is>
          <t>FULL</t>
        </is>
      </c>
    </row>
    <row r="85" ht="16" customHeight="1">
      <c r="A85" s="90" t="n">
        <v>81</v>
      </c>
      <c r="B85" s="91" t="inlineStr">
        <is>
          <t>WhiteOak Capital ELSS Tax Saver Fund Regular Plan Growth</t>
        </is>
      </c>
      <c r="C85" s="91" t="inlineStr">
        <is>
          <t>WhiteOak Capital Mutual Fund</t>
        </is>
      </c>
      <c r="D85" s="91" t="inlineStr">
        <is>
          <t>Elss</t>
        </is>
      </c>
      <c r="E85" s="91" t="inlineStr">
        <is>
          <t>Elss</t>
        </is>
      </c>
      <c r="F85" s="92" t="n">
        <v>-1.92</v>
      </c>
      <c r="G85" s="93" t="n">
        <v>4.16</v>
      </c>
      <c r="H85" s="92" t="n">
        <v>-6.53</v>
      </c>
      <c r="I85" s="92" t="n">
        <v>-4.43</v>
      </c>
      <c r="J85" s="93" t="n">
        <v>4.766406829670355</v>
      </c>
      <c r="K85" s="93" t="n">
        <v>55.52</v>
      </c>
      <c r="L85" s="17" t="n">
        <v>77.3</v>
      </c>
      <c r="M85" s="18" t="n">
        <v>0</v>
      </c>
      <c r="N85" s="19" t="n">
        <v>42.5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94" t="inlineStr">
        <is>
          <t>⭐ Strong</t>
        </is>
      </c>
      <c r="S85" s="94" t="inlineStr">
        <is>
          <t>🔴 Not Qualified</t>
        </is>
      </c>
      <c r="T85" s="94" t="inlineStr">
        <is>
          <t>⚠️ Watch</t>
        </is>
      </c>
      <c r="U85" s="68" t="inlineStr">
        <is>
          <t>FULL</t>
        </is>
      </c>
    </row>
    <row r="86" ht="16" customHeight="1">
      <c r="A86" s="85" t="n">
        <v>82</v>
      </c>
      <c r="B86" s="86" t="inlineStr">
        <is>
          <t>Motilal Oswal ELSS Tax Saver Fund - Regular Plan - Growth Option</t>
        </is>
      </c>
      <c r="C86" s="86" t="inlineStr">
        <is>
          <t>Motilal Oswal Mutual Fund</t>
        </is>
      </c>
      <c r="D86" s="86" t="inlineStr">
        <is>
          <t>Elss</t>
        </is>
      </c>
      <c r="E86" s="86" t="inlineStr">
        <is>
          <t>Elss</t>
        </is>
      </c>
      <c r="F86" s="87" t="n">
        <v>-4.27</v>
      </c>
      <c r="G86" s="88" t="n">
        <v>11.04</v>
      </c>
      <c r="H86" s="88" t="n">
        <v>5.2</v>
      </c>
      <c r="I86" s="87" t="n">
        <v>-0.34</v>
      </c>
      <c r="J86" s="88" t="n">
        <v>7.242715370322483</v>
      </c>
      <c r="K86" s="88" t="n">
        <v>79.20999999999999</v>
      </c>
      <c r="L86" s="17" t="n">
        <v>76.90000000000001</v>
      </c>
      <c r="M86" s="18" t="n">
        <v>0</v>
      </c>
      <c r="N86" s="19" t="n">
        <v>42.3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89" t="inlineStr">
        <is>
          <t>⭐ Strong</t>
        </is>
      </c>
      <c r="S86" s="89" t="inlineStr">
        <is>
          <t>🔴 Not Qualified</t>
        </is>
      </c>
      <c r="T86" s="89" t="inlineStr">
        <is>
          <t>⚠️ Watch</t>
        </is>
      </c>
      <c r="U86" s="68" t="inlineStr">
        <is>
          <t>FULL</t>
        </is>
      </c>
    </row>
    <row r="87" ht="16" customHeight="1">
      <c r="A87" s="90" t="n">
        <v>83</v>
      </c>
      <c r="B87" s="91" t="inlineStr">
        <is>
          <t>SBI MNC FUND - REGULAR PLAN -GROWTH</t>
        </is>
      </c>
      <c r="C87" s="91" t="inlineStr">
        <is>
          <t>SBI Mutual Fund</t>
        </is>
      </c>
      <c r="D87" s="91" t="inlineStr">
        <is>
          <t>Sectoral/ Thematic</t>
        </is>
      </c>
      <c r="E87" s="91" t="inlineStr">
        <is>
          <t>Sectoral/ Thematic</t>
        </is>
      </c>
      <c r="F87" s="92" t="n">
        <v>-1.39</v>
      </c>
      <c r="G87" s="93" t="n">
        <v>7.25</v>
      </c>
      <c r="H87" s="93" t="n">
        <v>3.89</v>
      </c>
      <c r="I87" s="93" t="n">
        <v>0.89</v>
      </c>
      <c r="J87" s="93" t="n">
        <v>0.9257152563210802</v>
      </c>
      <c r="K87" s="93" t="n">
        <v>20.94</v>
      </c>
      <c r="L87" s="17" t="n">
        <v>76.7</v>
      </c>
      <c r="M87" s="18" t="n">
        <v>0</v>
      </c>
      <c r="N87" s="19" t="n">
        <v>42.2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94" t="inlineStr">
        <is>
          <t>⭐ Strong</t>
        </is>
      </c>
      <c r="S87" s="94" t="inlineStr">
        <is>
          <t>🔴 Not Qualified</t>
        </is>
      </c>
      <c r="T87" s="94" t="inlineStr">
        <is>
          <t>⚠️ Watch</t>
        </is>
      </c>
      <c r="U87" s="68" t="inlineStr">
        <is>
          <t>FULL</t>
        </is>
      </c>
    </row>
    <row r="88" ht="16" customHeight="1">
      <c r="A88" s="85" t="n">
        <v>84</v>
      </c>
      <c r="B88" s="86" t="inlineStr">
        <is>
          <t>Motilal Oswal Large and Midcap Fund - Regular Plan Growth</t>
        </is>
      </c>
      <c r="C88" s="86" t="inlineStr">
        <is>
          <t>Motilal Oswal Mutual Fund</t>
        </is>
      </c>
      <c r="D88" s="86" t="inlineStr">
        <is>
          <t>Large &amp; Mid Cap Fund</t>
        </is>
      </c>
      <c r="E88" s="86" t="inlineStr">
        <is>
          <t>Large &amp; Mid Cap Fund</t>
        </is>
      </c>
      <c r="F88" s="87" t="n">
        <v>-3.58</v>
      </c>
      <c r="G88" s="88" t="n">
        <v>9.609999999999999</v>
      </c>
      <c r="H88" s="88" t="n">
        <v>1.98</v>
      </c>
      <c r="I88" s="88" t="n">
        <v>0.01</v>
      </c>
      <c r="J88" s="88" t="n">
        <v>9.940893210852163</v>
      </c>
      <c r="K88" s="88" t="n">
        <v>83.66</v>
      </c>
      <c r="L88" s="17" t="n">
        <v>76.59999999999999</v>
      </c>
      <c r="M88" s="18" t="n">
        <v>0</v>
      </c>
      <c r="N88" s="19" t="n">
        <v>42.1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89" t="inlineStr">
        <is>
          <t>⭐ Strong</t>
        </is>
      </c>
      <c r="S88" s="89" t="inlineStr">
        <is>
          <t>🔴 Not Qualified</t>
        </is>
      </c>
      <c r="T88" s="89" t="inlineStr">
        <is>
          <t>⚠️ Watch</t>
        </is>
      </c>
      <c r="U88" s="68" t="inlineStr">
        <is>
          <t>FULL</t>
        </is>
      </c>
    </row>
    <row r="89" ht="16" customHeight="1">
      <c r="A89" s="90" t="n">
        <v>85</v>
      </c>
      <c r="B89" s="91" t="inlineStr">
        <is>
          <t>Axis Flexi Cap Fund - Regular Plan - Growth</t>
        </is>
      </c>
      <c r="C89" s="91" t="inlineStr">
        <is>
          <t>Axis Mutual Fund</t>
        </is>
      </c>
      <c r="D89" s="91" t="inlineStr">
        <is>
          <t>Flexi Cap Fund</t>
        </is>
      </c>
      <c r="E89" s="91" t="inlineStr">
        <is>
          <t>Flexi Cap Fund</t>
        </is>
      </c>
      <c r="F89" s="92" t="n">
        <v>-1.49</v>
      </c>
      <c r="G89" s="93" t="n">
        <v>3.88</v>
      </c>
      <c r="H89" s="92" t="n">
        <v>-3.92</v>
      </c>
      <c r="I89" s="92" t="n">
        <v>-3.31</v>
      </c>
      <c r="J89" s="93" t="n">
        <v>2.713192920870688</v>
      </c>
      <c r="K89" s="93" t="n">
        <v>40.03</v>
      </c>
      <c r="L89" s="17" t="n">
        <v>76.3</v>
      </c>
      <c r="M89" s="18" t="n">
        <v>0</v>
      </c>
      <c r="N89" s="19" t="n">
        <v>42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94" t="inlineStr">
        <is>
          <t>⭐ Strong</t>
        </is>
      </c>
      <c r="S89" s="94" t="inlineStr">
        <is>
          <t>🔴 Not Qualified</t>
        </is>
      </c>
      <c r="T89" s="94" t="inlineStr">
        <is>
          <t>⚠️ Watch</t>
        </is>
      </c>
      <c r="U89" s="68" t="inlineStr">
        <is>
          <t>FULL</t>
        </is>
      </c>
    </row>
    <row r="90" ht="16" customHeight="1">
      <c r="A90" s="85" t="n">
        <v>86</v>
      </c>
      <c r="B90" s="86" t="inlineStr">
        <is>
          <t>ICICI Prudential MidCap Fund - Growth</t>
        </is>
      </c>
      <c r="C90" s="86" t="inlineStr">
        <is>
          <t>ICICI Prudential Mutual Fund</t>
        </is>
      </c>
      <c r="D90" s="86" t="inlineStr">
        <is>
          <t>Mid Cap Fund</t>
        </is>
      </c>
      <c r="E90" s="86" t="inlineStr">
        <is>
          <t>Mid Cap Fund</t>
        </is>
      </c>
      <c r="F90" s="87" t="n">
        <v>-3.78</v>
      </c>
      <c r="G90" s="88" t="n">
        <v>5.51</v>
      </c>
      <c r="H90" s="88" t="n">
        <v>4.22</v>
      </c>
      <c r="I90" s="88" t="n">
        <v>7.12</v>
      </c>
      <c r="J90" s="88" t="n">
        <v>8.097178501568681</v>
      </c>
      <c r="K90" s="88" t="n">
        <v>87.53</v>
      </c>
      <c r="L90" s="17" t="n">
        <v>75.90000000000001</v>
      </c>
      <c r="M90" s="18" t="n">
        <v>0</v>
      </c>
      <c r="N90" s="19" t="n">
        <v>41.7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89" t="inlineStr">
        <is>
          <t>⭐ Strong</t>
        </is>
      </c>
      <c r="S90" s="89" t="inlineStr">
        <is>
          <t>🔴 Not Qualified</t>
        </is>
      </c>
      <c r="T90" s="89" t="inlineStr">
        <is>
          <t>⚠️ Watch</t>
        </is>
      </c>
      <c r="U90" s="68" t="inlineStr">
        <is>
          <t>FULL</t>
        </is>
      </c>
    </row>
    <row r="91" ht="16" customHeight="1">
      <c r="A91" s="90" t="n">
        <v>87</v>
      </c>
      <c r="B91" s="91" t="inlineStr">
        <is>
          <t>WhiteOak Capital Large Cap Fund Regular Plan Growth</t>
        </is>
      </c>
      <c r="C91" s="91" t="inlineStr">
        <is>
          <t>WhiteOak Capital Mutual Fund</t>
        </is>
      </c>
      <c r="D91" s="91" t="inlineStr">
        <is>
          <t>Large Cap Fund</t>
        </is>
      </c>
      <c r="E91" s="91" t="inlineStr">
        <is>
          <t>Large Cap Fund</t>
        </is>
      </c>
      <c r="F91" s="92" t="n">
        <v>-2.03</v>
      </c>
      <c r="G91" s="93" t="n">
        <v>0.35</v>
      </c>
      <c r="H91" s="92" t="n">
        <v>-8.380000000000001</v>
      </c>
      <c r="I91" s="92" t="n">
        <v>-4.68</v>
      </c>
      <c r="J91" s="93" t="n">
        <v>2.630404851583812</v>
      </c>
      <c r="K91" s="93" t="n">
        <v>42.52</v>
      </c>
      <c r="L91" s="73" t="n">
        <v>74.90000000000001</v>
      </c>
      <c r="M91" s="18" t="n">
        <v>0</v>
      </c>
      <c r="N91" s="19" t="n">
        <v>41.2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94" t="inlineStr">
        <is>
          <t>📈 Good</t>
        </is>
      </c>
      <c r="S91" s="94" t="inlineStr">
        <is>
          <t>🔴 Not Qualified</t>
        </is>
      </c>
      <c r="T91" s="94" t="inlineStr">
        <is>
          <t>⚠️ Watch</t>
        </is>
      </c>
      <c r="U91" s="68" t="inlineStr">
        <is>
          <t>FULL</t>
        </is>
      </c>
    </row>
    <row r="92" ht="16" customHeight="1">
      <c r="A92" s="85" t="n">
        <v>88</v>
      </c>
      <c r="B92" s="86" t="inlineStr">
        <is>
          <t>Nippon India ELSS Tax Saver Fund-Growth Plan-Growth Option</t>
        </is>
      </c>
      <c r="C92" s="86" t="inlineStr">
        <is>
          <t>Nippon India Mutual Fund</t>
        </is>
      </c>
      <c r="D92" s="86" t="inlineStr">
        <is>
          <t>Elss</t>
        </is>
      </c>
      <c r="E92" s="86" t="inlineStr">
        <is>
          <t>Elss</t>
        </is>
      </c>
      <c r="F92" s="87" t="n">
        <v>-2.52</v>
      </c>
      <c r="G92" s="88" t="n">
        <v>0.97</v>
      </c>
      <c r="H92" s="87" t="n">
        <v>-4.26</v>
      </c>
      <c r="I92" s="87" t="n">
        <v>-2.81</v>
      </c>
      <c r="J92" s="88" t="n">
        <v>2.093094771389903</v>
      </c>
      <c r="K92" s="88" t="n">
        <v>50.66</v>
      </c>
      <c r="L92" s="73" t="n">
        <v>74.8</v>
      </c>
      <c r="M92" s="18" t="n">
        <v>0</v>
      </c>
      <c r="N92" s="19" t="n">
        <v>41.1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89" t="inlineStr">
        <is>
          <t>📈 Good</t>
        </is>
      </c>
      <c r="S92" s="89" t="inlineStr">
        <is>
          <t>🔴 Not Qualified</t>
        </is>
      </c>
      <c r="T92" s="89" t="inlineStr">
        <is>
          <t>⚠️ Watch</t>
        </is>
      </c>
      <c r="U92" s="68" t="inlineStr">
        <is>
          <t>FULL</t>
        </is>
      </c>
    </row>
    <row r="93" ht="16" customHeight="1">
      <c r="A93" s="90" t="n">
        <v>89</v>
      </c>
      <c r="B93" s="91" t="inlineStr">
        <is>
          <t>quant Mid Cap Fund - Growth Option - Regular Plan</t>
        </is>
      </c>
      <c r="C93" s="91" t="inlineStr">
        <is>
          <t>quant Mutual Fund</t>
        </is>
      </c>
      <c r="D93" s="91" t="inlineStr">
        <is>
          <t>Mid Cap Fund</t>
        </is>
      </c>
      <c r="E93" s="91" t="inlineStr">
        <is>
          <t>Mid Cap Fund</t>
        </is>
      </c>
      <c r="F93" s="92" t="n">
        <v>-0.97</v>
      </c>
      <c r="G93" s="93" t="n">
        <v>10.67</v>
      </c>
      <c r="H93" s="93" t="n">
        <v>0.53</v>
      </c>
      <c r="I93" s="92" t="n">
        <v>-4.37</v>
      </c>
      <c r="J93" s="92" t="n">
        <v>-5.638991103316404</v>
      </c>
      <c r="K93" s="93" t="n">
        <v>54.6</v>
      </c>
      <c r="L93" s="73" t="n">
        <v>74.40000000000001</v>
      </c>
      <c r="M93" s="18" t="n">
        <v>0</v>
      </c>
      <c r="N93" s="19" t="n">
        <v>40.9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94" t="inlineStr">
        <is>
          <t>📈 Good</t>
        </is>
      </c>
      <c r="S93" s="94" t="inlineStr">
        <is>
          <t>🔴 Not Qualified</t>
        </is>
      </c>
      <c r="T93" s="94" t="inlineStr">
        <is>
          <t>⚠️ Watch</t>
        </is>
      </c>
      <c r="U93" s="68" t="inlineStr">
        <is>
          <t>FULL</t>
        </is>
      </c>
    </row>
    <row r="94" ht="16" customHeight="1">
      <c r="A94" s="85" t="n">
        <v>90</v>
      </c>
      <c r="B94" s="86" t="inlineStr">
        <is>
          <t>Aditya Birla Sun Life Small Cap Fund - GROWTH</t>
        </is>
      </c>
      <c r="C94" s="86" t="inlineStr">
        <is>
          <t>Aditya Birla Sun Life Mutual Fund</t>
        </is>
      </c>
      <c r="D94" s="86" t="inlineStr">
        <is>
          <t>Small Cap Fund</t>
        </is>
      </c>
      <c r="E94" s="86" t="inlineStr">
        <is>
          <t>Small Cap Fund</t>
        </is>
      </c>
      <c r="F94" s="87" t="n">
        <v>-1.99</v>
      </c>
      <c r="G94" s="88" t="n">
        <v>11.48</v>
      </c>
      <c r="H94" s="88" t="n">
        <v>5.01</v>
      </c>
      <c r="I94" s="88" t="n">
        <v>3</v>
      </c>
      <c r="J94" s="88" t="n">
        <v>4.13932974625868</v>
      </c>
      <c r="K94" s="88" t="n">
        <v>55.21</v>
      </c>
      <c r="L94" s="73" t="n">
        <v>73.2</v>
      </c>
      <c r="M94" s="18" t="n">
        <v>0</v>
      </c>
      <c r="N94" s="19" t="n">
        <v>40.3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89" t="inlineStr">
        <is>
          <t>📈 Good</t>
        </is>
      </c>
      <c r="S94" s="89" t="inlineStr">
        <is>
          <t>🔴 Not Qualified</t>
        </is>
      </c>
      <c r="T94" s="89" t="inlineStr">
        <is>
          <t>⚠️ Watch</t>
        </is>
      </c>
      <c r="U94" s="68" t="inlineStr">
        <is>
          <t>FULL</t>
        </is>
      </c>
    </row>
    <row r="95" ht="16" customHeight="1">
      <c r="A95" s="90" t="n">
        <v>91</v>
      </c>
      <c r="B95" s="91" t="inlineStr">
        <is>
          <t>Kotak Manufacture in India Fund - Regular Plan Growth</t>
        </is>
      </c>
      <c r="C95" s="91" t="inlineStr">
        <is>
          <t>Kotak Mahindra Mutual Fund</t>
        </is>
      </c>
      <c r="D95" s="91" t="inlineStr">
        <is>
          <t>Sectoral/ Thematic</t>
        </is>
      </c>
      <c r="E95" s="91" t="inlineStr">
        <is>
          <t>Sectoral/ Thematic</t>
        </is>
      </c>
      <c r="F95" s="92" t="n">
        <v>-2.18</v>
      </c>
      <c r="G95" s="93" t="n">
        <v>3.65</v>
      </c>
      <c r="H95" s="93" t="n">
        <v>2.71</v>
      </c>
      <c r="I95" s="93" t="n">
        <v>7.75</v>
      </c>
      <c r="J95" s="93" t="n">
        <v>5.323311759553029</v>
      </c>
      <c r="K95" s="93" t="n">
        <v>69.20999999999999</v>
      </c>
      <c r="L95" s="73" t="n">
        <v>72.7</v>
      </c>
      <c r="M95" s="18" t="n">
        <v>0</v>
      </c>
      <c r="N95" s="19" t="n">
        <v>40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94" t="inlineStr">
        <is>
          <t>📈 Good</t>
        </is>
      </c>
      <c r="S95" s="94" t="inlineStr">
        <is>
          <t>🔴 Not Qualified</t>
        </is>
      </c>
      <c r="T95" s="94" t="inlineStr">
        <is>
          <t>⚠️ Watch</t>
        </is>
      </c>
      <c r="U95" s="68" t="inlineStr">
        <is>
          <t>FULL</t>
        </is>
      </c>
    </row>
    <row r="96" ht="16" customHeight="1">
      <c r="A96" s="85" t="n">
        <v>92</v>
      </c>
      <c r="B96" s="86" t="inlineStr">
        <is>
          <t>Groww Largecap Fund (formerly known as Indiabulls Bluechip Fund)- Regular Plan- - Income Distribution cum capital withdrawal Option (Payout &amp; Reinvestment)</t>
        </is>
      </c>
      <c r="C96" s="86" t="inlineStr">
        <is>
          <t>Groww Mutual Fund</t>
        </is>
      </c>
      <c r="D96" s="86" t="inlineStr">
        <is>
          <t>Large Cap Fund</t>
        </is>
      </c>
      <c r="E96" s="86" t="inlineStr">
        <is>
          <t>Large Cap Fund</t>
        </is>
      </c>
      <c r="F96" s="87" t="n">
        <v>-2.51</v>
      </c>
      <c r="G96" s="87" t="n">
        <v>-0.61</v>
      </c>
      <c r="H96" s="87" t="n">
        <v>-8.23</v>
      </c>
      <c r="I96" s="87" t="n">
        <v>-4.33</v>
      </c>
      <c r="J96" s="87" t="n">
        <v>-0.8788619920049534</v>
      </c>
      <c r="K96" s="88" t="n">
        <v>33.26</v>
      </c>
      <c r="L96" s="73" t="n">
        <v>72.7</v>
      </c>
      <c r="M96" s="18" t="n">
        <v>0</v>
      </c>
      <c r="N96" s="19" t="n">
        <v>40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89" t="inlineStr">
        <is>
          <t>📈 Good</t>
        </is>
      </c>
      <c r="S96" s="89" t="inlineStr">
        <is>
          <t>🔴 Not Qualified</t>
        </is>
      </c>
      <c r="T96" s="89" t="inlineStr">
        <is>
          <t>⚠️ Watch</t>
        </is>
      </c>
      <c r="U96" s="68" t="inlineStr">
        <is>
          <t>FULL</t>
        </is>
      </c>
    </row>
    <row r="97" ht="16" customHeight="1">
      <c r="A97" s="90" t="n">
        <v>93</v>
      </c>
      <c r="B97" s="91" t="inlineStr">
        <is>
          <t>Union Small Cap Fund - Regular Plan - Growth Option</t>
        </is>
      </c>
      <c r="C97" s="91" t="inlineStr">
        <is>
          <t>Union Mutual Fund</t>
        </is>
      </c>
      <c r="D97" s="91" t="inlineStr">
        <is>
          <t>Small Cap Fund</t>
        </is>
      </c>
      <c r="E97" s="91" t="inlineStr">
        <is>
          <t>Small Cap Fund</t>
        </is>
      </c>
      <c r="F97" s="92" t="n">
        <v>-3.61</v>
      </c>
      <c r="G97" s="93" t="n">
        <v>11.52</v>
      </c>
      <c r="H97" s="93" t="n">
        <v>9.279999999999999</v>
      </c>
      <c r="I97" s="93" t="n">
        <v>10.21</v>
      </c>
      <c r="J97" s="93" t="n">
        <v>8.189648303338149</v>
      </c>
      <c r="K97" s="93" t="n">
        <v>63.08</v>
      </c>
      <c r="L97" s="73" t="n">
        <v>72.59999999999999</v>
      </c>
      <c r="M97" s="18" t="n">
        <v>0</v>
      </c>
      <c r="N97" s="19" t="n">
        <v>40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94" t="inlineStr">
        <is>
          <t>📈 Good</t>
        </is>
      </c>
      <c r="S97" s="94" t="inlineStr">
        <is>
          <t>🔴 Not Qualified</t>
        </is>
      </c>
      <c r="T97" s="94" t="inlineStr">
        <is>
          <t>🔴 Avoid</t>
        </is>
      </c>
      <c r="U97" s="68" t="inlineStr">
        <is>
          <t>FULL</t>
        </is>
      </c>
    </row>
    <row r="98" ht="16" customHeight="1">
      <c r="A98" s="85" t="n">
        <v>94</v>
      </c>
      <c r="B98" s="86" t="inlineStr">
        <is>
          <t>ICICI Prudential Multicap Fund - Growth</t>
        </is>
      </c>
      <c r="C98" s="86" t="inlineStr">
        <is>
          <t>ICICI Prudential Mutual Fund</t>
        </is>
      </c>
      <c r="D98" s="86" t="inlineStr">
        <is>
          <t>Multi Cap Fund</t>
        </is>
      </c>
      <c r="E98" s="86" t="inlineStr">
        <is>
          <t>Multi Cap Fund</t>
        </is>
      </c>
      <c r="F98" s="87" t="n">
        <v>-3.09</v>
      </c>
      <c r="G98" s="88" t="n">
        <v>5.49</v>
      </c>
      <c r="H98" s="88" t="n">
        <v>1.65</v>
      </c>
      <c r="I98" s="88" t="n">
        <v>0.98</v>
      </c>
      <c r="J98" s="88" t="n">
        <v>5.176042899512057</v>
      </c>
      <c r="K98" s="88" t="n">
        <v>61.99</v>
      </c>
      <c r="L98" s="73" t="n">
        <v>72.5</v>
      </c>
      <c r="M98" s="18" t="n">
        <v>0</v>
      </c>
      <c r="N98" s="19" t="n">
        <v>39.9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89" t="inlineStr">
        <is>
          <t>📈 Good</t>
        </is>
      </c>
      <c r="S98" s="89" t="inlineStr">
        <is>
          <t>🔴 Not Qualified</t>
        </is>
      </c>
      <c r="T98" s="89" t="inlineStr">
        <is>
          <t>🔴 Avoid</t>
        </is>
      </c>
      <c r="U98" s="68" t="inlineStr">
        <is>
          <t>FULL</t>
        </is>
      </c>
    </row>
    <row r="99" ht="16" customHeight="1">
      <c r="A99" s="90" t="n">
        <v>95</v>
      </c>
      <c r="B99" s="91" t="inlineStr">
        <is>
          <t>WhiteOak Capital Flexi Cap Fund Regular Plan-Growth</t>
        </is>
      </c>
      <c r="C99" s="91" t="inlineStr">
        <is>
          <t>WhiteOak Capital Mutual Fund</t>
        </is>
      </c>
      <c r="D99" s="91" t="inlineStr">
        <is>
          <t>Flexi Cap Fund</t>
        </is>
      </c>
      <c r="E99" s="91" t="inlineStr">
        <is>
          <t>Flexi Cap Fund</t>
        </is>
      </c>
      <c r="F99" s="92" t="n">
        <v>-1.89</v>
      </c>
      <c r="G99" s="93" t="n">
        <v>3.68</v>
      </c>
      <c r="H99" s="92" t="n">
        <v>-5.96</v>
      </c>
      <c r="I99" s="92" t="n">
        <v>-2.74</v>
      </c>
      <c r="J99" s="93" t="n">
        <v>4.947605975553349</v>
      </c>
      <c r="K99" s="93" t="n">
        <v>51.81</v>
      </c>
      <c r="L99" s="73" t="n">
        <v>70.5</v>
      </c>
      <c r="M99" s="18" t="n">
        <v>0</v>
      </c>
      <c r="N99" s="19" t="n">
        <v>38.8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94" t="inlineStr">
        <is>
          <t>📈 Good</t>
        </is>
      </c>
      <c r="S99" s="94" t="inlineStr">
        <is>
          <t>🔴 Not Qualified</t>
        </is>
      </c>
      <c r="T99" s="94" t="inlineStr">
        <is>
          <t>🔴 Avoid</t>
        </is>
      </c>
      <c r="U99" s="68" t="inlineStr">
        <is>
          <t>FULL</t>
        </is>
      </c>
    </row>
    <row r="100" ht="16" customHeight="1">
      <c r="A100" s="85" t="n">
        <v>96</v>
      </c>
      <c r="B100" s="86" t="inlineStr">
        <is>
          <t>ICICI Prudential Manufacturing Fund - Cumulative Option</t>
        </is>
      </c>
      <c r="C100" s="86" t="inlineStr">
        <is>
          <t>ICICI Prudential Mutual Fund</t>
        </is>
      </c>
      <c r="D100" s="86" t="inlineStr">
        <is>
          <t>Sectoral/ Thematic</t>
        </is>
      </c>
      <c r="E100" s="86" t="inlineStr">
        <is>
          <t>Sectoral/ Thematic</t>
        </is>
      </c>
      <c r="F100" s="87" t="n">
        <v>-2.6</v>
      </c>
      <c r="G100" s="88" t="n">
        <v>4.59</v>
      </c>
      <c r="H100" s="88" t="n">
        <v>2.97</v>
      </c>
      <c r="I100" s="88" t="n">
        <v>5.49</v>
      </c>
      <c r="J100" s="88" t="n">
        <v>3.633971264252933</v>
      </c>
      <c r="K100" s="88" t="n">
        <v>79.47</v>
      </c>
      <c r="L100" s="73" t="n">
        <v>70.5</v>
      </c>
      <c r="M100" s="18" t="n">
        <v>0</v>
      </c>
      <c r="N100" s="19" t="n">
        <v>38.8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89" t="inlineStr">
        <is>
          <t>📈 Good</t>
        </is>
      </c>
      <c r="S100" s="89" t="inlineStr">
        <is>
          <t>🔴 Not Qualified</t>
        </is>
      </c>
      <c r="T100" s="89" t="inlineStr">
        <is>
          <t>🔴 Avoid</t>
        </is>
      </c>
      <c r="U100" s="68" t="inlineStr">
        <is>
          <t>FULL</t>
        </is>
      </c>
    </row>
    <row r="101" ht="16" customHeight="1">
      <c r="A101" s="90" t="n">
        <v>97</v>
      </c>
      <c r="B101" s="91" t="inlineStr">
        <is>
          <t>ICICI Prudential MNC Fund - Growth Option</t>
        </is>
      </c>
      <c r="C101" s="91" t="inlineStr">
        <is>
          <t>ICICI Prudential Mutual Fund</t>
        </is>
      </c>
      <c r="D101" s="91" t="inlineStr">
        <is>
          <t>Sectoral/ Thematic</t>
        </is>
      </c>
      <c r="E101" s="91" t="inlineStr">
        <is>
          <t>Sectoral/ Thematic</t>
        </is>
      </c>
      <c r="F101" s="92" t="n">
        <v>-1.56</v>
      </c>
      <c r="G101" s="93" t="n">
        <v>4.29</v>
      </c>
      <c r="H101" s="92" t="n">
        <v>-0.86</v>
      </c>
      <c r="I101" s="93" t="n">
        <v>3.76</v>
      </c>
      <c r="J101" s="93" t="n">
        <v>2.43534546239399</v>
      </c>
      <c r="K101" s="93" t="n">
        <v>43.58</v>
      </c>
      <c r="L101" s="73" t="n">
        <v>70.40000000000001</v>
      </c>
      <c r="M101" s="18" t="n">
        <v>0</v>
      </c>
      <c r="N101" s="19" t="n">
        <v>38.7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94" t="inlineStr">
        <is>
          <t>📈 Good</t>
        </is>
      </c>
      <c r="S101" s="94" t="inlineStr">
        <is>
          <t>🔴 Not Qualified</t>
        </is>
      </c>
      <c r="T101" s="94" t="inlineStr">
        <is>
          <t>🔴 Avoid</t>
        </is>
      </c>
      <c r="U101" s="68" t="inlineStr">
        <is>
          <t>FULL</t>
        </is>
      </c>
    </row>
    <row r="102" ht="16" customHeight="1">
      <c r="A102" s="85" t="n">
        <v>98</v>
      </c>
      <c r="B102" s="86" t="inlineStr">
        <is>
          <t>Kotak Focused Fund- Regular Plan-Income Distribution cum capital withdrawal option</t>
        </is>
      </c>
      <c r="C102" s="86" t="inlineStr">
        <is>
          <t>Kotak Mahindra Mutual Fund</t>
        </is>
      </c>
      <c r="D102" s="86" t="inlineStr">
        <is>
          <t>Focused Fund</t>
        </is>
      </c>
      <c r="E102" s="86" t="inlineStr">
        <is>
          <t>Focused Fund</t>
        </is>
      </c>
      <c r="F102" s="87" t="n">
        <v>-1.72</v>
      </c>
      <c r="G102" s="88" t="n">
        <v>0.79</v>
      </c>
      <c r="H102" s="87" t="n">
        <v>-4.06</v>
      </c>
      <c r="I102" s="88" t="n">
        <v>2.37</v>
      </c>
      <c r="J102" s="88" t="n">
        <v>4.823661451029282</v>
      </c>
      <c r="K102" s="88" t="n">
        <v>48.5</v>
      </c>
      <c r="L102" s="73" t="n">
        <v>70</v>
      </c>
      <c r="M102" s="18" t="n">
        <v>0</v>
      </c>
      <c r="N102" s="19" t="n">
        <v>38.5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89" t="inlineStr">
        <is>
          <t>📈 Good</t>
        </is>
      </c>
      <c r="S102" s="89" t="inlineStr">
        <is>
          <t>🔴 Not Qualified</t>
        </is>
      </c>
      <c r="T102" s="89" t="inlineStr">
        <is>
          <t>🔴 Avoid</t>
        </is>
      </c>
      <c r="U102" s="68" t="inlineStr">
        <is>
          <t>FULL</t>
        </is>
      </c>
    </row>
    <row r="103" ht="16" customHeight="1">
      <c r="A103" s="90" t="n">
        <v>99</v>
      </c>
      <c r="B103" s="91" t="inlineStr">
        <is>
          <t>Kotak Focused Fund- Regular plan _ Growth Option</t>
        </is>
      </c>
      <c r="C103" s="91" t="inlineStr">
        <is>
          <t>Kotak Mahindra Mutual Fund</t>
        </is>
      </c>
      <c r="D103" s="91" t="inlineStr">
        <is>
          <t>Focused Fund</t>
        </is>
      </c>
      <c r="E103" s="91" t="inlineStr">
        <is>
          <t>Focused Fund</t>
        </is>
      </c>
      <c r="F103" s="92" t="n">
        <v>-1.72</v>
      </c>
      <c r="G103" s="93" t="n">
        <v>0.79</v>
      </c>
      <c r="H103" s="92" t="n">
        <v>-4.06</v>
      </c>
      <c r="I103" s="93" t="n">
        <v>2.37</v>
      </c>
      <c r="J103" s="93" t="n">
        <v>4.823661451029282</v>
      </c>
      <c r="K103" s="93" t="n">
        <v>48.5</v>
      </c>
      <c r="L103" s="73" t="n">
        <v>70</v>
      </c>
      <c r="M103" s="18" t="n">
        <v>0</v>
      </c>
      <c r="N103" s="19" t="n">
        <v>38.5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94" t="inlineStr">
        <is>
          <t>📈 Good</t>
        </is>
      </c>
      <c r="S103" s="94" t="inlineStr">
        <is>
          <t>🔴 Not Qualified</t>
        </is>
      </c>
      <c r="T103" s="94" t="inlineStr">
        <is>
          <t>🔴 Avoid</t>
        </is>
      </c>
      <c r="U103" s="68" t="inlineStr">
        <is>
          <t>FULL</t>
        </is>
      </c>
    </row>
    <row r="104" ht="16" customHeight="1">
      <c r="A104" s="85" t="n">
        <v>100</v>
      </c>
      <c r="B104" s="86" t="inlineStr">
        <is>
          <t>Axis Value Fund - Regular Plan - Growth</t>
        </is>
      </c>
      <c r="C104" s="86" t="inlineStr">
        <is>
          <t>Axis Mutual Fund</t>
        </is>
      </c>
      <c r="D104" s="86" t="inlineStr">
        <is>
          <t>Value Fund</t>
        </is>
      </c>
      <c r="E104" s="86" t="inlineStr">
        <is>
          <t>Value Fund</t>
        </is>
      </c>
      <c r="F104" s="87" t="n">
        <v>-2.59</v>
      </c>
      <c r="G104" s="88" t="n">
        <v>1.6</v>
      </c>
      <c r="H104" s="87" t="n">
        <v>-3.75</v>
      </c>
      <c r="I104" s="88" t="n">
        <v>0.11</v>
      </c>
      <c r="J104" s="88" t="n">
        <v>5.294824184287417</v>
      </c>
      <c r="K104" s="88" t="n">
        <v>64.38</v>
      </c>
      <c r="L104" s="73" t="n">
        <v>69.90000000000001</v>
      </c>
      <c r="M104" s="18" t="n">
        <v>0</v>
      </c>
      <c r="N104" s="19" t="n">
        <v>38.4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89" t="inlineStr">
        <is>
          <t>📈 Good</t>
        </is>
      </c>
      <c r="S104" s="89" t="inlineStr">
        <is>
          <t>🔴 Not Qualified</t>
        </is>
      </c>
      <c r="T104" s="89" t="inlineStr">
        <is>
          <t>🔴 Avoid</t>
        </is>
      </c>
      <c r="U104" s="68" t="inlineStr">
        <is>
          <t>FULL</t>
        </is>
      </c>
    </row>
    <row r="105" ht="16" customHeight="1">
      <c r="A105" s="90" t="n">
        <v>101</v>
      </c>
      <c r="B105" s="91" t="inlineStr">
        <is>
          <t>Kotak Business Cycle Fund-Regular Plan--Growth</t>
        </is>
      </c>
      <c r="C105" s="91" t="inlineStr">
        <is>
          <t>Kotak Mahindra Mutual Fund</t>
        </is>
      </c>
      <c r="D105" s="91" t="inlineStr">
        <is>
          <t>Sectoral/ Thematic</t>
        </is>
      </c>
      <c r="E105" s="91" t="inlineStr">
        <is>
          <t>Sectoral/ Thematic</t>
        </is>
      </c>
      <c r="F105" s="92" t="n">
        <v>-1.1</v>
      </c>
      <c r="G105" s="93" t="n">
        <v>6.11</v>
      </c>
      <c r="H105" s="92" t="n">
        <v>-2.6</v>
      </c>
      <c r="I105" s="93" t="n">
        <v>0.25</v>
      </c>
      <c r="J105" s="93" t="n">
        <v>5.872564907061739</v>
      </c>
      <c r="K105" s="93" t="n">
        <v>51.17</v>
      </c>
      <c r="L105" s="73" t="n">
        <v>68.90000000000001</v>
      </c>
      <c r="M105" s="18" t="n">
        <v>0</v>
      </c>
      <c r="N105" s="19" t="n">
        <v>37.9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94" t="inlineStr">
        <is>
          <t>📈 Good</t>
        </is>
      </c>
      <c r="S105" s="94" t="inlineStr">
        <is>
          <t>🔴 Not Qualified</t>
        </is>
      </c>
      <c r="T105" s="94" t="inlineStr">
        <is>
          <t>🔴 Avoid</t>
        </is>
      </c>
      <c r="U105" s="68" t="inlineStr">
        <is>
          <t>FULL</t>
        </is>
      </c>
    </row>
    <row r="106" ht="16" customHeight="1">
      <c r="A106" s="85" t="n">
        <v>102</v>
      </c>
      <c r="B106" s="86" t="inlineStr">
        <is>
          <t>Groww Largecap Fund (formerly known as Indiabulls Blue Chip Fund) - Regular Plan- Growth Option</t>
        </is>
      </c>
      <c r="C106" s="86" t="inlineStr">
        <is>
          <t>Groww Mutual Fund</t>
        </is>
      </c>
      <c r="D106" s="86" t="inlineStr">
        <is>
          <t>Large Cap Fund</t>
        </is>
      </c>
      <c r="E106" s="86" t="inlineStr">
        <is>
          <t>Large Cap Fund</t>
        </is>
      </c>
      <c r="F106" s="87" t="n">
        <v>-2.54</v>
      </c>
      <c r="G106" s="87" t="n">
        <v>-0.63</v>
      </c>
      <c r="H106" s="87" t="n">
        <v>-8.24</v>
      </c>
      <c r="I106" s="87" t="n">
        <v>-4.34</v>
      </c>
      <c r="J106" s="87" t="n">
        <v>-0.8839064530890561</v>
      </c>
      <c r="K106" s="88" t="n">
        <v>33.18</v>
      </c>
      <c r="L106" s="73" t="n">
        <v>68.5</v>
      </c>
      <c r="M106" s="18" t="n">
        <v>0</v>
      </c>
      <c r="N106" s="19" t="n">
        <v>37.7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89" t="inlineStr">
        <is>
          <t>📈 Good</t>
        </is>
      </c>
      <c r="S106" s="89" t="inlineStr">
        <is>
          <t>🔴 Not Qualified</t>
        </is>
      </c>
      <c r="T106" s="89" t="inlineStr">
        <is>
          <t>🔴 Avoid</t>
        </is>
      </c>
      <c r="U106" s="68" t="inlineStr">
        <is>
          <t>FULL</t>
        </is>
      </c>
    </row>
    <row r="107" ht="16" customHeight="1">
      <c r="A107" s="90" t="n">
        <v>103</v>
      </c>
      <c r="B107" s="91" t="inlineStr">
        <is>
          <t>SBI COMMA Fund - REGULAR PLAN - Growth</t>
        </is>
      </c>
      <c r="C107" s="91" t="inlineStr">
        <is>
          <t>SBI Mutual Fund</t>
        </is>
      </c>
      <c r="D107" s="91" t="inlineStr">
        <is>
          <t>Sectoral/ Thematic</t>
        </is>
      </c>
      <c r="E107" s="91" t="inlineStr">
        <is>
          <t>Sectoral/ Thematic</t>
        </is>
      </c>
      <c r="F107" s="92" t="n">
        <v>-3.4</v>
      </c>
      <c r="G107" s="93" t="n">
        <v>1.84</v>
      </c>
      <c r="H107" s="93" t="n">
        <v>5.94</v>
      </c>
      <c r="I107" s="93" t="n">
        <v>8.66</v>
      </c>
      <c r="J107" s="93" t="n">
        <v>7.382493917770416</v>
      </c>
      <c r="K107" s="93" t="n">
        <v>67.63</v>
      </c>
      <c r="L107" s="73" t="n">
        <v>68</v>
      </c>
      <c r="M107" s="18" t="n">
        <v>0</v>
      </c>
      <c r="N107" s="19" t="n">
        <v>37.4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94" t="inlineStr">
        <is>
          <t>📈 Good</t>
        </is>
      </c>
      <c r="S107" s="94" t="inlineStr">
        <is>
          <t>🔴 Not Qualified</t>
        </is>
      </c>
      <c r="T107" s="94" t="inlineStr">
        <is>
          <t>🔴 Avoid</t>
        </is>
      </c>
      <c r="U107" s="68" t="inlineStr">
        <is>
          <t>FULL</t>
        </is>
      </c>
    </row>
    <row r="108" ht="16" customHeight="1">
      <c r="A108" s="85" t="n">
        <v>104</v>
      </c>
      <c r="B108" s="86" t="inlineStr">
        <is>
          <t>Nippon India Power &amp; Infra Fund-Growth Plan -Growth Option</t>
        </is>
      </c>
      <c r="C108" s="86" t="inlineStr">
        <is>
          <t>Nippon India Mutual Fund</t>
        </is>
      </c>
      <c r="D108" s="86" t="inlineStr">
        <is>
          <t>Sectoral/ Thematic</t>
        </is>
      </c>
      <c r="E108" s="86" t="inlineStr">
        <is>
          <t>Sectoral/ Thematic</t>
        </is>
      </c>
      <c r="F108" s="87" t="n">
        <v>-4.15</v>
      </c>
      <c r="G108" s="88" t="n">
        <v>6.36</v>
      </c>
      <c r="H108" s="88" t="n">
        <v>6.52</v>
      </c>
      <c r="I108" s="88" t="n">
        <v>4.5</v>
      </c>
      <c r="J108" s="88" t="n">
        <v>2.122475488993114</v>
      </c>
      <c r="K108" s="88" t="n">
        <v>84.13</v>
      </c>
      <c r="L108" s="73" t="n">
        <v>67.8</v>
      </c>
      <c r="M108" s="18" t="n">
        <v>0</v>
      </c>
      <c r="N108" s="19" t="n">
        <v>37.3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89" t="inlineStr">
        <is>
          <t>📈 Good</t>
        </is>
      </c>
      <c r="S108" s="89" t="inlineStr">
        <is>
          <t>🔴 Not Qualified</t>
        </is>
      </c>
      <c r="T108" s="89" t="inlineStr">
        <is>
          <t>🔴 Avoid</t>
        </is>
      </c>
      <c r="U108" s="68" t="inlineStr">
        <is>
          <t>FULL</t>
        </is>
      </c>
    </row>
    <row r="109" ht="16" customHeight="1">
      <c r="A109" s="90" t="n">
        <v>105</v>
      </c>
      <c r="B109" s="91" t="inlineStr">
        <is>
          <t>Nippon India Power &amp; Infra Fund-Growth Plan-Bonus Option</t>
        </is>
      </c>
      <c r="C109" s="91" t="inlineStr">
        <is>
          <t>Nippon India Mutual Fund</t>
        </is>
      </c>
      <c r="D109" s="91" t="inlineStr">
        <is>
          <t>Sectoral/ Thematic</t>
        </is>
      </c>
      <c r="E109" s="91" t="inlineStr">
        <is>
          <t>Sectoral/ Thematic</t>
        </is>
      </c>
      <c r="F109" s="92" t="n">
        <v>-4.15</v>
      </c>
      <c r="G109" s="93" t="n">
        <v>6.36</v>
      </c>
      <c r="H109" s="93" t="n">
        <v>6.52</v>
      </c>
      <c r="I109" s="93" t="n">
        <v>4.5</v>
      </c>
      <c r="J109" s="93" t="n">
        <v>2.122475488993114</v>
      </c>
      <c r="K109" s="93" t="n">
        <v>84.13</v>
      </c>
      <c r="L109" s="73" t="n">
        <v>67.8</v>
      </c>
      <c r="M109" s="18" t="n">
        <v>0</v>
      </c>
      <c r="N109" s="19" t="n">
        <v>37.3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94" t="inlineStr">
        <is>
          <t>📈 Good</t>
        </is>
      </c>
      <c r="S109" s="94" t="inlineStr">
        <is>
          <t>🔴 Not Qualified</t>
        </is>
      </c>
      <c r="T109" s="94" t="inlineStr">
        <is>
          <t>🔴 Avoid</t>
        </is>
      </c>
      <c r="U109" s="68" t="inlineStr">
        <is>
          <t>FULL</t>
        </is>
      </c>
    </row>
    <row r="110" ht="16" customHeight="1">
      <c r="A110" s="85" t="n">
        <v>106</v>
      </c>
      <c r="B110" s="86" t="inlineStr">
        <is>
          <t>HDFC Value Fund - Growth Plan</t>
        </is>
      </c>
      <c r="C110" s="86" t="inlineStr">
        <is>
          <t>HDFC Mutual Fund</t>
        </is>
      </c>
      <c r="D110" s="86" t="inlineStr">
        <is>
          <t>Value Fund</t>
        </is>
      </c>
      <c r="E110" s="86" t="inlineStr">
        <is>
          <t>Value Fund</t>
        </is>
      </c>
      <c r="F110" s="87" t="n">
        <v>-1.82</v>
      </c>
      <c r="G110" s="88" t="n">
        <v>2.55</v>
      </c>
      <c r="H110" s="87" t="n">
        <v>-4.99</v>
      </c>
      <c r="I110" s="87" t="n">
        <v>-1.05</v>
      </c>
      <c r="J110" s="88" t="n">
        <v>3.821962994349137</v>
      </c>
      <c r="K110" s="88" t="n">
        <v>55.57</v>
      </c>
      <c r="L110" s="73" t="n">
        <v>67.7</v>
      </c>
      <c r="M110" s="18" t="n">
        <v>0</v>
      </c>
      <c r="N110" s="19" t="n">
        <v>37.2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89" t="inlineStr">
        <is>
          <t>📈 Good</t>
        </is>
      </c>
      <c r="S110" s="89" t="inlineStr">
        <is>
          <t>🔴 Not Qualified</t>
        </is>
      </c>
      <c r="T110" s="89" t="inlineStr">
        <is>
          <t>🔴 Avoid</t>
        </is>
      </c>
      <c r="U110" s="68" t="inlineStr">
        <is>
          <t>FULL</t>
        </is>
      </c>
    </row>
    <row r="111" ht="16" customHeight="1">
      <c r="A111" s="90" t="n">
        <v>107</v>
      </c>
      <c r="B111" s="91" t="inlineStr">
        <is>
          <t>HSBC Flexi Cap Fund - Regular Growth</t>
        </is>
      </c>
      <c r="C111" s="91" t="inlineStr">
        <is>
          <t>HSBC Mutual Fund</t>
        </is>
      </c>
      <c r="D111" s="91" t="inlineStr">
        <is>
          <t>Flexi Cap Fund</t>
        </is>
      </c>
      <c r="E111" s="91" t="inlineStr">
        <is>
          <t>Flexi Cap Fund</t>
        </is>
      </c>
      <c r="F111" s="92" t="n">
        <v>-3.37</v>
      </c>
      <c r="G111" s="93" t="n">
        <v>4.57</v>
      </c>
      <c r="H111" s="92" t="n">
        <v>-2.65</v>
      </c>
      <c r="I111" s="92" t="n">
        <v>-2.59</v>
      </c>
      <c r="J111" s="93" t="n">
        <v>3.319891598859126</v>
      </c>
      <c r="K111" s="93" t="n">
        <v>56</v>
      </c>
      <c r="L111" s="73" t="n">
        <v>67.59999999999999</v>
      </c>
      <c r="M111" s="18" t="n">
        <v>0</v>
      </c>
      <c r="N111" s="19" t="n">
        <v>37.2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94" t="inlineStr">
        <is>
          <t>📈 Good</t>
        </is>
      </c>
      <c r="S111" s="94" t="inlineStr">
        <is>
          <t>🔴 Not Qualified</t>
        </is>
      </c>
      <c r="T111" s="94" t="inlineStr">
        <is>
          <t>🔴 Avoid</t>
        </is>
      </c>
      <c r="U111" s="68" t="inlineStr">
        <is>
          <t>FULL</t>
        </is>
      </c>
    </row>
    <row r="112" ht="16" customHeight="1">
      <c r="A112" s="85" t="n">
        <v>108</v>
      </c>
      <c r="B112" s="86" t="inlineStr">
        <is>
          <t>DSP Natural Resources And New Energy Fund - Regular - Growth</t>
        </is>
      </c>
      <c r="C112" s="86" t="inlineStr">
        <is>
          <t>DSP Mutual Fund</t>
        </is>
      </c>
      <c r="D112" s="86" t="inlineStr">
        <is>
          <t>Sectoral/ Thematic</t>
        </is>
      </c>
      <c r="E112" s="86" t="inlineStr">
        <is>
          <t>Sectoral/ Thematic</t>
        </is>
      </c>
      <c r="F112" s="87" t="n">
        <v>-3.37</v>
      </c>
      <c r="G112" s="87" t="n">
        <v>-1.17</v>
      </c>
      <c r="H112" s="88" t="n">
        <v>9.85</v>
      </c>
      <c r="I112" s="88" t="n">
        <v>18.44</v>
      </c>
      <c r="J112" s="88" t="n">
        <v>8.17578287213825</v>
      </c>
      <c r="K112" s="88" t="n">
        <v>83.62</v>
      </c>
      <c r="L112" s="73" t="n">
        <v>67.5</v>
      </c>
      <c r="M112" s="18" t="n">
        <v>0</v>
      </c>
      <c r="N112" s="19" t="n">
        <v>37.2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89" t="inlineStr">
        <is>
          <t>📈 Good</t>
        </is>
      </c>
      <c r="S112" s="89" t="inlineStr">
        <is>
          <t>🔴 Not Qualified</t>
        </is>
      </c>
      <c r="T112" s="89" t="inlineStr">
        <is>
          <t>🔴 Avoid</t>
        </is>
      </c>
      <c r="U112" s="68" t="inlineStr">
        <is>
          <t>FULL</t>
        </is>
      </c>
    </row>
    <row r="113" ht="16" customHeight="1">
      <c r="A113" s="90" t="n">
        <v>109</v>
      </c>
      <c r="B113" s="91" t="inlineStr">
        <is>
          <t>Sundaram Focused Fund (Formerly Known as Principal Focused Multicap Fund)-Growth Option</t>
        </is>
      </c>
      <c r="C113" s="91" t="inlineStr">
        <is>
          <t>Sundaram Mutual Fund</t>
        </is>
      </c>
      <c r="D113" s="91" t="inlineStr">
        <is>
          <t>Focused Fund</t>
        </is>
      </c>
      <c r="E113" s="91" t="inlineStr">
        <is>
          <t>Focused Fund</t>
        </is>
      </c>
      <c r="F113" s="92" t="n">
        <v>-1.37</v>
      </c>
      <c r="G113" s="93" t="n">
        <v>2.47</v>
      </c>
      <c r="H113" s="92" t="n">
        <v>-5.43</v>
      </c>
      <c r="I113" s="92" t="n">
        <v>-3.69</v>
      </c>
      <c r="J113" s="93" t="n">
        <v>0.2995513449586706</v>
      </c>
      <c r="K113" s="93" t="n">
        <v>32.97</v>
      </c>
      <c r="L113" s="73" t="n">
        <v>67.3</v>
      </c>
      <c r="M113" s="18" t="n">
        <v>0</v>
      </c>
      <c r="N113" s="19" t="n">
        <v>37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94" t="inlineStr">
        <is>
          <t>📈 Good</t>
        </is>
      </c>
      <c r="S113" s="94" t="inlineStr">
        <is>
          <t>🔴 Not Qualified</t>
        </is>
      </c>
      <c r="T113" s="94" t="inlineStr">
        <is>
          <t>🔴 Avoid</t>
        </is>
      </c>
      <c r="U113" s="68" t="inlineStr">
        <is>
          <t>FULL</t>
        </is>
      </c>
    </row>
    <row r="114" ht="16" customHeight="1">
      <c r="A114" s="85" t="n">
        <v>110</v>
      </c>
      <c r="B114" s="86" t="inlineStr">
        <is>
          <t>CANARA ROBECO ELSS TAX SAVER - REGULAR PLAN - GROWTH OPTION</t>
        </is>
      </c>
      <c r="C114" s="86" t="inlineStr">
        <is>
          <t>Canara Robeco Mutual Fund</t>
        </is>
      </c>
      <c r="D114" s="86" t="inlineStr">
        <is>
          <t>Elss</t>
        </is>
      </c>
      <c r="E114" s="86" t="inlineStr">
        <is>
          <t>Elss</t>
        </is>
      </c>
      <c r="F114" s="87" t="n">
        <v>-2.58</v>
      </c>
      <c r="G114" s="88" t="n">
        <v>1.16</v>
      </c>
      <c r="H114" s="87" t="n">
        <v>-5.88</v>
      </c>
      <c r="I114" s="87" t="n">
        <v>-4.21</v>
      </c>
      <c r="J114" s="88" t="n">
        <v>1.970583993620445</v>
      </c>
      <c r="K114" s="88" t="n">
        <v>38.31</v>
      </c>
      <c r="L114" s="73" t="n">
        <v>66.90000000000001</v>
      </c>
      <c r="M114" s="18" t="n">
        <v>0</v>
      </c>
      <c r="N114" s="19" t="n">
        <v>36.8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89" t="inlineStr">
        <is>
          <t>📈 Good</t>
        </is>
      </c>
      <c r="S114" s="89" t="inlineStr">
        <is>
          <t>🔴 Not Qualified</t>
        </is>
      </c>
      <c r="T114" s="89" t="inlineStr">
        <is>
          <t>🔴 Avoid</t>
        </is>
      </c>
      <c r="U114" s="68" t="inlineStr">
        <is>
          <t>FULL</t>
        </is>
      </c>
    </row>
    <row r="115" ht="16" customHeight="1">
      <c r="A115" s="90" t="n">
        <v>111</v>
      </c>
      <c r="B115" s="91" t="inlineStr">
        <is>
          <t>Mahindra Manulife Multi Cap Fund - Regular Plan - Growth</t>
        </is>
      </c>
      <c r="C115" s="91" t="inlineStr">
        <is>
          <t>Mahindra Manulife Mutual Fund</t>
        </is>
      </c>
      <c r="D115" s="91" t="inlineStr">
        <is>
          <t>Multi Cap Fund</t>
        </is>
      </c>
      <c r="E115" s="91" t="inlineStr">
        <is>
          <t>Multi Cap Fund</t>
        </is>
      </c>
      <c r="F115" s="92" t="n">
        <v>-2.81</v>
      </c>
      <c r="G115" s="93" t="n">
        <v>4.7</v>
      </c>
      <c r="H115" s="92" t="n">
        <v>-0.07000000000000001</v>
      </c>
      <c r="I115" s="93" t="n">
        <v>0.91</v>
      </c>
      <c r="J115" s="93" t="n">
        <v>4.742541500576536</v>
      </c>
      <c r="K115" s="93" t="n">
        <v>62.1</v>
      </c>
      <c r="L115" s="73" t="n">
        <v>66.90000000000001</v>
      </c>
      <c r="M115" s="18" t="n">
        <v>0</v>
      </c>
      <c r="N115" s="19" t="n">
        <v>36.8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94" t="inlineStr">
        <is>
          <t>📈 Good</t>
        </is>
      </c>
      <c r="S115" s="94" t="inlineStr">
        <is>
          <t>🔴 Not Qualified</t>
        </is>
      </c>
      <c r="T115" s="94" t="inlineStr">
        <is>
          <t>🔴 Avoid</t>
        </is>
      </c>
      <c r="U115" s="68" t="inlineStr">
        <is>
          <t>FULL</t>
        </is>
      </c>
    </row>
    <row r="116" ht="16" customHeight="1">
      <c r="A116" s="85" t="n">
        <v>112</v>
      </c>
      <c r="B116" s="86" t="inlineStr">
        <is>
          <t>Sundaram Small Cap Fund Regular Plan - Growth</t>
        </is>
      </c>
      <c r="C116" s="86" t="inlineStr">
        <is>
          <t>Sundaram Mutual Fund</t>
        </is>
      </c>
      <c r="D116" s="86" t="inlineStr">
        <is>
          <t>Small Cap Fund</t>
        </is>
      </c>
      <c r="E116" s="86" t="inlineStr">
        <is>
          <t>Small Cap Fund</t>
        </is>
      </c>
      <c r="F116" s="87" t="n">
        <v>-3.1</v>
      </c>
      <c r="G116" s="88" t="n">
        <v>12.11</v>
      </c>
      <c r="H116" s="88" t="n">
        <v>3.76</v>
      </c>
      <c r="I116" s="88" t="n">
        <v>2.83</v>
      </c>
      <c r="J116" s="88" t="n">
        <v>5.67875850898325</v>
      </c>
      <c r="K116" s="88" t="n">
        <v>61.75</v>
      </c>
      <c r="L116" s="73" t="n">
        <v>66.8</v>
      </c>
      <c r="M116" s="18" t="n">
        <v>0</v>
      </c>
      <c r="N116" s="19" t="n">
        <v>36.7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89" t="inlineStr">
        <is>
          <t>📈 Good</t>
        </is>
      </c>
      <c r="S116" s="89" t="inlineStr">
        <is>
          <t>🔴 Not Qualified</t>
        </is>
      </c>
      <c r="T116" s="89" t="inlineStr">
        <is>
          <t>🔴 Avoid</t>
        </is>
      </c>
      <c r="U116" s="68" t="inlineStr">
        <is>
          <t>FULL</t>
        </is>
      </c>
    </row>
    <row r="117" ht="16" customHeight="1">
      <c r="A117" s="90" t="n">
        <v>113</v>
      </c>
      <c r="B117" s="91" t="inlineStr">
        <is>
          <t>Groww Largecap Fund (formerly known as Indiabulls Bluechip Fund)- Regular Plan- Quarterly - Income Distribution cum capital withdrawal Option (Payout &amp; Reinvestment)</t>
        </is>
      </c>
      <c r="C117" s="91" t="inlineStr">
        <is>
          <t>Groww Mutual Fund</t>
        </is>
      </c>
      <c r="D117" s="91" t="inlineStr">
        <is>
          <t>Large Cap Fund</t>
        </is>
      </c>
      <c r="E117" s="91" t="inlineStr">
        <is>
          <t>Large Cap Fund</t>
        </is>
      </c>
      <c r="F117" s="92" t="n">
        <v>-2.53</v>
      </c>
      <c r="G117" s="92" t="n">
        <v>-0.65</v>
      </c>
      <c r="H117" s="92" t="n">
        <v>-8.26</v>
      </c>
      <c r="I117" s="92" t="n">
        <v>-4.33</v>
      </c>
      <c r="J117" s="92" t="n">
        <v>-0.8939961455412093</v>
      </c>
      <c r="K117" s="93" t="n">
        <v>33.19</v>
      </c>
      <c r="L117" s="73" t="n">
        <v>66.59999999999999</v>
      </c>
      <c r="M117" s="18" t="n">
        <v>0</v>
      </c>
      <c r="N117" s="19" t="n">
        <v>36.7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94" t="inlineStr">
        <is>
          <t>📈 Good</t>
        </is>
      </c>
      <c r="S117" s="94" t="inlineStr">
        <is>
          <t>🔴 Not Qualified</t>
        </is>
      </c>
      <c r="T117" s="94" t="inlineStr">
        <is>
          <t>🔴 Avoid</t>
        </is>
      </c>
      <c r="U117" s="68" t="inlineStr">
        <is>
          <t>FULL</t>
        </is>
      </c>
    </row>
    <row r="118" ht="16" customHeight="1">
      <c r="A118" s="85" t="n">
        <v>114</v>
      </c>
      <c r="B118" s="86" t="inlineStr">
        <is>
          <t>Groww Largecap Fund (formerly known as Indiabulls Bluechip Fund)- Regular Plan- Monthly - Income Distribution cum capital withdrawal Option (Payout &amp; Reinvestment)</t>
        </is>
      </c>
      <c r="C118" s="86" t="inlineStr">
        <is>
          <t>Groww Mutual Fund</t>
        </is>
      </c>
      <c r="D118" s="86" t="inlineStr">
        <is>
          <t>Large Cap Fund</t>
        </is>
      </c>
      <c r="E118" s="86" t="inlineStr">
        <is>
          <t>Large Cap Fund</t>
        </is>
      </c>
      <c r="F118" s="87" t="n">
        <v>-2.53</v>
      </c>
      <c r="G118" s="87" t="n">
        <v>-0.64</v>
      </c>
      <c r="H118" s="87" t="n">
        <v>-8.25</v>
      </c>
      <c r="I118" s="87" t="n">
        <v>-4.36</v>
      </c>
      <c r="J118" s="87" t="n">
        <v>-0.8839064530890561</v>
      </c>
      <c r="K118" s="88" t="n">
        <v>33.14</v>
      </c>
      <c r="L118" s="73" t="n">
        <v>66.5</v>
      </c>
      <c r="M118" s="18" t="n">
        <v>0</v>
      </c>
      <c r="N118" s="19" t="n">
        <v>36.6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89" t="inlineStr">
        <is>
          <t>📈 Good</t>
        </is>
      </c>
      <c r="S118" s="89" t="inlineStr">
        <is>
          <t>🔴 Not Qualified</t>
        </is>
      </c>
      <c r="T118" s="89" t="inlineStr">
        <is>
          <t>🔴 Avoid</t>
        </is>
      </c>
      <c r="U118" s="68" t="inlineStr">
        <is>
          <t>FULL</t>
        </is>
      </c>
    </row>
    <row r="119" ht="16" customHeight="1">
      <c r="A119" s="90" t="n">
        <v>115</v>
      </c>
      <c r="B119" s="91" t="inlineStr">
        <is>
          <t>Navi Large &amp; Midcap Fund- Regular Plan- Growth Option</t>
        </is>
      </c>
      <c r="C119" s="91" t="inlineStr">
        <is>
          <t>Navi Mutual Fund</t>
        </is>
      </c>
      <c r="D119" s="91" t="inlineStr">
        <is>
          <t>Large &amp; Mid Cap Fund</t>
        </is>
      </c>
      <c r="E119" s="91" t="inlineStr">
        <is>
          <t>Large &amp; Mid Cap Fund</t>
        </is>
      </c>
      <c r="F119" s="92" t="n">
        <v>-2.64</v>
      </c>
      <c r="G119" s="93" t="n">
        <v>3.74</v>
      </c>
      <c r="H119" s="92" t="n">
        <v>-3.69</v>
      </c>
      <c r="I119" s="92" t="n">
        <v>-3.51</v>
      </c>
      <c r="J119" s="93" t="n">
        <v>2.08329931972222</v>
      </c>
      <c r="K119" s="93" t="n">
        <v>31.27</v>
      </c>
      <c r="L119" s="73" t="n">
        <v>66.5</v>
      </c>
      <c r="M119" s="18" t="n">
        <v>0</v>
      </c>
      <c r="N119" s="19" t="n">
        <v>36.6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94" t="inlineStr">
        <is>
          <t>📈 Good</t>
        </is>
      </c>
      <c r="S119" s="94" t="inlineStr">
        <is>
          <t>🔴 Not Qualified</t>
        </is>
      </c>
      <c r="T119" s="94" t="inlineStr">
        <is>
          <t>🔴 Avoid</t>
        </is>
      </c>
      <c r="U119" s="68" t="inlineStr">
        <is>
          <t>FULL</t>
        </is>
      </c>
    </row>
    <row r="120" ht="16" customHeight="1">
      <c r="A120" s="85" t="n">
        <v>116</v>
      </c>
      <c r="B120" s="86" t="inlineStr">
        <is>
          <t>Axis Multicap Fund - Regular Plan - Growth</t>
        </is>
      </c>
      <c r="C120" s="86" t="inlineStr">
        <is>
          <t>Axis Mutual Fund</t>
        </is>
      </c>
      <c r="D120" s="86" t="inlineStr">
        <is>
          <t>Multi Cap Fund</t>
        </is>
      </c>
      <c r="E120" s="86" t="inlineStr">
        <is>
          <t>Multi Cap Fund</t>
        </is>
      </c>
      <c r="F120" s="87" t="n">
        <v>-1.67</v>
      </c>
      <c r="G120" s="88" t="n">
        <v>4.63</v>
      </c>
      <c r="H120" s="87" t="n">
        <v>-2</v>
      </c>
      <c r="I120" s="87" t="n">
        <v>-1.01</v>
      </c>
      <c r="J120" s="88" t="n">
        <v>5.494075663043763</v>
      </c>
      <c r="K120" s="88" t="n">
        <v>66.89</v>
      </c>
      <c r="L120" s="73" t="n">
        <v>66.09999999999999</v>
      </c>
      <c r="M120" s="18" t="n">
        <v>0</v>
      </c>
      <c r="N120" s="19" t="n">
        <v>36.4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89" t="inlineStr">
        <is>
          <t>📈 Good</t>
        </is>
      </c>
      <c r="S120" s="89" t="inlineStr">
        <is>
          <t>🔴 Not Qualified</t>
        </is>
      </c>
      <c r="T120" s="89" t="inlineStr">
        <is>
          <t>🔴 Avoid</t>
        </is>
      </c>
      <c r="U120" s="68" t="inlineStr">
        <is>
          <t>FULL</t>
        </is>
      </c>
    </row>
    <row r="121" ht="16" customHeight="1">
      <c r="A121" s="90" t="n">
        <v>117</v>
      </c>
      <c r="B121" s="91" t="inlineStr">
        <is>
          <t>Union Midcap Fund - Regular Plan - Growth Option</t>
        </is>
      </c>
      <c r="C121" s="91" t="inlineStr">
        <is>
          <t>Union Mutual Fund</t>
        </is>
      </c>
      <c r="D121" s="91" t="inlineStr">
        <is>
          <t>Mid Cap Fund</t>
        </is>
      </c>
      <c r="E121" s="91" t="inlineStr">
        <is>
          <t>Mid Cap Fund</t>
        </is>
      </c>
      <c r="F121" s="92" t="n">
        <v>-3.14</v>
      </c>
      <c r="G121" s="93" t="n">
        <v>4.81</v>
      </c>
      <c r="H121" s="93" t="n">
        <v>0.08</v>
      </c>
      <c r="I121" s="93" t="n">
        <v>1.66</v>
      </c>
      <c r="J121" s="93" t="n">
        <v>5.844225161319039</v>
      </c>
      <c r="K121" s="93" t="n">
        <v>60.62</v>
      </c>
      <c r="L121" s="73" t="n">
        <v>66</v>
      </c>
      <c r="M121" s="18" t="n">
        <v>0</v>
      </c>
      <c r="N121" s="19" t="n">
        <v>36.3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94" t="inlineStr">
        <is>
          <t>📈 Good</t>
        </is>
      </c>
      <c r="S121" s="94" t="inlineStr">
        <is>
          <t>🔴 Not Qualified</t>
        </is>
      </c>
      <c r="T121" s="94" t="inlineStr">
        <is>
          <t>🔴 Avoid</t>
        </is>
      </c>
      <c r="U121" s="68" t="inlineStr">
        <is>
          <t>FULL</t>
        </is>
      </c>
    </row>
    <row r="122" ht="16" customHeight="1">
      <c r="A122" s="85" t="n">
        <v>118</v>
      </c>
      <c r="B122" s="86" t="inlineStr">
        <is>
          <t>Tata Infrastructure Fund-Regular Plan- Growth Option</t>
        </is>
      </c>
      <c r="C122" s="86" t="inlineStr">
        <is>
          <t>Tata Mutual Fund</t>
        </is>
      </c>
      <c r="D122" s="86" t="inlineStr">
        <is>
          <t>Sectoral/ Thematic</t>
        </is>
      </c>
      <c r="E122" s="86" t="inlineStr">
        <is>
          <t>Sectoral/ Thematic</t>
        </is>
      </c>
      <c r="F122" s="87" t="n">
        <v>-2.78</v>
      </c>
      <c r="G122" s="88" t="n">
        <v>7.06</v>
      </c>
      <c r="H122" s="88" t="n">
        <v>4.27</v>
      </c>
      <c r="I122" s="87" t="n">
        <v>-1.48</v>
      </c>
      <c r="J122" s="87" t="n">
        <v>-4.177246960860071</v>
      </c>
      <c r="K122" s="88" t="n">
        <v>52.7</v>
      </c>
      <c r="L122" s="73" t="n">
        <v>65.59999999999999</v>
      </c>
      <c r="M122" s="18" t="n">
        <v>0</v>
      </c>
      <c r="N122" s="19" t="n">
        <v>36.1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89" t="inlineStr">
        <is>
          <t>📈 Good</t>
        </is>
      </c>
      <c r="S122" s="89" t="inlineStr">
        <is>
          <t>🔴 Not Qualified</t>
        </is>
      </c>
      <c r="T122" s="89" t="inlineStr">
        <is>
          <t>🔴 Avoid</t>
        </is>
      </c>
      <c r="U122" s="68" t="inlineStr">
        <is>
          <t>FULL</t>
        </is>
      </c>
    </row>
    <row r="123" ht="16" customHeight="1">
      <c r="A123" s="90" t="n">
        <v>119</v>
      </c>
      <c r="B123" s="91" t="inlineStr">
        <is>
          <t>360 ONE Focused Fund -Regular Plan - Growth</t>
        </is>
      </c>
      <c r="C123" s="91" t="inlineStr">
        <is>
          <t>360 ONE Mutual Fund</t>
        </is>
      </c>
      <c r="D123" s="91" t="inlineStr">
        <is>
          <t>Focused Fund</t>
        </is>
      </c>
      <c r="E123" s="91" t="inlineStr">
        <is>
          <t>Focused Fund</t>
        </is>
      </c>
      <c r="F123" s="92" t="n">
        <v>-1.57</v>
      </c>
      <c r="G123" s="93" t="n">
        <v>2.66</v>
      </c>
      <c r="H123" s="92" t="n">
        <v>-5.24</v>
      </c>
      <c r="I123" s="92" t="n">
        <v>-4.88</v>
      </c>
      <c r="J123" s="92" t="n">
        <v>-0.1851714423152462</v>
      </c>
      <c r="K123" s="93" t="n">
        <v>37.45</v>
      </c>
      <c r="L123" s="73" t="n">
        <v>65.5</v>
      </c>
      <c r="M123" s="18" t="n">
        <v>0</v>
      </c>
      <c r="N123" s="19" t="n">
        <v>36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94" t="inlineStr">
        <is>
          <t>📈 Good</t>
        </is>
      </c>
      <c r="S123" s="94" t="inlineStr">
        <is>
          <t>🔴 Not Qualified</t>
        </is>
      </c>
      <c r="T123" s="94" t="inlineStr">
        <is>
          <t>🔴 Avoid</t>
        </is>
      </c>
      <c r="U123" s="68" t="inlineStr">
        <is>
          <t>FULL</t>
        </is>
      </c>
    </row>
    <row r="124" ht="16" customHeight="1">
      <c r="A124" s="85" t="n">
        <v>120</v>
      </c>
      <c r="B124" s="86" t="inlineStr">
        <is>
          <t>Groww Value Fund (formerly known as Indiabulls Value Fund)- Regular Plan- Half Yearly -Income Distribution cum capital withdrawal Option (Payout &amp; Reinvestment)</t>
        </is>
      </c>
      <c r="C124" s="86" t="inlineStr">
        <is>
          <t>Groww Mutual Fund</t>
        </is>
      </c>
      <c r="D124" s="86" t="inlineStr">
        <is>
          <t>Value Fund</t>
        </is>
      </c>
      <c r="E124" s="86" t="inlineStr">
        <is>
          <t>Value Fund</t>
        </is>
      </c>
      <c r="F124" s="87" t="n">
        <v>-1.27</v>
      </c>
      <c r="G124" s="88" t="n">
        <v>3.27</v>
      </c>
      <c r="H124" s="87" t="n">
        <v>-4.68</v>
      </c>
      <c r="I124" s="87" t="n">
        <v>-3.66</v>
      </c>
      <c r="J124" s="88" t="n">
        <v>2.279030108815561</v>
      </c>
      <c r="K124" s="88" t="n">
        <v>47.89</v>
      </c>
      <c r="L124" s="73" t="n">
        <v>65.5</v>
      </c>
      <c r="M124" s="18" t="n">
        <v>0</v>
      </c>
      <c r="N124" s="19" t="n">
        <v>36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89" t="inlineStr">
        <is>
          <t>📈 Good</t>
        </is>
      </c>
      <c r="S124" s="89" t="inlineStr">
        <is>
          <t>🔴 Not Qualified</t>
        </is>
      </c>
      <c r="T124" s="89" t="inlineStr">
        <is>
          <t>🔴 Avoid</t>
        </is>
      </c>
      <c r="U124" s="68" t="inlineStr">
        <is>
          <t>FULL</t>
        </is>
      </c>
    </row>
    <row r="125" ht="16" customHeight="1">
      <c r="A125" s="90" t="n">
        <v>121</v>
      </c>
      <c r="B125" s="91" t="inlineStr">
        <is>
          <t>Groww Value Fund (formerly known as Indiabulls Value Fund)- Regular Plan- Quarterly - Income Distribution cum capital withdrawal Option (Payout &amp; Reinvestment)</t>
        </is>
      </c>
      <c r="C125" s="91" t="inlineStr">
        <is>
          <t>Groww Mutual Fund</t>
        </is>
      </c>
      <c r="D125" s="91" t="inlineStr">
        <is>
          <t>Value Fund</t>
        </is>
      </c>
      <c r="E125" s="91" t="inlineStr">
        <is>
          <t>Value Fund</t>
        </is>
      </c>
      <c r="F125" s="92" t="n">
        <v>-1.27</v>
      </c>
      <c r="G125" s="93" t="n">
        <v>3.27</v>
      </c>
      <c r="H125" s="92" t="n">
        <v>-4.68</v>
      </c>
      <c r="I125" s="92" t="n">
        <v>-3.66</v>
      </c>
      <c r="J125" s="93" t="n">
        <v>2.279030108815561</v>
      </c>
      <c r="K125" s="93" t="n">
        <v>48.03</v>
      </c>
      <c r="L125" s="73" t="n">
        <v>65.5</v>
      </c>
      <c r="M125" s="18" t="n">
        <v>0</v>
      </c>
      <c r="N125" s="19" t="n">
        <v>36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94" t="inlineStr">
        <is>
          <t>📈 Good</t>
        </is>
      </c>
      <c r="S125" s="94" t="inlineStr">
        <is>
          <t>🔴 Not Qualified</t>
        </is>
      </c>
      <c r="T125" s="94" t="inlineStr">
        <is>
          <t>🔴 Avoid</t>
        </is>
      </c>
      <c r="U125" s="68" t="inlineStr">
        <is>
          <t>FULL</t>
        </is>
      </c>
    </row>
    <row r="126" ht="16" customHeight="1">
      <c r="A126" s="85" t="n">
        <v>122</v>
      </c>
      <c r="B126" s="86" t="inlineStr">
        <is>
          <t>Groww Value Fund (formerly known as Indiabulls Value Fund)- Regular Plan- Monthly - Income Distribution cum capital withdrawal Option (Payout &amp; Reinvestment.</t>
        </is>
      </c>
      <c r="C126" s="86" t="inlineStr">
        <is>
          <t>Groww Mutual Fund</t>
        </is>
      </c>
      <c r="D126" s="86" t="inlineStr">
        <is>
          <t>Value Fund</t>
        </is>
      </c>
      <c r="E126" s="86" t="inlineStr">
        <is>
          <t>Value Fund</t>
        </is>
      </c>
      <c r="F126" s="87" t="n">
        <v>-1.27</v>
      </c>
      <c r="G126" s="88" t="n">
        <v>3.27</v>
      </c>
      <c r="H126" s="87" t="n">
        <v>-4.68</v>
      </c>
      <c r="I126" s="87" t="n">
        <v>-3.66</v>
      </c>
      <c r="J126" s="88" t="n">
        <v>2.279030108815561</v>
      </c>
      <c r="K126" s="88" t="n">
        <v>47.89</v>
      </c>
      <c r="L126" s="73" t="n">
        <v>65.5</v>
      </c>
      <c r="M126" s="18" t="n">
        <v>0</v>
      </c>
      <c r="N126" s="19" t="n">
        <v>36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89" t="inlineStr">
        <is>
          <t>📈 Good</t>
        </is>
      </c>
      <c r="S126" s="89" t="inlineStr">
        <is>
          <t>🔴 Not Qualified</t>
        </is>
      </c>
      <c r="T126" s="89" t="inlineStr">
        <is>
          <t>🔴 Avoid</t>
        </is>
      </c>
      <c r="U126" s="68" t="inlineStr">
        <is>
          <t>FULL</t>
        </is>
      </c>
    </row>
    <row r="127" ht="16" customHeight="1">
      <c r="A127" s="90" t="n">
        <v>123</v>
      </c>
      <c r="B127" s="91" t="inlineStr">
        <is>
          <t>Groww Value Fund (formerly known as Indiabulls Value Fund)- Regular Plan - Income Distribution cum capital withdrawal Option (Payout &amp; Reinvestment)</t>
        </is>
      </c>
      <c r="C127" s="91" t="inlineStr">
        <is>
          <t>Groww Mutual Fund</t>
        </is>
      </c>
      <c r="D127" s="91" t="inlineStr">
        <is>
          <t>Value Fund</t>
        </is>
      </c>
      <c r="E127" s="91" t="inlineStr">
        <is>
          <t>Value Fund</t>
        </is>
      </c>
      <c r="F127" s="92" t="n">
        <v>-1.27</v>
      </c>
      <c r="G127" s="93" t="n">
        <v>3.27</v>
      </c>
      <c r="H127" s="92" t="n">
        <v>-4.68</v>
      </c>
      <c r="I127" s="92" t="n">
        <v>-3.66</v>
      </c>
      <c r="J127" s="93" t="n">
        <v>2.279030108815561</v>
      </c>
      <c r="K127" s="93" t="n">
        <v>47.89</v>
      </c>
      <c r="L127" s="73" t="n">
        <v>65.5</v>
      </c>
      <c r="M127" s="18" t="n">
        <v>0</v>
      </c>
      <c r="N127" s="19" t="n">
        <v>36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94" t="inlineStr">
        <is>
          <t>📈 Good</t>
        </is>
      </c>
      <c r="S127" s="94" t="inlineStr">
        <is>
          <t>🔴 Not Qualified</t>
        </is>
      </c>
      <c r="T127" s="94" t="inlineStr">
        <is>
          <t>🔴 Avoid</t>
        </is>
      </c>
      <c r="U127" s="68" t="inlineStr">
        <is>
          <t>FULL</t>
        </is>
      </c>
    </row>
    <row r="128" ht="16" customHeight="1">
      <c r="A128" s="85" t="n">
        <v>124</v>
      </c>
      <c r="B128" s="86" t="inlineStr">
        <is>
          <t>Mahindra Manulife Focused Fund - Regular Plan - Growth</t>
        </is>
      </c>
      <c r="C128" s="86" t="inlineStr">
        <is>
          <t>Mahindra Manulife Mutual Fund</t>
        </is>
      </c>
      <c r="D128" s="86" t="inlineStr">
        <is>
          <t>Focused Fund</t>
        </is>
      </c>
      <c r="E128" s="86" t="inlineStr">
        <is>
          <t>Focused Fund</t>
        </is>
      </c>
      <c r="F128" s="87" t="n">
        <v>-1.75</v>
      </c>
      <c r="G128" s="88" t="n">
        <v>0.91</v>
      </c>
      <c r="H128" s="87" t="n">
        <v>-4.12</v>
      </c>
      <c r="I128" s="87" t="n">
        <v>-2.13</v>
      </c>
      <c r="J128" s="88" t="n">
        <v>1.788997440784335</v>
      </c>
      <c r="K128" s="88" t="n">
        <v>55.99</v>
      </c>
      <c r="L128" s="73" t="n">
        <v>65.3</v>
      </c>
      <c r="M128" s="18" t="n">
        <v>0</v>
      </c>
      <c r="N128" s="19" t="n">
        <v>35.9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89" t="inlineStr">
        <is>
          <t>📈 Good</t>
        </is>
      </c>
      <c r="S128" s="89" t="inlineStr">
        <is>
          <t>🔴 Not Qualified</t>
        </is>
      </c>
      <c r="T128" s="89" t="inlineStr">
        <is>
          <t>🔴 Avoid</t>
        </is>
      </c>
      <c r="U128" s="68" t="inlineStr">
        <is>
          <t>FULL</t>
        </is>
      </c>
    </row>
    <row r="129" ht="16" customHeight="1">
      <c r="A129" s="90" t="n">
        <v>125</v>
      </c>
      <c r="B129" s="91" t="inlineStr">
        <is>
          <t>Aditya Birla Sun Life Multi-Cap Fund-Regular Growth</t>
        </is>
      </c>
      <c r="C129" s="91" t="inlineStr">
        <is>
          <t>Aditya Birla Sun Life Mutual Fund</t>
        </is>
      </c>
      <c r="D129" s="91" t="inlineStr">
        <is>
          <t>Multi Cap Fund</t>
        </is>
      </c>
      <c r="E129" s="91" t="inlineStr">
        <is>
          <t>Multi Cap Fund</t>
        </is>
      </c>
      <c r="F129" s="92" t="n">
        <v>-2.07</v>
      </c>
      <c r="G129" s="93" t="n">
        <v>5.78</v>
      </c>
      <c r="H129" s="92" t="n">
        <v>-2.42</v>
      </c>
      <c r="I129" s="92" t="n">
        <v>-1.07</v>
      </c>
      <c r="J129" s="93" t="n">
        <v>3.101891350256025</v>
      </c>
      <c r="K129" s="93" t="n">
        <v>46.56</v>
      </c>
      <c r="L129" s="73" t="n">
        <v>65.2</v>
      </c>
      <c r="M129" s="18" t="n">
        <v>0</v>
      </c>
      <c r="N129" s="19" t="n">
        <v>35.9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94" t="inlineStr">
        <is>
          <t>📈 Good</t>
        </is>
      </c>
      <c r="S129" s="94" t="inlineStr">
        <is>
          <t>🔴 Not Qualified</t>
        </is>
      </c>
      <c r="T129" s="94" t="inlineStr">
        <is>
          <t>🔴 Avoid</t>
        </is>
      </c>
      <c r="U129" s="68" t="inlineStr">
        <is>
          <t>FULL</t>
        </is>
      </c>
    </row>
    <row r="130" ht="16" customHeight="1">
      <c r="A130" s="85" t="n">
        <v>126</v>
      </c>
      <c r="B130" s="86" t="inlineStr">
        <is>
          <t>HSBC Multi Cap Fund - Regular - Growth</t>
        </is>
      </c>
      <c r="C130" s="86" t="inlineStr">
        <is>
          <t>HSBC Mutual Fund</t>
        </is>
      </c>
      <c r="D130" s="86" t="inlineStr">
        <is>
          <t>Multi Cap Fund</t>
        </is>
      </c>
      <c r="E130" s="86" t="inlineStr">
        <is>
          <t>Multi Cap Fund</t>
        </is>
      </c>
      <c r="F130" s="87" t="n">
        <v>-2.49</v>
      </c>
      <c r="G130" s="88" t="n">
        <v>5.67</v>
      </c>
      <c r="H130" s="87" t="n">
        <v>-1.51</v>
      </c>
      <c r="I130" s="88" t="n">
        <v>0.12</v>
      </c>
      <c r="J130" s="88" t="n">
        <v>3.687029082716031</v>
      </c>
      <c r="K130" s="88" t="n">
        <v>68.84</v>
      </c>
      <c r="L130" s="73" t="n">
        <v>65.09999999999999</v>
      </c>
      <c r="M130" s="18" t="n">
        <v>0</v>
      </c>
      <c r="N130" s="19" t="n">
        <v>35.8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89" t="inlineStr">
        <is>
          <t>📈 Good</t>
        </is>
      </c>
      <c r="S130" s="89" t="inlineStr">
        <is>
          <t>🔴 Not Qualified</t>
        </is>
      </c>
      <c r="T130" s="89" t="inlineStr">
        <is>
          <t>🔴 Avoid</t>
        </is>
      </c>
      <c r="U130" s="68" t="inlineStr">
        <is>
          <t>FULL</t>
        </is>
      </c>
    </row>
    <row r="131" ht="16" customHeight="1">
      <c r="A131" s="90" t="n">
        <v>127</v>
      </c>
      <c r="B131" s="91" t="inlineStr">
        <is>
          <t>Groww Largecap Fund (formerly known as Indiabulls Bluechip Fund)- Regular Plan- Half Yearly - Income Distribution cum capital withdrawal Option (Payout &amp; Reinvestment)</t>
        </is>
      </c>
      <c r="C131" s="91" t="inlineStr">
        <is>
          <t>Groww Mutual Fund</t>
        </is>
      </c>
      <c r="D131" s="91" t="inlineStr">
        <is>
          <t>Large Cap Fund</t>
        </is>
      </c>
      <c r="E131" s="91" t="inlineStr">
        <is>
          <t>Large Cap Fund</t>
        </is>
      </c>
      <c r="F131" s="92" t="n">
        <v>-2.55</v>
      </c>
      <c r="G131" s="92" t="n">
        <v>-0.65</v>
      </c>
      <c r="H131" s="92" t="n">
        <v>-8.25</v>
      </c>
      <c r="I131" s="92" t="n">
        <v>-4.34</v>
      </c>
      <c r="J131" s="92" t="n">
        <v>-0.8889511709214148</v>
      </c>
      <c r="K131" s="93" t="n">
        <v>33.15</v>
      </c>
      <c r="L131" s="73" t="n">
        <v>64.90000000000001</v>
      </c>
      <c r="M131" s="18" t="n">
        <v>0</v>
      </c>
      <c r="N131" s="19" t="n">
        <v>35.7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94" t="inlineStr">
        <is>
          <t>📈 Good</t>
        </is>
      </c>
      <c r="S131" s="94" t="inlineStr">
        <is>
          <t>🔴 Not Qualified</t>
        </is>
      </c>
      <c r="T131" s="94" t="inlineStr">
        <is>
          <t>🔴 Avoid</t>
        </is>
      </c>
      <c r="U131" s="68" t="inlineStr">
        <is>
          <t>FULL</t>
        </is>
      </c>
    </row>
    <row r="132" ht="16" customHeight="1">
      <c r="A132" s="85" t="n">
        <v>128</v>
      </c>
      <c r="B132" s="86" t="inlineStr">
        <is>
          <t>BARODA BNP PARIBAS ELSS Tax Saver Fund - Regular - Growth Option</t>
        </is>
      </c>
      <c r="C132" s="86" t="inlineStr">
        <is>
          <t>Baroda BNP Paribas Mutual Fund</t>
        </is>
      </c>
      <c r="D132" s="86" t="inlineStr">
        <is>
          <t>Elss</t>
        </is>
      </c>
      <c r="E132" s="86" t="inlineStr">
        <is>
          <t>Elss</t>
        </is>
      </c>
      <c r="F132" s="87" t="n">
        <v>-3.14</v>
      </c>
      <c r="G132" s="88" t="n">
        <v>1.58</v>
      </c>
      <c r="H132" s="87" t="n">
        <v>-6.58</v>
      </c>
      <c r="I132" s="87" t="n">
        <v>-1.31</v>
      </c>
      <c r="J132" s="88" t="n">
        <v>3.677384226262181</v>
      </c>
      <c r="K132" s="88" t="n">
        <v>52.13</v>
      </c>
      <c r="L132" s="73" t="n">
        <v>64.8</v>
      </c>
      <c r="M132" s="18" t="n">
        <v>0</v>
      </c>
      <c r="N132" s="19" t="n">
        <v>35.6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89" t="inlineStr">
        <is>
          <t>📈 Good</t>
        </is>
      </c>
      <c r="S132" s="89" t="inlineStr">
        <is>
          <t>🔴 Not Qualified</t>
        </is>
      </c>
      <c r="T132" s="89" t="inlineStr">
        <is>
          <t>🔴 Avoid</t>
        </is>
      </c>
      <c r="U132" s="68" t="inlineStr">
        <is>
          <t>FULL</t>
        </is>
      </c>
    </row>
    <row r="133" ht="16" customHeight="1">
      <c r="A133" s="90" t="n">
        <v>129</v>
      </c>
      <c r="B133" s="91" t="inlineStr">
        <is>
          <t>Groww Value Fund (formerly known as Indiabulls Value Fund) - Regular Plan - Growth Option</t>
        </is>
      </c>
      <c r="C133" s="91" t="inlineStr">
        <is>
          <t>Groww Mutual Fund</t>
        </is>
      </c>
      <c r="D133" s="91" t="inlineStr">
        <is>
          <t>Value Fund</t>
        </is>
      </c>
      <c r="E133" s="91" t="inlineStr">
        <is>
          <t>Value Fund</t>
        </is>
      </c>
      <c r="F133" s="92" t="n">
        <v>-1.27</v>
      </c>
      <c r="G133" s="93" t="n">
        <v>3.27</v>
      </c>
      <c r="H133" s="92" t="n">
        <v>-4.68</v>
      </c>
      <c r="I133" s="92" t="n">
        <v>-3.67</v>
      </c>
      <c r="J133" s="93" t="n">
        <v>2.279030108815561</v>
      </c>
      <c r="K133" s="93" t="n">
        <v>47.89</v>
      </c>
      <c r="L133" s="73" t="n">
        <v>64.5</v>
      </c>
      <c r="M133" s="18" t="n">
        <v>0</v>
      </c>
      <c r="N133" s="19" t="n">
        <v>35.5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94" t="inlineStr">
        <is>
          <t>📈 Good</t>
        </is>
      </c>
      <c r="S133" s="94" t="inlineStr">
        <is>
          <t>🔴 Not Qualified</t>
        </is>
      </c>
      <c r="T133" s="94" t="inlineStr">
        <is>
          <t>🔴 Avoid</t>
        </is>
      </c>
      <c r="U133" s="68" t="inlineStr">
        <is>
          <t>FULL</t>
        </is>
      </c>
    </row>
    <row r="134" ht="16" customHeight="1">
      <c r="A134" s="85" t="n">
        <v>130</v>
      </c>
      <c r="B134" s="86" t="inlineStr">
        <is>
          <t>Axis Midcap Fund - Regular Plan - Growth</t>
        </is>
      </c>
      <c r="C134" s="86" t="inlineStr">
        <is>
          <t>Axis Mutual Fund</t>
        </is>
      </c>
      <c r="D134" s="86" t="inlineStr">
        <is>
          <t>Mid Cap Fund</t>
        </is>
      </c>
      <c r="E134" s="86" t="inlineStr">
        <is>
          <t>Mid Cap Fund</t>
        </is>
      </c>
      <c r="F134" s="87" t="n">
        <v>-2.52</v>
      </c>
      <c r="G134" s="88" t="n">
        <v>4.87</v>
      </c>
      <c r="H134" s="88" t="n">
        <v>0.32</v>
      </c>
      <c r="I134" s="87" t="n">
        <v>-0.04</v>
      </c>
      <c r="J134" s="88" t="n">
        <v>4.704345659576137</v>
      </c>
      <c r="K134" s="88" t="n">
        <v>57.71</v>
      </c>
      <c r="L134" s="73" t="n">
        <v>64</v>
      </c>
      <c r="M134" s="18" t="n">
        <v>0</v>
      </c>
      <c r="N134" s="19" t="n">
        <v>35.2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89" t="inlineStr">
        <is>
          <t>📈 Good</t>
        </is>
      </c>
      <c r="S134" s="89" t="inlineStr">
        <is>
          <t>🔴 Not Qualified</t>
        </is>
      </c>
      <c r="T134" s="89" t="inlineStr">
        <is>
          <t>🔴 Avoid</t>
        </is>
      </c>
      <c r="U134" s="68" t="inlineStr">
        <is>
          <t>FULL</t>
        </is>
      </c>
    </row>
    <row r="135" ht="16" customHeight="1">
      <c r="A135" s="90" t="n">
        <v>131</v>
      </c>
      <c r="B135" s="91" t="inlineStr">
        <is>
          <t>TATA India Pharma &amp; Health Care Fund Regular Plan - Payout of Income Distribution cum capital withdrawal option</t>
        </is>
      </c>
      <c r="C135" s="91" t="inlineStr">
        <is>
          <t>Tata Mutual Fund</t>
        </is>
      </c>
      <c r="D135" s="91" t="inlineStr">
        <is>
          <t>Sectoral/ Thematic</t>
        </is>
      </c>
      <c r="E135" s="91" t="inlineStr">
        <is>
          <t>Sectoral/ Thematic</t>
        </is>
      </c>
      <c r="F135" s="92" t="n">
        <v>-1.09</v>
      </c>
      <c r="G135" s="93" t="n">
        <v>1.48</v>
      </c>
      <c r="H135" s="92" t="n">
        <v>-1.33</v>
      </c>
      <c r="I135" s="93" t="n">
        <v>0.73</v>
      </c>
      <c r="J135" s="93" t="n">
        <v>7.205410311233829</v>
      </c>
      <c r="K135" s="93" t="n">
        <v>74.67</v>
      </c>
      <c r="L135" s="73" t="n">
        <v>63.9</v>
      </c>
      <c r="M135" s="18" t="n">
        <v>0</v>
      </c>
      <c r="N135" s="19" t="n">
        <v>35.1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94" t="inlineStr">
        <is>
          <t>📈 Good</t>
        </is>
      </c>
      <c r="S135" s="94" t="inlineStr">
        <is>
          <t>🔴 Not Qualified</t>
        </is>
      </c>
      <c r="T135" s="94" t="inlineStr">
        <is>
          <t>🔴 Avoid</t>
        </is>
      </c>
      <c r="U135" s="68" t="inlineStr">
        <is>
          <t>FULL</t>
        </is>
      </c>
    </row>
    <row r="136" ht="16" customHeight="1">
      <c r="A136" s="85" t="n">
        <v>132</v>
      </c>
      <c r="B136" s="86" t="inlineStr">
        <is>
          <t>TATA India Pharma &amp; Healthcare Fund Regular Plan - Reinvestment of Income Distribution cum capital withdrawal option</t>
        </is>
      </c>
      <c r="C136" s="86" t="inlineStr">
        <is>
          <t>Tata Mutual Fund</t>
        </is>
      </c>
      <c r="D136" s="86" t="inlineStr">
        <is>
          <t>Sectoral/ Thematic</t>
        </is>
      </c>
      <c r="E136" s="86" t="inlineStr">
        <is>
          <t>Sectoral/ Thematic</t>
        </is>
      </c>
      <c r="F136" s="87" t="n">
        <v>-1.09</v>
      </c>
      <c r="G136" s="88" t="n">
        <v>1.48</v>
      </c>
      <c r="H136" s="87" t="n">
        <v>-1.33</v>
      </c>
      <c r="I136" s="88" t="n">
        <v>0.73</v>
      </c>
      <c r="J136" s="88" t="n">
        <v>7.205410311233829</v>
      </c>
      <c r="K136" s="88" t="n">
        <v>74.67</v>
      </c>
      <c r="L136" s="73" t="n">
        <v>63.9</v>
      </c>
      <c r="M136" s="18" t="n">
        <v>0</v>
      </c>
      <c r="N136" s="19" t="n">
        <v>35.1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89" t="inlineStr">
        <is>
          <t>📈 Good</t>
        </is>
      </c>
      <c r="S136" s="89" t="inlineStr">
        <is>
          <t>🔴 Not Qualified</t>
        </is>
      </c>
      <c r="T136" s="89" t="inlineStr">
        <is>
          <t>🔴 Avoid</t>
        </is>
      </c>
      <c r="U136" s="68" t="inlineStr">
        <is>
          <t>FULL</t>
        </is>
      </c>
    </row>
    <row r="137" ht="16" customHeight="1">
      <c r="A137" s="90" t="n">
        <v>133</v>
      </c>
      <c r="B137" s="91" t="inlineStr">
        <is>
          <t>ICICI Prudential Flexicap Fund - Growth</t>
        </is>
      </c>
      <c r="C137" s="91" t="inlineStr">
        <is>
          <t>ICICI Prudential Mutual Fund</t>
        </is>
      </c>
      <c r="D137" s="91" t="inlineStr">
        <is>
          <t>Flexi Cap Fund</t>
        </is>
      </c>
      <c r="E137" s="91" t="inlineStr">
        <is>
          <t>Flexi Cap Fund</t>
        </is>
      </c>
      <c r="F137" s="92" t="n">
        <v>-2.57</v>
      </c>
      <c r="G137" s="93" t="n">
        <v>3.46</v>
      </c>
      <c r="H137" s="92" t="n">
        <v>-6.88</v>
      </c>
      <c r="I137" s="93" t="n">
        <v>0.87</v>
      </c>
      <c r="J137" s="93" t="n">
        <v>3.850854594461572</v>
      </c>
      <c r="K137" s="93" t="n">
        <v>50.69</v>
      </c>
      <c r="L137" s="73" t="n">
        <v>63.8</v>
      </c>
      <c r="M137" s="18" t="n">
        <v>0</v>
      </c>
      <c r="N137" s="19" t="n">
        <v>35.1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94" t="inlineStr">
        <is>
          <t>📈 Good</t>
        </is>
      </c>
      <c r="S137" s="94" t="inlineStr">
        <is>
          <t>🔴 Not Qualified</t>
        </is>
      </c>
      <c r="T137" s="94" t="inlineStr">
        <is>
          <t>🔴 Avoid</t>
        </is>
      </c>
      <c r="U137" s="68" t="inlineStr">
        <is>
          <t>FULL</t>
        </is>
      </c>
    </row>
    <row r="138" ht="16" customHeight="1">
      <c r="A138" s="85" t="n">
        <v>134</v>
      </c>
      <c r="B138" s="86" t="inlineStr">
        <is>
          <t>Invesco India Smallcap Fund - Regular Plan - Growth</t>
        </is>
      </c>
      <c r="C138" s="86" t="inlineStr">
        <is>
          <t>Invesco Mutual Fund</t>
        </is>
      </c>
      <c r="D138" s="86" t="inlineStr">
        <is>
          <t>Small Cap Fund</t>
        </is>
      </c>
      <c r="E138" s="86" t="inlineStr">
        <is>
          <t>Small Cap Fund</t>
        </is>
      </c>
      <c r="F138" s="87" t="n">
        <v>-1.64</v>
      </c>
      <c r="G138" s="88" t="n">
        <v>10.54</v>
      </c>
      <c r="H138" s="88" t="n">
        <v>2.08</v>
      </c>
      <c r="I138" s="88" t="n">
        <v>1.55</v>
      </c>
      <c r="J138" s="88" t="n">
        <v>8.434311912788939</v>
      </c>
      <c r="K138" s="88" t="n">
        <v>78.16</v>
      </c>
      <c r="L138" s="73" t="n">
        <v>63.2</v>
      </c>
      <c r="M138" s="18" t="n">
        <v>0</v>
      </c>
      <c r="N138" s="19" t="n">
        <v>34.8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89" t="inlineStr">
        <is>
          <t>📈 Good</t>
        </is>
      </c>
      <c r="S138" s="89" t="inlineStr">
        <is>
          <t>🔴 Not Qualified</t>
        </is>
      </c>
      <c r="T138" s="89" t="inlineStr">
        <is>
          <t>🔴 Avoid</t>
        </is>
      </c>
      <c r="U138" s="68" t="inlineStr">
        <is>
          <t>FULL</t>
        </is>
      </c>
    </row>
    <row r="139" ht="16" customHeight="1">
      <c r="A139" s="90" t="n">
        <v>135</v>
      </c>
      <c r="B139" s="91" t="inlineStr">
        <is>
          <t>Tata Resources &amp; Energy Fund-Regular Plan-Growth</t>
        </is>
      </c>
      <c r="C139" s="91" t="inlineStr">
        <is>
          <t>Tata Mutual Fund</t>
        </is>
      </c>
      <c r="D139" s="91" t="inlineStr">
        <is>
          <t>Sectoral/ Thematic</t>
        </is>
      </c>
      <c r="E139" s="91" t="inlineStr">
        <is>
          <t>Sectoral/ Thematic</t>
        </is>
      </c>
      <c r="F139" s="92" t="n">
        <v>-4.33</v>
      </c>
      <c r="G139" s="93" t="n">
        <v>3.72</v>
      </c>
      <c r="H139" s="93" t="n">
        <v>4.37</v>
      </c>
      <c r="I139" s="93" t="n">
        <v>4.78</v>
      </c>
      <c r="J139" s="93" t="n">
        <v>4.422219857652898</v>
      </c>
      <c r="K139" s="93" t="n">
        <v>57.66</v>
      </c>
      <c r="L139" s="73" t="n">
        <v>62.8</v>
      </c>
      <c r="M139" s="18" t="n">
        <v>0</v>
      </c>
      <c r="N139" s="19" t="n">
        <v>34.5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94" t="inlineStr">
        <is>
          <t>📈 Good</t>
        </is>
      </c>
      <c r="S139" s="94" t="inlineStr">
        <is>
          <t>🔴 Not Qualified</t>
        </is>
      </c>
      <c r="T139" s="94" t="inlineStr">
        <is>
          <t>🔴 Avoid</t>
        </is>
      </c>
      <c r="U139" s="68" t="inlineStr">
        <is>
          <t>FULL</t>
        </is>
      </c>
    </row>
    <row r="140" ht="16" customHeight="1">
      <c r="A140" s="85" t="n">
        <v>136</v>
      </c>
      <c r="B140" s="86" t="inlineStr">
        <is>
          <t>LIC MF Flexi Cap Fund-Regular Plan-Growth</t>
        </is>
      </c>
      <c r="C140" s="86" t="inlineStr">
        <is>
          <t>LIC Mutual Fund</t>
        </is>
      </c>
      <c r="D140" s="86" t="inlineStr">
        <is>
          <t>Flexi Cap Fund</t>
        </is>
      </c>
      <c r="E140" s="86" t="inlineStr">
        <is>
          <t>Flexi Cap Fund</t>
        </is>
      </c>
      <c r="F140" s="87" t="n">
        <v>-2.45</v>
      </c>
      <c r="G140" s="88" t="n">
        <v>2.66</v>
      </c>
      <c r="H140" s="87" t="n">
        <v>-6.39</v>
      </c>
      <c r="I140" s="87" t="n">
        <v>-0.98</v>
      </c>
      <c r="J140" s="87" t="n">
        <v>-0.2603388816665331</v>
      </c>
      <c r="K140" s="88" t="n">
        <v>33.86</v>
      </c>
      <c r="L140" s="73" t="n">
        <v>62.6</v>
      </c>
      <c r="M140" s="18" t="n">
        <v>0</v>
      </c>
      <c r="N140" s="19" t="n">
        <v>34.4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89" t="inlineStr">
        <is>
          <t>📈 Good</t>
        </is>
      </c>
      <c r="S140" s="89" t="inlineStr">
        <is>
          <t>🔴 Not Qualified</t>
        </is>
      </c>
      <c r="T140" s="89" t="inlineStr">
        <is>
          <t>🔴 Avoid</t>
        </is>
      </c>
      <c r="U140" s="68" t="inlineStr">
        <is>
          <t>FULL</t>
        </is>
      </c>
    </row>
    <row r="141" ht="16" customHeight="1">
      <c r="A141" s="90" t="n">
        <v>137</v>
      </c>
      <c r="B141" s="91" t="inlineStr">
        <is>
          <t>HSBC Focused Fund - Regular Growth</t>
        </is>
      </c>
      <c r="C141" s="91" t="inlineStr">
        <is>
          <t>HSBC Mutual Fund</t>
        </is>
      </c>
      <c r="D141" s="91" t="inlineStr">
        <is>
          <t>Focused Fund</t>
        </is>
      </c>
      <c r="E141" s="91" t="inlineStr">
        <is>
          <t>Focused Fund</t>
        </is>
      </c>
      <c r="F141" s="92" t="n">
        <v>-3.72</v>
      </c>
      <c r="G141" s="93" t="n">
        <v>2.69</v>
      </c>
      <c r="H141" s="92" t="n">
        <v>-3.97</v>
      </c>
      <c r="I141" s="92" t="n">
        <v>-0.8</v>
      </c>
      <c r="J141" s="93" t="n">
        <v>3.807514178887828</v>
      </c>
      <c r="K141" s="93" t="n">
        <v>46.38</v>
      </c>
      <c r="L141" s="73" t="n">
        <v>62</v>
      </c>
      <c r="M141" s="18" t="n">
        <v>0</v>
      </c>
      <c r="N141" s="19" t="n">
        <v>34.1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94" t="inlineStr">
        <is>
          <t>📈 Good</t>
        </is>
      </c>
      <c r="S141" s="94" t="inlineStr">
        <is>
          <t>🔴 Not Qualified</t>
        </is>
      </c>
      <c r="T141" s="94" t="inlineStr">
        <is>
          <t>🔴 Avoid</t>
        </is>
      </c>
      <c r="U141" s="68" t="inlineStr">
        <is>
          <t>FULL</t>
        </is>
      </c>
    </row>
    <row r="142" ht="16" customHeight="1">
      <c r="A142" s="85" t="n">
        <v>138</v>
      </c>
      <c r="B142" s="86" t="inlineStr">
        <is>
          <t>BANDHAN Large Cap Fund - Regular Plan - Growth</t>
        </is>
      </c>
      <c r="C142" s="86" t="inlineStr">
        <is>
          <t>Bandhan Mutual Fund</t>
        </is>
      </c>
      <c r="D142" s="86" t="inlineStr">
        <is>
          <t>Large Cap Fund</t>
        </is>
      </c>
      <c r="E142" s="86" t="inlineStr">
        <is>
          <t>Large Cap Fund</t>
        </is>
      </c>
      <c r="F142" s="87" t="n">
        <v>-2.97</v>
      </c>
      <c r="G142" s="87" t="n">
        <v>-0.17</v>
      </c>
      <c r="H142" s="87" t="n">
        <v>-8.369999999999999</v>
      </c>
      <c r="I142" s="87" t="n">
        <v>-3.96</v>
      </c>
      <c r="J142" s="88" t="n">
        <v>1.90682018393078</v>
      </c>
      <c r="K142" s="88" t="n">
        <v>40.61</v>
      </c>
      <c r="L142" s="73" t="n">
        <v>61.9</v>
      </c>
      <c r="M142" s="18" t="n">
        <v>0</v>
      </c>
      <c r="N142" s="19" t="n">
        <v>34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89" t="inlineStr">
        <is>
          <t>📈 Good</t>
        </is>
      </c>
      <c r="S142" s="89" t="inlineStr">
        <is>
          <t>🔴 Not Qualified</t>
        </is>
      </c>
      <c r="T142" s="89" t="inlineStr">
        <is>
          <t>🔴 Avoid</t>
        </is>
      </c>
      <c r="U142" s="68" t="inlineStr">
        <is>
          <t>FULL</t>
        </is>
      </c>
    </row>
    <row r="143" ht="16" customHeight="1">
      <c r="A143" s="90" t="n">
        <v>139</v>
      </c>
      <c r="B143" s="91" t="inlineStr">
        <is>
          <t>Sundaram Infrastructure Advantage Fund Regular Plan - Growth</t>
        </is>
      </c>
      <c r="C143" s="91" t="inlineStr">
        <is>
          <t>Sundaram Mutual Fund</t>
        </is>
      </c>
      <c r="D143" s="91" t="inlineStr">
        <is>
          <t>Sectoral/ Thematic</t>
        </is>
      </c>
      <c r="E143" s="91" t="inlineStr">
        <is>
          <t>Sectoral/ Thematic</t>
        </is>
      </c>
      <c r="F143" s="92" t="n">
        <v>-3.28</v>
      </c>
      <c r="G143" s="93" t="n">
        <v>3.87</v>
      </c>
      <c r="H143" s="93" t="n">
        <v>2.43</v>
      </c>
      <c r="I143" s="93" t="n">
        <v>3.43</v>
      </c>
      <c r="J143" s="93" t="n">
        <v>2.878569196893488</v>
      </c>
      <c r="K143" s="93" t="n">
        <v>70.18000000000001</v>
      </c>
      <c r="L143" s="73" t="n">
        <v>61.8</v>
      </c>
      <c r="M143" s="18" t="n">
        <v>0</v>
      </c>
      <c r="N143" s="19" t="n">
        <v>34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94" t="inlineStr">
        <is>
          <t>📈 Good</t>
        </is>
      </c>
      <c r="S143" s="94" t="inlineStr">
        <is>
          <t>🔴 Not Qualified</t>
        </is>
      </c>
      <c r="T143" s="94" t="inlineStr">
        <is>
          <t>🔴 Avoid</t>
        </is>
      </c>
      <c r="U143" s="68" t="inlineStr">
        <is>
          <t>FULL</t>
        </is>
      </c>
    </row>
    <row r="144" ht="16" customHeight="1">
      <c r="A144" s="85" t="n">
        <v>140</v>
      </c>
      <c r="B144" s="86" t="inlineStr">
        <is>
          <t>PGIM India Small Cap Fund - Regular Plan - Growth Option</t>
        </is>
      </c>
      <c r="C144" s="86" t="inlineStr">
        <is>
          <t>PGIM India Mutual Fund</t>
        </is>
      </c>
      <c r="D144" s="86" t="inlineStr">
        <is>
          <t>Small Cap Fund</t>
        </is>
      </c>
      <c r="E144" s="86" t="inlineStr">
        <is>
          <t>Small Cap Fund</t>
        </is>
      </c>
      <c r="F144" s="87" t="n">
        <v>-2.28</v>
      </c>
      <c r="G144" s="88" t="n">
        <v>9.529999999999999</v>
      </c>
      <c r="H144" s="88" t="n">
        <v>1.37</v>
      </c>
      <c r="I144" s="88" t="n">
        <v>3.23</v>
      </c>
      <c r="J144" s="88" t="n">
        <v>6.018866245588583</v>
      </c>
      <c r="K144" s="88" t="n">
        <v>49.45</v>
      </c>
      <c r="L144" s="73" t="n">
        <v>61.7</v>
      </c>
      <c r="M144" s="18" t="n">
        <v>0</v>
      </c>
      <c r="N144" s="19" t="n">
        <v>33.9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89" t="inlineStr">
        <is>
          <t>📈 Good</t>
        </is>
      </c>
      <c r="S144" s="89" t="inlineStr">
        <is>
          <t>🔴 Not Qualified</t>
        </is>
      </c>
      <c r="T144" s="89" t="inlineStr">
        <is>
          <t>🔴 Avoid</t>
        </is>
      </c>
      <c r="U144" s="68" t="inlineStr">
        <is>
          <t>FULL</t>
        </is>
      </c>
    </row>
    <row r="145" ht="16" customHeight="1">
      <c r="A145" s="90" t="n">
        <v>141</v>
      </c>
      <c r="B145" s="91" t="inlineStr">
        <is>
          <t>Tata India Consumer Fund-Regular Plan-Growth</t>
        </is>
      </c>
      <c r="C145" s="91" t="inlineStr">
        <is>
          <t>Tata Mutual Fund</t>
        </is>
      </c>
      <c r="D145" s="91" t="inlineStr">
        <is>
          <t>Sectoral/ Thematic</t>
        </is>
      </c>
      <c r="E145" s="91" t="inlineStr">
        <is>
          <t>Sectoral/ Thematic</t>
        </is>
      </c>
      <c r="F145" s="92" t="n">
        <v>-2.37</v>
      </c>
      <c r="G145" s="93" t="n">
        <v>8.16</v>
      </c>
      <c r="H145" s="92" t="n">
        <v>-3.8</v>
      </c>
      <c r="I145" s="92" t="n">
        <v>-1.33</v>
      </c>
      <c r="J145" s="93" t="n">
        <v>3.778610512956848</v>
      </c>
      <c r="K145" s="93" t="n">
        <v>46.34</v>
      </c>
      <c r="L145" s="73" t="n">
        <v>61.3</v>
      </c>
      <c r="M145" s="18" t="n">
        <v>0</v>
      </c>
      <c r="N145" s="19" t="n">
        <v>33.7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94" t="inlineStr">
        <is>
          <t>📈 Good</t>
        </is>
      </c>
      <c r="S145" s="94" t="inlineStr">
        <is>
          <t>🔴 Not Qualified</t>
        </is>
      </c>
      <c r="T145" s="94" t="inlineStr">
        <is>
          <t>🔴 Avoid</t>
        </is>
      </c>
      <c r="U145" s="68" t="inlineStr">
        <is>
          <t>FULL</t>
        </is>
      </c>
    </row>
    <row r="146" ht="16" customHeight="1">
      <c r="A146" s="85" t="n">
        <v>142</v>
      </c>
      <c r="B146" s="86" t="inlineStr">
        <is>
          <t>ICICI Prudential Commodities Fund - Growth Option</t>
        </is>
      </c>
      <c r="C146" s="86" t="inlineStr">
        <is>
          <t>ICICI Prudential Mutual Fund</t>
        </is>
      </c>
      <c r="D146" s="86" t="inlineStr">
        <is>
          <t>Sectoral/ Thematic</t>
        </is>
      </c>
      <c r="E146" s="86" t="inlineStr">
        <is>
          <t>Sectoral/ Thematic</t>
        </is>
      </c>
      <c r="F146" s="87" t="n">
        <v>-4.51</v>
      </c>
      <c r="G146" s="88" t="n">
        <v>1.26</v>
      </c>
      <c r="H146" s="88" t="n">
        <v>5.05</v>
      </c>
      <c r="I146" s="88" t="n">
        <v>10.22</v>
      </c>
      <c r="J146" s="88" t="n">
        <v>5.000000000000004</v>
      </c>
      <c r="K146" s="88" t="n">
        <v>62.22</v>
      </c>
      <c r="L146" s="73" t="n">
        <v>61</v>
      </c>
      <c r="M146" s="18" t="n">
        <v>0</v>
      </c>
      <c r="N146" s="19" t="n">
        <v>33.6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89" t="inlineStr">
        <is>
          <t>📈 Good</t>
        </is>
      </c>
      <c r="S146" s="89" t="inlineStr">
        <is>
          <t>🔴 Not Qualified</t>
        </is>
      </c>
      <c r="T146" s="89" t="inlineStr">
        <is>
          <t>🔴 Avoid</t>
        </is>
      </c>
      <c r="U146" s="68" t="inlineStr">
        <is>
          <t>FULL</t>
        </is>
      </c>
    </row>
    <row r="147" ht="16" customHeight="1">
      <c r="A147" s="90" t="n">
        <v>143</v>
      </c>
      <c r="B147" s="91" t="inlineStr">
        <is>
          <t>Union Large &amp; Midcap Fund - Regular Plan - Growth Option</t>
        </is>
      </c>
      <c r="C147" s="91" t="inlineStr">
        <is>
          <t>Union Mutual Fund</t>
        </is>
      </c>
      <c r="D147" s="91" t="inlineStr">
        <is>
          <t>Large &amp; Mid Cap Fund</t>
        </is>
      </c>
      <c r="E147" s="91" t="inlineStr">
        <is>
          <t>Large &amp; Mid Cap Fund</t>
        </is>
      </c>
      <c r="F147" s="92" t="n">
        <v>-3.03</v>
      </c>
      <c r="G147" s="93" t="n">
        <v>1.96</v>
      </c>
      <c r="H147" s="92" t="n">
        <v>-4.11</v>
      </c>
      <c r="I147" s="92" t="n">
        <v>-2.42</v>
      </c>
      <c r="J147" s="93" t="n">
        <v>2.279030108815561</v>
      </c>
      <c r="K147" s="93" t="n">
        <v>42</v>
      </c>
      <c r="L147" s="73" t="n">
        <v>60.6</v>
      </c>
      <c r="M147" s="18" t="n">
        <v>0</v>
      </c>
      <c r="N147" s="19" t="n">
        <v>33.3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94" t="inlineStr">
        <is>
          <t>📈 Good</t>
        </is>
      </c>
      <c r="S147" s="94" t="inlineStr">
        <is>
          <t>🔴 Not Qualified</t>
        </is>
      </c>
      <c r="T147" s="94" t="inlineStr">
        <is>
          <t>🔴 Avoid</t>
        </is>
      </c>
      <c r="U147" s="68" t="inlineStr">
        <is>
          <t>FULL</t>
        </is>
      </c>
    </row>
    <row r="148" ht="16" customHeight="1">
      <c r="A148" s="85" t="n">
        <v>144</v>
      </c>
      <c r="B148" s="86" t="inlineStr">
        <is>
          <t>ICICI Prudential Innovation Fund - Growth</t>
        </is>
      </c>
      <c r="C148" s="86" t="inlineStr">
        <is>
          <t>ICICI Prudential Mutual Fund</t>
        </is>
      </c>
      <c r="D148" s="86" t="inlineStr">
        <is>
          <t>Sectoral/ Thematic</t>
        </is>
      </c>
      <c r="E148" s="86" t="inlineStr">
        <is>
          <t>Sectoral/ Thematic</t>
        </is>
      </c>
      <c r="F148" s="87" t="n">
        <v>-1.46</v>
      </c>
      <c r="G148" s="88" t="n">
        <v>4.72</v>
      </c>
      <c r="H148" s="87" t="n">
        <v>-5.01</v>
      </c>
      <c r="I148" s="87" t="n">
        <v>-0.33</v>
      </c>
      <c r="J148" s="88" t="n">
        <v>4.68046618161384</v>
      </c>
      <c r="K148" s="88" t="n">
        <v>74.73999999999999</v>
      </c>
      <c r="L148" s="73" t="n">
        <v>60.6</v>
      </c>
      <c r="M148" s="18" t="n">
        <v>0</v>
      </c>
      <c r="N148" s="19" t="n">
        <v>33.3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89" t="inlineStr">
        <is>
          <t>📈 Good</t>
        </is>
      </c>
      <c r="S148" s="89" t="inlineStr">
        <is>
          <t>🔴 Not Qualified</t>
        </is>
      </c>
      <c r="T148" s="89" t="inlineStr">
        <is>
          <t>🔴 Avoid</t>
        </is>
      </c>
      <c r="U148" s="68" t="inlineStr">
        <is>
          <t>FULL</t>
        </is>
      </c>
    </row>
    <row r="149" ht="16" customHeight="1">
      <c r="A149" s="90" t="n">
        <v>145</v>
      </c>
      <c r="B149" s="91" t="inlineStr">
        <is>
          <t>Mahindra Manulife Small Cap Fund - Regular Plan - Growth</t>
        </is>
      </c>
      <c r="C149" s="91" t="inlineStr">
        <is>
          <t>Mahindra Manulife Mutual Fund</t>
        </is>
      </c>
      <c r="D149" s="91" t="inlineStr">
        <is>
          <t>Small Cap Fund</t>
        </is>
      </c>
      <c r="E149" s="91" t="inlineStr">
        <is>
          <t>Small Cap Fund</t>
        </is>
      </c>
      <c r="F149" s="92" t="n">
        <v>-2.55</v>
      </c>
      <c r="G149" s="93" t="n">
        <v>8.92</v>
      </c>
      <c r="H149" s="93" t="n">
        <v>2.26</v>
      </c>
      <c r="I149" s="93" t="n">
        <v>1.84</v>
      </c>
      <c r="J149" s="93" t="n">
        <v>3.392456204502659</v>
      </c>
      <c r="K149" s="93" t="n">
        <v>75.26000000000001</v>
      </c>
      <c r="L149" s="73" t="n">
        <v>59.9</v>
      </c>
      <c r="M149" s="18" t="n">
        <v>0</v>
      </c>
      <c r="N149" s="19" t="n">
        <v>32.9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94" t="inlineStr">
        <is>
          <t>➡️ Neutral</t>
        </is>
      </c>
      <c r="S149" s="94" t="inlineStr">
        <is>
          <t>🔴 Not Qualified</t>
        </is>
      </c>
      <c r="T149" s="94" t="inlineStr">
        <is>
          <t>🔴 Avoid</t>
        </is>
      </c>
      <c r="U149" s="68" t="inlineStr">
        <is>
          <t>FULL</t>
        </is>
      </c>
    </row>
    <row r="150" ht="16" customHeight="1">
      <c r="A150" s="85" t="n">
        <v>146</v>
      </c>
      <c r="B150" s="86" t="inlineStr">
        <is>
          <t>BARODA BNP PARIBAS Mid Cap Fund - Regular Plan - Growth Option</t>
        </is>
      </c>
      <c r="C150" s="86" t="inlineStr">
        <is>
          <t>Baroda BNP Paribas Mutual Fund</t>
        </is>
      </c>
      <c r="D150" s="86" t="inlineStr">
        <is>
          <t>Mid Cap Fund</t>
        </is>
      </c>
      <c r="E150" s="86" t="inlineStr">
        <is>
          <t>Mid Cap Fund</t>
        </is>
      </c>
      <c r="F150" s="87" t="n">
        <v>-3.84</v>
      </c>
      <c r="G150" s="88" t="n">
        <v>4.2</v>
      </c>
      <c r="H150" s="88" t="n">
        <v>0.5</v>
      </c>
      <c r="I150" s="88" t="n">
        <v>4.12</v>
      </c>
      <c r="J150" s="88" t="n">
        <v>5.047608254543334</v>
      </c>
      <c r="K150" s="88" t="n">
        <v>67.01000000000001</v>
      </c>
      <c r="L150" s="73" t="n">
        <v>59.9</v>
      </c>
      <c r="M150" s="18" t="n">
        <v>0</v>
      </c>
      <c r="N150" s="19" t="n">
        <v>32.9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89" t="inlineStr">
        <is>
          <t>➡️ Neutral</t>
        </is>
      </c>
      <c r="S150" s="89" t="inlineStr">
        <is>
          <t>🔴 Not Qualified</t>
        </is>
      </c>
      <c r="T150" s="89" t="inlineStr">
        <is>
          <t>🔴 Avoid</t>
        </is>
      </c>
      <c r="U150" s="68" t="inlineStr">
        <is>
          <t>FULL</t>
        </is>
      </c>
    </row>
    <row r="151" ht="16" customHeight="1">
      <c r="A151" s="90" t="n">
        <v>147</v>
      </c>
      <c r="B151" s="91" t="inlineStr">
        <is>
          <t>Baroda BNP Paribas Flexi Cap Fund - Regular Plan - Growth Option</t>
        </is>
      </c>
      <c r="C151" s="91" t="inlineStr">
        <is>
          <t>Baroda BNP Paribas Mutual Fund</t>
        </is>
      </c>
      <c r="D151" s="91" t="inlineStr">
        <is>
          <t>Flexi Cap Fund</t>
        </is>
      </c>
      <c r="E151" s="91" t="inlineStr">
        <is>
          <t>Flexi Cap Fund</t>
        </is>
      </c>
      <c r="F151" s="92" t="n">
        <v>-2.63</v>
      </c>
      <c r="G151" s="93" t="n">
        <v>2.06</v>
      </c>
      <c r="H151" s="92" t="n">
        <v>-4.08</v>
      </c>
      <c r="I151" s="92" t="n">
        <v>-3.11</v>
      </c>
      <c r="J151" s="93" t="n">
        <v>1.759520439121576</v>
      </c>
      <c r="K151" s="93" t="n">
        <v>43.82</v>
      </c>
      <c r="L151" s="73" t="n">
        <v>59.8</v>
      </c>
      <c r="M151" s="18" t="n">
        <v>0</v>
      </c>
      <c r="N151" s="19" t="n">
        <v>32.9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94" t="inlineStr">
        <is>
          <t>➡️ Neutral</t>
        </is>
      </c>
      <c r="S151" s="94" t="inlineStr">
        <is>
          <t>🔴 Not Qualified</t>
        </is>
      </c>
      <c r="T151" s="94" t="inlineStr">
        <is>
          <t>🔴 Avoid</t>
        </is>
      </c>
      <c r="U151" s="68" t="inlineStr">
        <is>
          <t>FULL</t>
        </is>
      </c>
    </row>
    <row r="152" ht="16" customHeight="1">
      <c r="A152" s="85" t="n">
        <v>148</v>
      </c>
      <c r="B152" s="86" t="inlineStr">
        <is>
          <t>Shriram ELSS Tax Saver Fund - Regular Growth</t>
        </is>
      </c>
      <c r="C152" s="86" t="inlineStr">
        <is>
          <t>Shriram Mutual Fund</t>
        </is>
      </c>
      <c r="D152" s="86" t="inlineStr">
        <is>
          <t>Elss</t>
        </is>
      </c>
      <c r="E152" s="86" t="inlineStr">
        <is>
          <t>Elss</t>
        </is>
      </c>
      <c r="F152" s="87" t="n">
        <v>-2.06</v>
      </c>
      <c r="G152" s="88" t="n">
        <v>0.74</v>
      </c>
      <c r="H152" s="87" t="n">
        <v>-7.39</v>
      </c>
      <c r="I152" s="87" t="n">
        <v>-5.86</v>
      </c>
      <c r="J152" s="87" t="n">
        <v>-5.718506587984084</v>
      </c>
      <c r="K152" s="88" t="n">
        <v>23.86</v>
      </c>
      <c r="L152" s="73" t="n">
        <v>59.3</v>
      </c>
      <c r="M152" s="18" t="n">
        <v>0</v>
      </c>
      <c r="N152" s="19" t="n">
        <v>32.6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89" t="inlineStr">
        <is>
          <t>➡️ Neutral</t>
        </is>
      </c>
      <c r="S152" s="89" t="inlineStr">
        <is>
          <t>🔴 Not Qualified</t>
        </is>
      </c>
      <c r="T152" s="89" t="inlineStr">
        <is>
          <t>🔴 Avoid</t>
        </is>
      </c>
      <c r="U152" s="68" t="inlineStr">
        <is>
          <t>FULL</t>
        </is>
      </c>
    </row>
    <row r="153" ht="16" customHeight="1">
      <c r="A153" s="90" t="n">
        <v>149</v>
      </c>
      <c r="B153" s="91" t="inlineStr">
        <is>
          <t>Aditya Birla Sun Life Large &amp; Mid Cap Fund - Regular Growth</t>
        </is>
      </c>
      <c r="C153" s="91" t="inlineStr">
        <is>
          <t>Aditya Birla Sun Life Mutual Fund</t>
        </is>
      </c>
      <c r="D153" s="91" t="inlineStr">
        <is>
          <t>Large &amp; Mid Cap Fund</t>
        </is>
      </c>
      <c r="E153" s="91" t="inlineStr">
        <is>
          <t>Large &amp; Mid Cap Fund</t>
        </is>
      </c>
      <c r="F153" s="92" t="n">
        <v>-3.23</v>
      </c>
      <c r="G153" s="93" t="n">
        <v>1.91</v>
      </c>
      <c r="H153" s="92" t="n">
        <v>-3.53</v>
      </c>
      <c r="I153" s="92" t="n">
        <v>-3.23</v>
      </c>
      <c r="J153" s="93" t="n">
        <v>1.749692874229347</v>
      </c>
      <c r="K153" s="93" t="n">
        <v>38.93</v>
      </c>
      <c r="L153" s="73" t="n">
        <v>58.7</v>
      </c>
      <c r="M153" s="18" t="n">
        <v>0</v>
      </c>
      <c r="N153" s="19" t="n">
        <v>32.3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94" t="inlineStr">
        <is>
          <t>➡️ Neutral</t>
        </is>
      </c>
      <c r="S153" s="94" t="inlineStr">
        <is>
          <t>🔴 Not Qualified</t>
        </is>
      </c>
      <c r="T153" s="94" t="inlineStr">
        <is>
          <t>🔴 Avoid</t>
        </is>
      </c>
      <c r="U153" s="68" t="inlineStr">
        <is>
          <t>FULL</t>
        </is>
      </c>
    </row>
    <row r="154" ht="16" customHeight="1">
      <c r="A154" s="85" t="n">
        <v>150</v>
      </c>
      <c r="B154" s="86" t="inlineStr">
        <is>
          <t>ITI ELSS Tax Saver Fund - Regular Plan - Growth Option</t>
        </is>
      </c>
      <c r="C154" s="86" t="inlineStr">
        <is>
          <t>ITI Mutual Fund</t>
        </is>
      </c>
      <c r="D154" s="86" t="inlineStr">
        <is>
          <t>Elss</t>
        </is>
      </c>
      <c r="E154" s="86" t="inlineStr">
        <is>
          <t>Elss</t>
        </is>
      </c>
      <c r="F154" s="87" t="n">
        <v>-3.71</v>
      </c>
      <c r="G154" s="88" t="n">
        <v>6.23</v>
      </c>
      <c r="H154" s="87" t="n">
        <v>-3.94</v>
      </c>
      <c r="I154" s="87" t="n">
        <v>-7.14</v>
      </c>
      <c r="J154" s="87" t="n">
        <v>-0.808266473460606</v>
      </c>
      <c r="K154" s="88" t="n">
        <v>54.28</v>
      </c>
      <c r="L154" s="73" t="n">
        <v>58.6</v>
      </c>
      <c r="M154" s="18" t="n">
        <v>0</v>
      </c>
      <c r="N154" s="19" t="n">
        <v>32.2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89" t="inlineStr">
        <is>
          <t>➡️ Neutral</t>
        </is>
      </c>
      <c r="S154" s="89" t="inlineStr">
        <is>
          <t>🔴 Not Qualified</t>
        </is>
      </c>
      <c r="T154" s="89" t="inlineStr">
        <is>
          <t>🔴 Avoid</t>
        </is>
      </c>
      <c r="U154" s="68" t="inlineStr">
        <is>
          <t>FULL</t>
        </is>
      </c>
    </row>
    <row r="155" ht="16" customHeight="1">
      <c r="A155" s="90" t="n">
        <v>151</v>
      </c>
      <c r="B155" s="91" t="inlineStr">
        <is>
          <t>BANK OF INDIA Large &amp; Mid Cap Fund Eco Plan- Growth</t>
        </is>
      </c>
      <c r="C155" s="91" t="inlineStr">
        <is>
          <t>Bank of India Mutual Fund</t>
        </is>
      </c>
      <c r="D155" s="91" t="inlineStr">
        <is>
          <t>Large &amp; Mid Cap Fund</t>
        </is>
      </c>
      <c r="E155" s="91" t="inlineStr">
        <is>
          <t>Large &amp; Mid Cap Fund</t>
        </is>
      </c>
      <c r="F155" s="92" t="n">
        <v>-3.21</v>
      </c>
      <c r="G155" s="93" t="n">
        <v>1.13</v>
      </c>
      <c r="H155" s="92" t="n">
        <v>-3.87</v>
      </c>
      <c r="I155" s="92" t="n">
        <v>-0.9399999999999999</v>
      </c>
      <c r="J155" s="93" t="n">
        <v>1.985293057381554</v>
      </c>
      <c r="K155" s="93" t="n">
        <v>50.33</v>
      </c>
      <c r="L155" s="73" t="n">
        <v>58.5</v>
      </c>
      <c r="M155" s="18" t="n">
        <v>0</v>
      </c>
      <c r="N155" s="19" t="n">
        <v>32.2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94" t="inlineStr">
        <is>
          <t>➡️ Neutral</t>
        </is>
      </c>
      <c r="S155" s="94" t="inlineStr">
        <is>
          <t>🔴 Not Qualified</t>
        </is>
      </c>
      <c r="T155" s="94" t="inlineStr">
        <is>
          <t>🔴 Avoid</t>
        </is>
      </c>
      <c r="U155" s="68" t="inlineStr">
        <is>
          <t>FULL</t>
        </is>
      </c>
    </row>
    <row r="156" ht="16" customHeight="1">
      <c r="A156" s="85" t="n">
        <v>152</v>
      </c>
      <c r="B156" s="86" t="inlineStr">
        <is>
          <t>DSP ELSS Tax Saver Fund - Regular Plan - Growth</t>
        </is>
      </c>
      <c r="C156" s="86" t="inlineStr">
        <is>
          <t>DSP Mutual Fund</t>
        </is>
      </c>
      <c r="D156" s="86" t="inlineStr">
        <is>
          <t>Elss</t>
        </is>
      </c>
      <c r="E156" s="86" t="inlineStr">
        <is>
          <t>Elss</t>
        </is>
      </c>
      <c r="F156" s="87" t="n">
        <v>-1.67</v>
      </c>
      <c r="G156" s="87" t="n">
        <v>-0.04</v>
      </c>
      <c r="H156" s="87" t="n">
        <v>-7.63</v>
      </c>
      <c r="I156" s="87" t="n">
        <v>-5.18</v>
      </c>
      <c r="J156" s="88" t="n">
        <v>2.703456611742139</v>
      </c>
      <c r="K156" s="88" t="n">
        <v>54.09</v>
      </c>
      <c r="L156" s="73" t="n">
        <v>58.5</v>
      </c>
      <c r="M156" s="18" t="n">
        <v>0</v>
      </c>
      <c r="N156" s="19" t="n">
        <v>32.1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89" t="inlineStr">
        <is>
          <t>➡️ Neutral</t>
        </is>
      </c>
      <c r="S156" s="89" t="inlineStr">
        <is>
          <t>🔴 Not Qualified</t>
        </is>
      </c>
      <c r="T156" s="89" t="inlineStr">
        <is>
          <t>🔴 Avoid</t>
        </is>
      </c>
      <c r="U156" s="68" t="inlineStr">
        <is>
          <t>FULL</t>
        </is>
      </c>
    </row>
    <row r="157" ht="16" customHeight="1">
      <c r="A157" s="90" t="n">
        <v>153</v>
      </c>
      <c r="B157" s="91" t="inlineStr">
        <is>
          <t>CANARA ROBECO INFRASTRUCTURE FUND - REGULAR PLAN - GROWTH OPTION</t>
        </is>
      </c>
      <c r="C157" s="91" t="inlineStr">
        <is>
          <t>Canara Robeco Mutual Fund</t>
        </is>
      </c>
      <c r="D157" s="91" t="inlineStr">
        <is>
          <t>Sectoral/ Thematic</t>
        </is>
      </c>
      <c r="E157" s="91" t="inlineStr">
        <is>
          <t>Sectoral/ Thematic</t>
        </is>
      </c>
      <c r="F157" s="92" t="n">
        <v>-3.52</v>
      </c>
      <c r="G157" s="93" t="n">
        <v>1.39</v>
      </c>
      <c r="H157" s="93" t="n">
        <v>4.03</v>
      </c>
      <c r="I157" s="93" t="n">
        <v>1.21</v>
      </c>
      <c r="J157" s="93" t="n">
        <v>3.169763012231441</v>
      </c>
      <c r="K157" s="93" t="n">
        <v>78.97</v>
      </c>
      <c r="L157" s="73" t="n">
        <v>58.1</v>
      </c>
      <c r="M157" s="18" t="n">
        <v>0</v>
      </c>
      <c r="N157" s="19" t="n">
        <v>32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94" t="inlineStr">
        <is>
          <t>➡️ Neutral</t>
        </is>
      </c>
      <c r="S157" s="94" t="inlineStr">
        <is>
          <t>🔴 Not Qualified</t>
        </is>
      </c>
      <c r="T157" s="94" t="inlineStr">
        <is>
          <t>🔴 Avoid</t>
        </is>
      </c>
      <c r="U157" s="68" t="inlineStr">
        <is>
          <t>FULL</t>
        </is>
      </c>
    </row>
    <row r="158" ht="16" customHeight="1">
      <c r="A158" s="85" t="n">
        <v>154</v>
      </c>
      <c r="B158" s="86" t="inlineStr">
        <is>
          <t>Nippon India Growth Mid Cap Fund-Growth Plan-Bonus Option</t>
        </is>
      </c>
      <c r="C158" s="86" t="inlineStr">
        <is>
          <t>Nippon India Mutual Fund</t>
        </is>
      </c>
      <c r="D158" s="86" t="inlineStr">
        <is>
          <t>Mid Cap Fund</t>
        </is>
      </c>
      <c r="E158" s="86" t="inlineStr">
        <is>
          <t>Mid Cap Fund</t>
        </is>
      </c>
      <c r="F158" s="87" t="n">
        <v>-3.36</v>
      </c>
      <c r="G158" s="88" t="n">
        <v>3.73</v>
      </c>
      <c r="H158" s="88" t="n">
        <v>0.85</v>
      </c>
      <c r="I158" s="88" t="n">
        <v>1.16</v>
      </c>
      <c r="J158" s="88" t="n">
        <v>6.737996983267402</v>
      </c>
      <c r="K158" s="88" t="n">
        <v>80.45999999999999</v>
      </c>
      <c r="L158" s="73" t="n">
        <v>57.9</v>
      </c>
      <c r="M158" s="18" t="n">
        <v>0</v>
      </c>
      <c r="N158" s="19" t="n">
        <v>31.9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89" t="inlineStr">
        <is>
          <t>➡️ Neutral</t>
        </is>
      </c>
      <c r="S158" s="89" t="inlineStr">
        <is>
          <t>🔴 Not Qualified</t>
        </is>
      </c>
      <c r="T158" s="89" t="inlineStr">
        <is>
          <t>🔴 Avoid</t>
        </is>
      </c>
      <c r="U158" s="68" t="inlineStr">
        <is>
          <t>FULL</t>
        </is>
      </c>
    </row>
    <row r="159" ht="16" customHeight="1">
      <c r="A159" s="90" t="n">
        <v>155</v>
      </c>
      <c r="B159" s="91" t="inlineStr">
        <is>
          <t>Nippon India Growth Mid Cap Fund-Growth Plan-Growth Option</t>
        </is>
      </c>
      <c r="C159" s="91" t="inlineStr">
        <is>
          <t>Nippon India Mutual Fund</t>
        </is>
      </c>
      <c r="D159" s="91" t="inlineStr">
        <is>
          <t>Mid Cap Fund</t>
        </is>
      </c>
      <c r="E159" s="91" t="inlineStr">
        <is>
          <t>Mid Cap Fund</t>
        </is>
      </c>
      <c r="F159" s="92" t="n">
        <v>-3.36</v>
      </c>
      <c r="G159" s="93" t="n">
        <v>3.73</v>
      </c>
      <c r="H159" s="93" t="n">
        <v>0.85</v>
      </c>
      <c r="I159" s="93" t="n">
        <v>1.16</v>
      </c>
      <c r="J159" s="93" t="n">
        <v>6.737996983267402</v>
      </c>
      <c r="K159" s="93" t="n">
        <v>80.45999999999999</v>
      </c>
      <c r="L159" s="73" t="n">
        <v>57.9</v>
      </c>
      <c r="M159" s="18" t="n">
        <v>0</v>
      </c>
      <c r="N159" s="19" t="n">
        <v>31.9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94" t="inlineStr">
        <is>
          <t>➡️ Neutral</t>
        </is>
      </c>
      <c r="S159" s="94" t="inlineStr">
        <is>
          <t>🔴 Not Qualified</t>
        </is>
      </c>
      <c r="T159" s="94" t="inlineStr">
        <is>
          <t>🔴 Avoid</t>
        </is>
      </c>
      <c r="U159" s="68" t="inlineStr">
        <is>
          <t>FULL</t>
        </is>
      </c>
    </row>
    <row r="160" ht="16" customHeight="1">
      <c r="A160" s="85" t="n">
        <v>156</v>
      </c>
      <c r="B160" s="86" t="inlineStr">
        <is>
          <t>Nippon India Focused Fund -Growth Plan -Growth Option</t>
        </is>
      </c>
      <c r="C160" s="86" t="inlineStr">
        <is>
          <t>Nippon India Mutual Fund</t>
        </is>
      </c>
      <c r="D160" s="86" t="inlineStr">
        <is>
          <t>Focused Fund</t>
        </is>
      </c>
      <c r="E160" s="86" t="inlineStr">
        <is>
          <t>Focused Fund</t>
        </is>
      </c>
      <c r="F160" s="87" t="n">
        <v>-1.88</v>
      </c>
      <c r="G160" s="88" t="n">
        <v>2.54</v>
      </c>
      <c r="H160" s="87" t="n">
        <v>-6.04</v>
      </c>
      <c r="I160" s="87" t="n">
        <v>-4.2</v>
      </c>
      <c r="J160" s="88" t="n">
        <v>1.921538449927263</v>
      </c>
      <c r="K160" s="88" t="n">
        <v>38.45</v>
      </c>
      <c r="L160" s="73" t="n">
        <v>57.7</v>
      </c>
      <c r="M160" s="18" t="n">
        <v>0</v>
      </c>
      <c r="N160" s="19" t="n">
        <v>31.7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89" t="inlineStr">
        <is>
          <t>➡️ Neutral</t>
        </is>
      </c>
      <c r="S160" s="89" t="inlineStr">
        <is>
          <t>🔴 Not Qualified</t>
        </is>
      </c>
      <c r="T160" s="89" t="inlineStr">
        <is>
          <t>🔴 Avoid</t>
        </is>
      </c>
      <c r="U160" s="68" t="inlineStr">
        <is>
          <t>FULL</t>
        </is>
      </c>
    </row>
    <row r="161" ht="16" customHeight="1">
      <c r="A161" s="90" t="n">
        <v>157</v>
      </c>
      <c r="B161" s="91" t="inlineStr">
        <is>
          <t>Franklin India Opportunities Fund - Growth</t>
        </is>
      </c>
      <c r="C161" s="91" t="inlineStr">
        <is>
          <t>Franklin Templeton Mutual Fund</t>
        </is>
      </c>
      <c r="D161" s="91" t="inlineStr">
        <is>
          <t>Sectoral/ Thematic</t>
        </is>
      </c>
      <c r="E161" s="91" t="inlineStr">
        <is>
          <t>Sectoral/ Thematic</t>
        </is>
      </c>
      <c r="F161" s="92" t="n">
        <v>-1.78</v>
      </c>
      <c r="G161" s="93" t="n">
        <v>3.43</v>
      </c>
      <c r="H161" s="92" t="n">
        <v>-4.48</v>
      </c>
      <c r="I161" s="92" t="n">
        <v>-1.86</v>
      </c>
      <c r="J161" s="93" t="n">
        <v>3.174609279609109</v>
      </c>
      <c r="K161" s="93" t="n">
        <v>81.03</v>
      </c>
      <c r="L161" s="73" t="n">
        <v>57.6</v>
      </c>
      <c r="M161" s="18" t="n">
        <v>0</v>
      </c>
      <c r="N161" s="19" t="n">
        <v>31.7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94" t="inlineStr">
        <is>
          <t>➡️ Neutral</t>
        </is>
      </c>
      <c r="S161" s="94" t="inlineStr">
        <is>
          <t>🔴 Not Qualified</t>
        </is>
      </c>
      <c r="T161" s="94" t="inlineStr">
        <is>
          <t>🔴 Avoid</t>
        </is>
      </c>
      <c r="U161" s="68" t="inlineStr">
        <is>
          <t>FULL</t>
        </is>
      </c>
    </row>
    <row r="162" ht="16" customHeight="1">
      <c r="A162" s="85" t="n">
        <v>158</v>
      </c>
      <c r="B162" s="86" t="inlineStr">
        <is>
          <t>Edelweiss ELSS Tax Saver Fund - Regular Plan - Growth Option</t>
        </is>
      </c>
      <c r="C162" s="86" t="inlineStr">
        <is>
          <t>Edelweiss Mutual Fund</t>
        </is>
      </c>
      <c r="D162" s="86" t="inlineStr">
        <is>
          <t>Elss</t>
        </is>
      </c>
      <c r="E162" s="86" t="inlineStr">
        <is>
          <t>Elss</t>
        </is>
      </c>
      <c r="F162" s="87" t="n">
        <v>-4.25</v>
      </c>
      <c r="G162" s="88" t="n">
        <v>1.02</v>
      </c>
      <c r="H162" s="87" t="n">
        <v>-6.13</v>
      </c>
      <c r="I162" s="87" t="n">
        <v>-2.45</v>
      </c>
      <c r="J162" s="88" t="n">
        <v>2.508536229916003</v>
      </c>
      <c r="K162" s="88" t="n">
        <v>42.92</v>
      </c>
      <c r="L162" s="73" t="n">
        <v>57.4</v>
      </c>
      <c r="M162" s="18" t="n">
        <v>0</v>
      </c>
      <c r="N162" s="19" t="n">
        <v>31.6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89" t="inlineStr">
        <is>
          <t>➡️ Neutral</t>
        </is>
      </c>
      <c r="S162" s="89" t="inlineStr">
        <is>
          <t>🔴 Not Qualified</t>
        </is>
      </c>
      <c r="T162" s="89" t="inlineStr">
        <is>
          <t>🔴 Avoid</t>
        </is>
      </c>
      <c r="U162" s="68" t="inlineStr">
        <is>
          <t>FULL</t>
        </is>
      </c>
    </row>
    <row r="163" ht="16" customHeight="1">
      <c r="A163" s="90" t="n">
        <v>159</v>
      </c>
      <c r="B163" s="91" t="inlineStr">
        <is>
          <t>Aditya Birla Sun Life MIDCAP Fund-Growth</t>
        </is>
      </c>
      <c r="C163" s="91" t="inlineStr">
        <is>
          <t>Aditya Birla Sun Life Mutual Fund</t>
        </is>
      </c>
      <c r="D163" s="91" t="inlineStr">
        <is>
          <t>Mid Cap Fund</t>
        </is>
      </c>
      <c r="E163" s="91" t="inlineStr">
        <is>
          <t>Mid Cap Fund</t>
        </is>
      </c>
      <c r="F163" s="92" t="n">
        <v>-3.24</v>
      </c>
      <c r="G163" s="93" t="n">
        <v>6.63</v>
      </c>
      <c r="H163" s="92" t="n">
        <v>-1.16</v>
      </c>
      <c r="I163" s="92" t="n">
        <v>-0.78</v>
      </c>
      <c r="J163" s="93" t="n">
        <v>4.403065089105507</v>
      </c>
      <c r="K163" s="93" t="n">
        <v>61.59</v>
      </c>
      <c r="L163" s="73" t="n">
        <v>57.2</v>
      </c>
      <c r="M163" s="18" t="n">
        <v>0</v>
      </c>
      <c r="N163" s="19" t="n">
        <v>31.5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94" t="inlineStr">
        <is>
          <t>➡️ Neutral</t>
        </is>
      </c>
      <c r="S163" s="94" t="inlineStr">
        <is>
          <t>🔴 Not Qualified</t>
        </is>
      </c>
      <c r="T163" s="94" t="inlineStr">
        <is>
          <t>🔴 Avoid</t>
        </is>
      </c>
      <c r="U163" s="68" t="inlineStr">
        <is>
          <t>FULL</t>
        </is>
      </c>
    </row>
    <row r="164" ht="16" customHeight="1">
      <c r="A164" s="85" t="n">
        <v>160</v>
      </c>
      <c r="B164" s="86" t="inlineStr">
        <is>
          <t>Aditya Birla Sun Life PSU Equity Fund-Regular Plan-Growth</t>
        </is>
      </c>
      <c r="C164" s="86" t="inlineStr">
        <is>
          <t>Aditya Birla Sun Life Mutual Fund</t>
        </is>
      </c>
      <c r="D164" s="86" t="inlineStr">
        <is>
          <t>Sectoral/ Thematic</t>
        </is>
      </c>
      <c r="E164" s="86" t="inlineStr">
        <is>
          <t>Sectoral/ Thematic</t>
        </is>
      </c>
      <c r="F164" s="87" t="n">
        <v>-3.35</v>
      </c>
      <c r="G164" s="87" t="n">
        <v>-1.87</v>
      </c>
      <c r="H164" s="88" t="n">
        <v>4.29</v>
      </c>
      <c r="I164" s="88" t="n">
        <v>4.45</v>
      </c>
      <c r="J164" s="88" t="n">
        <v>1.419919148064785</v>
      </c>
      <c r="K164" s="88" t="n">
        <v>95.89</v>
      </c>
      <c r="L164" s="73" t="n">
        <v>57.2</v>
      </c>
      <c r="M164" s="18" t="n">
        <v>0</v>
      </c>
      <c r="N164" s="19" t="n">
        <v>31.5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89" t="inlineStr">
        <is>
          <t>➡️ Neutral</t>
        </is>
      </c>
      <c r="S164" s="89" t="inlineStr">
        <is>
          <t>🔴 Not Qualified</t>
        </is>
      </c>
      <c r="T164" s="89" t="inlineStr">
        <is>
          <t>🔴 Avoid</t>
        </is>
      </c>
      <c r="U164" s="68" t="inlineStr">
        <is>
          <t>FULL</t>
        </is>
      </c>
    </row>
    <row r="165" ht="16" customHeight="1">
      <c r="A165" s="90" t="n">
        <v>161</v>
      </c>
      <c r="B165" s="91" t="inlineStr">
        <is>
          <t>Aditya Birla Sun Life Business Cycle Fund-Regular-Growth</t>
        </is>
      </c>
      <c r="C165" s="91" t="inlineStr">
        <is>
          <t>Aditya Birla Sun Life Mutual Fund</t>
        </is>
      </c>
      <c r="D165" s="91" t="inlineStr">
        <is>
          <t>Sectoral/ Thematic</t>
        </is>
      </c>
      <c r="E165" s="91" t="inlineStr">
        <is>
          <t>Sectoral/ Thematic</t>
        </is>
      </c>
      <c r="F165" s="92" t="n">
        <v>-1.33</v>
      </c>
      <c r="G165" s="93" t="n">
        <v>2.71</v>
      </c>
      <c r="H165" s="92" t="n">
        <v>-4.4</v>
      </c>
      <c r="I165" s="92" t="n">
        <v>-2.63</v>
      </c>
      <c r="J165" s="93" t="n">
        <v>2.747262737262246</v>
      </c>
      <c r="K165" s="93" t="n">
        <v>39.4</v>
      </c>
      <c r="L165" s="73" t="n">
        <v>57.1</v>
      </c>
      <c r="M165" s="18" t="n">
        <v>0</v>
      </c>
      <c r="N165" s="19" t="n">
        <v>31.4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94" t="inlineStr">
        <is>
          <t>➡️ Neutral</t>
        </is>
      </c>
      <c r="S165" s="94" t="inlineStr">
        <is>
          <t>🔴 Not Qualified</t>
        </is>
      </c>
      <c r="T165" s="94" t="inlineStr">
        <is>
          <t>🔴 Avoid</t>
        </is>
      </c>
      <c r="U165" s="68" t="inlineStr">
        <is>
          <t>FULL</t>
        </is>
      </c>
    </row>
    <row r="166" ht="16" customHeight="1">
      <c r="A166" s="85" t="n">
        <v>162</v>
      </c>
      <c r="B166" s="86" t="inlineStr">
        <is>
          <t>HDFC Flexi Cap Fund - Growth Plan</t>
        </is>
      </c>
      <c r="C166" s="86" t="inlineStr">
        <is>
          <t>HDFC Mutual Fund</t>
        </is>
      </c>
      <c r="D166" s="86" t="inlineStr">
        <is>
          <t>Flexi Cap Fund</t>
        </is>
      </c>
      <c r="E166" s="86" t="inlineStr">
        <is>
          <t>Flexi Cap Fund</t>
        </is>
      </c>
      <c r="F166" s="87" t="n">
        <v>-1.19</v>
      </c>
      <c r="G166" s="88" t="n">
        <v>0.04</v>
      </c>
      <c r="H166" s="87" t="n">
        <v>-7.2</v>
      </c>
      <c r="I166" s="87" t="n">
        <v>-2.41</v>
      </c>
      <c r="J166" s="88" t="n">
        <v>4.866581902911271</v>
      </c>
      <c r="K166" s="88" t="n">
        <v>58.12</v>
      </c>
      <c r="L166" s="73" t="n">
        <v>57.1</v>
      </c>
      <c r="M166" s="18" t="n">
        <v>0</v>
      </c>
      <c r="N166" s="19" t="n">
        <v>31.4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89" t="inlineStr">
        <is>
          <t>➡️ Neutral</t>
        </is>
      </c>
      <c r="S166" s="89" t="inlineStr">
        <is>
          <t>🔴 Not Qualified</t>
        </is>
      </c>
      <c r="T166" s="89" t="inlineStr">
        <is>
          <t>🔴 Avoid</t>
        </is>
      </c>
      <c r="U166" s="68" t="inlineStr">
        <is>
          <t>FULL</t>
        </is>
      </c>
    </row>
    <row r="167" ht="16" customHeight="1">
      <c r="A167" s="90" t="n">
        <v>163</v>
      </c>
      <c r="B167" s="91" t="inlineStr">
        <is>
          <t>Mirae Asset Midcap Fund - Regular Plan-Growth Option</t>
        </is>
      </c>
      <c r="C167" s="91" t="inlineStr">
        <is>
          <t>Mirae Asset Mutual Fund</t>
        </is>
      </c>
      <c r="D167" s="91" t="inlineStr">
        <is>
          <t>Mid Cap Fund</t>
        </is>
      </c>
      <c r="E167" s="91" t="inlineStr">
        <is>
          <t>Mid Cap Fund</t>
        </is>
      </c>
      <c r="F167" s="92" t="n">
        <v>-3.03</v>
      </c>
      <c r="G167" s="93" t="n">
        <v>4.66</v>
      </c>
      <c r="H167" s="92" t="n">
        <v>-3.3</v>
      </c>
      <c r="I167" s="93" t="n">
        <v>2.15</v>
      </c>
      <c r="J167" s="93" t="n">
        <v>4.904718673661201</v>
      </c>
      <c r="K167" s="93" t="n">
        <v>63.98</v>
      </c>
      <c r="L167" s="73" t="n">
        <v>56.9</v>
      </c>
      <c r="M167" s="18" t="n">
        <v>0</v>
      </c>
      <c r="N167" s="19" t="n">
        <v>31.3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94" t="inlineStr">
        <is>
          <t>➡️ Neutral</t>
        </is>
      </c>
      <c r="S167" s="94" t="inlineStr">
        <is>
          <t>🔴 Not Qualified</t>
        </is>
      </c>
      <c r="T167" s="94" t="inlineStr">
        <is>
          <t>🔴 Avoid</t>
        </is>
      </c>
      <c r="U167" s="68" t="inlineStr">
        <is>
          <t>FULL</t>
        </is>
      </c>
    </row>
    <row r="168" ht="16" customHeight="1">
      <c r="A168" s="85" t="n">
        <v>164</v>
      </c>
      <c r="B168" s="86" t="inlineStr">
        <is>
          <t>JM Flexicap Fund (Regular) - Growth option</t>
        </is>
      </c>
      <c r="C168" s="86" t="inlineStr">
        <is>
          <t>JM Financial Mutual Fund</t>
        </is>
      </c>
      <c r="D168" s="86" t="inlineStr">
        <is>
          <t>Flexi Cap Fund</t>
        </is>
      </c>
      <c r="E168" s="86" t="inlineStr">
        <is>
          <t>Flexi Cap Fund</t>
        </is>
      </c>
      <c r="F168" s="87" t="n">
        <v>-2.38</v>
      </c>
      <c r="G168" s="88" t="n">
        <v>3.36</v>
      </c>
      <c r="H168" s="87" t="n">
        <v>-4.98</v>
      </c>
      <c r="I168" s="87" t="n">
        <v>-6.18</v>
      </c>
      <c r="J168" s="87" t="n">
        <v>-2.639843878514658</v>
      </c>
      <c r="K168" s="88" t="n">
        <v>53.39</v>
      </c>
      <c r="L168" s="73" t="n">
        <v>56.3</v>
      </c>
      <c r="M168" s="18" t="n">
        <v>0</v>
      </c>
      <c r="N168" s="19" t="n">
        <v>31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89" t="inlineStr">
        <is>
          <t>➡️ Neutral</t>
        </is>
      </c>
      <c r="S168" s="89" t="inlineStr">
        <is>
          <t>🔴 Not Qualified</t>
        </is>
      </c>
      <c r="T168" s="89" t="inlineStr">
        <is>
          <t>🔴 Avoid</t>
        </is>
      </c>
      <c r="U168" s="68" t="inlineStr">
        <is>
          <t>FULL</t>
        </is>
      </c>
    </row>
    <row r="169" ht="16" customHeight="1">
      <c r="A169" s="90" t="n">
        <v>165</v>
      </c>
      <c r="B169" s="91" t="inlineStr">
        <is>
          <t>Invesco India Focused Fund - Regular Plan - Growth</t>
        </is>
      </c>
      <c r="C169" s="91" t="inlineStr">
        <is>
          <t>Invesco Mutual Fund</t>
        </is>
      </c>
      <c r="D169" s="91" t="inlineStr">
        <is>
          <t>Focused Fund</t>
        </is>
      </c>
      <c r="E169" s="91" t="inlineStr">
        <is>
          <t>Focused Fund</t>
        </is>
      </c>
      <c r="F169" s="92" t="n">
        <v>-3.07</v>
      </c>
      <c r="G169" s="93" t="n">
        <v>7.74</v>
      </c>
      <c r="H169" s="92" t="n">
        <v>-3.79</v>
      </c>
      <c r="I169" s="92" t="n">
        <v>-9.029999999999999</v>
      </c>
      <c r="J169" s="93" t="n">
        <v>2.1322671832952</v>
      </c>
      <c r="K169" s="93" t="n">
        <v>68.23</v>
      </c>
      <c r="L169" s="73" t="n">
        <v>56</v>
      </c>
      <c r="M169" s="18" t="n">
        <v>0</v>
      </c>
      <c r="N169" s="19" t="n">
        <v>30.8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94" t="inlineStr">
        <is>
          <t>➡️ Neutral</t>
        </is>
      </c>
      <c r="S169" s="94" t="inlineStr">
        <is>
          <t>🔴 Not Qualified</t>
        </is>
      </c>
      <c r="T169" s="94" t="inlineStr">
        <is>
          <t>🔴 Avoid</t>
        </is>
      </c>
      <c r="U169" s="68" t="inlineStr">
        <is>
          <t>FULL</t>
        </is>
      </c>
    </row>
    <row r="170" ht="16" customHeight="1">
      <c r="A170" s="85" t="n">
        <v>166</v>
      </c>
      <c r="B170" s="86" t="inlineStr">
        <is>
          <t>Bandhan Large &amp; Mid Cap Fund - Regular Plan - Growth</t>
        </is>
      </c>
      <c r="C170" s="86" t="inlineStr">
        <is>
          <t>Bandhan Mutual Fund</t>
        </is>
      </c>
      <c r="D170" s="86" t="inlineStr">
        <is>
          <t>Large &amp; Mid Cap Fund</t>
        </is>
      </c>
      <c r="E170" s="86" t="inlineStr">
        <is>
          <t>Large &amp; Mid Cap Fund</t>
        </is>
      </c>
      <c r="F170" s="87" t="n">
        <v>-3.97</v>
      </c>
      <c r="G170" s="88" t="n">
        <v>2.23</v>
      </c>
      <c r="H170" s="87" t="n">
        <v>-4.14</v>
      </c>
      <c r="I170" s="87" t="n">
        <v>-0.6</v>
      </c>
      <c r="J170" s="88" t="n">
        <v>5.214067500501085</v>
      </c>
      <c r="K170" s="88" t="n">
        <v>72.31999999999999</v>
      </c>
      <c r="L170" s="73" t="n">
        <v>55.9</v>
      </c>
      <c r="M170" s="18" t="n">
        <v>0</v>
      </c>
      <c r="N170" s="19" t="n">
        <v>30.7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89" t="inlineStr">
        <is>
          <t>➡️ Neutral</t>
        </is>
      </c>
      <c r="S170" s="89" t="inlineStr">
        <is>
          <t>🔴 Not Qualified</t>
        </is>
      </c>
      <c r="T170" s="89" t="inlineStr">
        <is>
          <t>🔴 Avoid</t>
        </is>
      </c>
      <c r="U170" s="68" t="inlineStr">
        <is>
          <t>FULL</t>
        </is>
      </c>
    </row>
    <row r="171" ht="16" customHeight="1">
      <c r="A171" s="90" t="n">
        <v>167</v>
      </c>
      <c r="B171" s="91" t="inlineStr">
        <is>
          <t>SBI PSU Fund - REGULAR PLAN -Growth</t>
        </is>
      </c>
      <c r="C171" s="91" t="inlineStr">
        <is>
          <t>SBI Mutual Fund</t>
        </is>
      </c>
      <c r="D171" s="91" t="inlineStr">
        <is>
          <t>Sectoral/ Thematic</t>
        </is>
      </c>
      <c r="E171" s="91" t="inlineStr">
        <is>
          <t>Sectoral/ Thematic</t>
        </is>
      </c>
      <c r="F171" s="92" t="n">
        <v>-2.86</v>
      </c>
      <c r="G171" s="92" t="n">
        <v>-3.83</v>
      </c>
      <c r="H171" s="93" t="n">
        <v>3.23</v>
      </c>
      <c r="I171" s="93" t="n">
        <v>4.46</v>
      </c>
      <c r="J171" s="93" t="n">
        <v>3.489129863962037</v>
      </c>
      <c r="K171" s="93" t="n">
        <v>110.41</v>
      </c>
      <c r="L171" s="73" t="n">
        <v>55.9</v>
      </c>
      <c r="M171" s="18" t="n">
        <v>0</v>
      </c>
      <c r="N171" s="19" t="n">
        <v>30.7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94" t="inlineStr">
        <is>
          <t>➡️ Neutral</t>
        </is>
      </c>
      <c r="S171" s="94" t="inlineStr">
        <is>
          <t>🔴 Not Qualified</t>
        </is>
      </c>
      <c r="T171" s="94" t="inlineStr">
        <is>
          <t>🔴 Avoid</t>
        </is>
      </c>
      <c r="U171" s="68" t="inlineStr">
        <is>
          <t>FULL</t>
        </is>
      </c>
    </row>
    <row r="172" ht="16" customHeight="1">
      <c r="A172" s="85" t="n">
        <v>168</v>
      </c>
      <c r="B172" s="86" t="inlineStr">
        <is>
          <t>ITI Mid Cap Fund - Regular Plan - Growth Option</t>
        </is>
      </c>
      <c r="C172" s="86" t="inlineStr">
        <is>
          <t>ITI Mutual Fund</t>
        </is>
      </c>
      <c r="D172" s="86" t="inlineStr">
        <is>
          <t>Mid Cap Fund</t>
        </is>
      </c>
      <c r="E172" s="86" t="inlineStr">
        <is>
          <t>Mid Cap Fund</t>
        </is>
      </c>
      <c r="F172" s="87" t="n">
        <v>-3.17</v>
      </c>
      <c r="G172" s="88" t="n">
        <v>3.95</v>
      </c>
      <c r="H172" s="87" t="n">
        <v>-0.57</v>
      </c>
      <c r="I172" s="88" t="n">
        <v>0.65</v>
      </c>
      <c r="J172" s="88" t="n">
        <v>2.4987804805501</v>
      </c>
      <c r="K172" s="88" t="n">
        <v>76.48</v>
      </c>
      <c r="L172" s="73" t="n">
        <v>55.7</v>
      </c>
      <c r="M172" s="18" t="n">
        <v>0</v>
      </c>
      <c r="N172" s="19" t="n">
        <v>30.7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89" t="inlineStr">
        <is>
          <t>➡️ Neutral</t>
        </is>
      </c>
      <c r="S172" s="89" t="inlineStr">
        <is>
          <t>🔴 Not Qualified</t>
        </is>
      </c>
      <c r="T172" s="89" t="inlineStr">
        <is>
          <t>🔴 Avoid</t>
        </is>
      </c>
      <c r="U172" s="68" t="inlineStr">
        <is>
          <t>FULL</t>
        </is>
      </c>
    </row>
    <row r="173" ht="16" customHeight="1">
      <c r="A173" s="90" t="n">
        <v>169</v>
      </c>
      <c r="B173" s="91" t="inlineStr">
        <is>
          <t>HSBC Infrastructure Fund - Regular Growth</t>
        </is>
      </c>
      <c r="C173" s="91" t="inlineStr">
        <is>
          <t>HSBC Mutual Fund</t>
        </is>
      </c>
      <c r="D173" s="91" t="inlineStr">
        <is>
          <t>Sectoral/ Thematic</t>
        </is>
      </c>
      <c r="E173" s="91" t="inlineStr">
        <is>
          <t>Sectoral/ Thematic</t>
        </is>
      </c>
      <c r="F173" s="92" t="n">
        <v>-4.15</v>
      </c>
      <c r="G173" s="93" t="n">
        <v>5</v>
      </c>
      <c r="H173" s="93" t="n">
        <v>4.4</v>
      </c>
      <c r="I173" s="92" t="n">
        <v>-0.87</v>
      </c>
      <c r="J173" s="92" t="n">
        <v>-0.9091326105175379</v>
      </c>
      <c r="K173" s="93" t="n">
        <v>63.44</v>
      </c>
      <c r="L173" s="73" t="n">
        <v>55.7</v>
      </c>
      <c r="M173" s="18" t="n">
        <v>0</v>
      </c>
      <c r="N173" s="19" t="n">
        <v>30.6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94" t="inlineStr">
        <is>
          <t>➡️ Neutral</t>
        </is>
      </c>
      <c r="S173" s="94" t="inlineStr">
        <is>
          <t>🔴 Not Qualified</t>
        </is>
      </c>
      <c r="T173" s="94" t="inlineStr">
        <is>
          <t>🔴 Avoid</t>
        </is>
      </c>
      <c r="U173" s="68" t="inlineStr">
        <is>
          <t>FULL</t>
        </is>
      </c>
    </row>
    <row r="174" ht="16" customHeight="1">
      <c r="A174" s="85" t="n">
        <v>170</v>
      </c>
      <c r="B174" s="86" t="inlineStr">
        <is>
          <t>UTI - MNC Fund - Regular Plan - Growth Option</t>
        </is>
      </c>
      <c r="C174" s="86" t="inlineStr">
        <is>
          <t>UTI Mutual Fund</t>
        </is>
      </c>
      <c r="D174" s="86" t="inlineStr">
        <is>
          <t>Sectoral/ Thematic</t>
        </is>
      </c>
      <c r="E174" s="86" t="inlineStr">
        <is>
          <t>Sectoral/ Thematic</t>
        </is>
      </c>
      <c r="F174" s="87" t="n">
        <v>-1.68</v>
      </c>
      <c r="G174" s="88" t="n">
        <v>3.1</v>
      </c>
      <c r="H174" s="87" t="n">
        <v>-5.42</v>
      </c>
      <c r="I174" s="87" t="n">
        <v>-1.94</v>
      </c>
      <c r="J174" s="87" t="n">
        <v>-0.8637301488501614</v>
      </c>
      <c r="K174" s="88" t="n">
        <v>31.33</v>
      </c>
      <c r="L174" s="73" t="n">
        <v>55.7</v>
      </c>
      <c r="M174" s="18" t="n">
        <v>0</v>
      </c>
      <c r="N174" s="19" t="n">
        <v>30.6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89" t="inlineStr">
        <is>
          <t>➡️ Neutral</t>
        </is>
      </c>
      <c r="S174" s="89" t="inlineStr">
        <is>
          <t>🔴 Not Qualified</t>
        </is>
      </c>
      <c r="T174" s="89" t="inlineStr">
        <is>
          <t>🔴 Avoid</t>
        </is>
      </c>
      <c r="U174" s="68" t="inlineStr">
        <is>
          <t>FULL</t>
        </is>
      </c>
    </row>
    <row r="175" ht="16" customHeight="1">
      <c r="A175" s="90" t="n">
        <v>171</v>
      </c>
      <c r="B175" s="91" t="inlineStr">
        <is>
          <t>Samco ELSS Tax Saver Fund - Regular Plan - Growth Option</t>
        </is>
      </c>
      <c r="C175" s="91" t="inlineStr">
        <is>
          <t>Samco Mutual Fund</t>
        </is>
      </c>
      <c r="D175" s="91" t="inlineStr">
        <is>
          <t>Elss</t>
        </is>
      </c>
      <c r="E175" s="91" t="inlineStr">
        <is>
          <t>Elss</t>
        </is>
      </c>
      <c r="F175" s="92" t="n">
        <v>-2.8</v>
      </c>
      <c r="G175" s="93" t="n">
        <v>3.59</v>
      </c>
      <c r="H175" s="92" t="n">
        <v>-3.81</v>
      </c>
      <c r="I175" s="92" t="n">
        <v>-12.48</v>
      </c>
      <c r="J175" s="92" t="n">
        <v>-8.315759260383249</v>
      </c>
      <c r="K175" s="93" t="n">
        <v>14.33</v>
      </c>
      <c r="L175" s="73" t="n">
        <v>55.6</v>
      </c>
      <c r="M175" s="18" t="n">
        <v>0</v>
      </c>
      <c r="N175" s="19" t="n">
        <v>30.6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94" t="inlineStr">
        <is>
          <t>➡️ Neutral</t>
        </is>
      </c>
      <c r="S175" s="94" t="inlineStr">
        <is>
          <t>🔴 Not Qualified</t>
        </is>
      </c>
      <c r="T175" s="94" t="inlineStr">
        <is>
          <t>🔴 Avoid</t>
        </is>
      </c>
      <c r="U175" s="68" t="inlineStr">
        <is>
          <t>FULL</t>
        </is>
      </c>
    </row>
    <row r="176" ht="16" customHeight="1">
      <c r="A176" s="85" t="n">
        <v>172</v>
      </c>
      <c r="B176" s="86" t="inlineStr">
        <is>
          <t>Kotak Infrastructure &amp; Economic Reform Fund - Standard Plan-Growth</t>
        </is>
      </c>
      <c r="C176" s="86" t="inlineStr">
        <is>
          <t>Kotak Mahindra Mutual Fund</t>
        </is>
      </c>
      <c r="D176" s="86" t="inlineStr">
        <is>
          <t>Sectoral/ Thematic</t>
        </is>
      </c>
      <c r="E176" s="86" t="inlineStr">
        <is>
          <t>Sectoral/ Thematic</t>
        </is>
      </c>
      <c r="F176" s="87" t="n">
        <v>-2.98</v>
      </c>
      <c r="G176" s="88" t="n">
        <v>3.91</v>
      </c>
      <c r="H176" s="88" t="n">
        <v>0.31</v>
      </c>
      <c r="I176" s="87" t="n">
        <v>-1.96</v>
      </c>
      <c r="J176" s="87" t="n">
        <v>-1.491117151801991</v>
      </c>
      <c r="K176" s="88" t="n">
        <v>54.24</v>
      </c>
      <c r="L176" s="73" t="n">
        <v>55.6</v>
      </c>
      <c r="M176" s="18" t="n">
        <v>0</v>
      </c>
      <c r="N176" s="19" t="n">
        <v>30.6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89" t="inlineStr">
        <is>
          <t>➡️ Neutral</t>
        </is>
      </c>
      <c r="S176" s="89" t="inlineStr">
        <is>
          <t>🔴 Not Qualified</t>
        </is>
      </c>
      <c r="T176" s="89" t="inlineStr">
        <is>
          <t>🔴 Avoid</t>
        </is>
      </c>
      <c r="U176" s="68" t="inlineStr">
        <is>
          <t>FULL</t>
        </is>
      </c>
    </row>
    <row r="177" ht="16" customHeight="1">
      <c r="A177" s="90" t="n">
        <v>173</v>
      </c>
      <c r="B177" s="91" t="inlineStr">
        <is>
          <t>Kotak Infrastructure &amp; Economic Reform Fund - Standard Plan-Payout of Income Distribution cum capital withdrawal option</t>
        </is>
      </c>
      <c r="C177" s="91" t="inlineStr">
        <is>
          <t>Kotak Mahindra Mutual Fund</t>
        </is>
      </c>
      <c r="D177" s="91" t="inlineStr">
        <is>
          <t>Sectoral/ Thematic</t>
        </is>
      </c>
      <c r="E177" s="91" t="inlineStr">
        <is>
          <t>Sectoral/ Thematic</t>
        </is>
      </c>
      <c r="F177" s="92" t="n">
        <v>-2.98</v>
      </c>
      <c r="G177" s="93" t="n">
        <v>3.9</v>
      </c>
      <c r="H177" s="93" t="n">
        <v>0.31</v>
      </c>
      <c r="I177" s="92" t="n">
        <v>-1.96</v>
      </c>
      <c r="J177" s="92" t="n">
        <v>-1.491117151801991</v>
      </c>
      <c r="K177" s="93" t="n">
        <v>54.24</v>
      </c>
      <c r="L177" s="73" t="n">
        <v>55.5</v>
      </c>
      <c r="M177" s="18" t="n">
        <v>0</v>
      </c>
      <c r="N177" s="19" t="n">
        <v>30.5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94" t="inlineStr">
        <is>
          <t>➡️ Neutral</t>
        </is>
      </c>
      <c r="S177" s="94" t="inlineStr">
        <is>
          <t>🔴 Not Qualified</t>
        </is>
      </c>
      <c r="T177" s="94" t="inlineStr">
        <is>
          <t>🔴 Avoid</t>
        </is>
      </c>
      <c r="U177" s="68" t="inlineStr">
        <is>
          <t>FULL</t>
        </is>
      </c>
    </row>
    <row r="178" ht="16" customHeight="1">
      <c r="A178" s="85" t="n">
        <v>174</v>
      </c>
      <c r="B178" s="86" t="inlineStr">
        <is>
          <t>HSBC Value Fund - Regular Growth</t>
        </is>
      </c>
      <c r="C178" s="86" t="inlineStr">
        <is>
          <t>HSBC Mutual Fund</t>
        </is>
      </c>
      <c r="D178" s="86" t="inlineStr">
        <is>
          <t>Value Fund</t>
        </is>
      </c>
      <c r="E178" s="86" t="inlineStr">
        <is>
          <t>Value Fund</t>
        </is>
      </c>
      <c r="F178" s="87" t="n">
        <v>-3.62</v>
      </c>
      <c r="G178" s="87" t="n">
        <v>-0.28</v>
      </c>
      <c r="H178" s="87" t="n">
        <v>-3.96</v>
      </c>
      <c r="I178" s="87" t="n">
        <v>-2.71</v>
      </c>
      <c r="J178" s="88" t="n">
        <v>2.23013254417701</v>
      </c>
      <c r="K178" s="88" t="n">
        <v>66.76000000000001</v>
      </c>
      <c r="L178" s="73" t="n">
        <v>55.5</v>
      </c>
      <c r="M178" s="18" t="n">
        <v>0</v>
      </c>
      <c r="N178" s="19" t="n">
        <v>30.5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89" t="inlineStr">
        <is>
          <t>➡️ Neutral</t>
        </is>
      </c>
      <c r="S178" s="89" t="inlineStr">
        <is>
          <t>🔴 Not Qualified</t>
        </is>
      </c>
      <c r="T178" s="89" t="inlineStr">
        <is>
          <t>🔴 Avoid</t>
        </is>
      </c>
      <c r="U178" s="68" t="inlineStr">
        <is>
          <t>FULL</t>
        </is>
      </c>
    </row>
    <row r="179" ht="16" customHeight="1">
      <c r="A179" s="90" t="n">
        <v>175</v>
      </c>
      <c r="B179" s="91" t="inlineStr">
        <is>
          <t>PGIM India ELSS Tax Saver Fund - Regular Plan - Growth Option</t>
        </is>
      </c>
      <c r="C179" s="91" t="inlineStr">
        <is>
          <t>PGIM India Mutual Fund</t>
        </is>
      </c>
      <c r="D179" s="91" t="inlineStr">
        <is>
          <t>Elss</t>
        </is>
      </c>
      <c r="E179" s="91" t="inlineStr">
        <is>
          <t>Elss</t>
        </is>
      </c>
      <c r="F179" s="92" t="n">
        <v>-1.97</v>
      </c>
      <c r="G179" s="93" t="n">
        <v>2.12</v>
      </c>
      <c r="H179" s="92" t="n">
        <v>-8.140000000000001</v>
      </c>
      <c r="I179" s="92" t="n">
        <v>-7.58</v>
      </c>
      <c r="J179" s="93" t="n">
        <v>0.6727371238112401</v>
      </c>
      <c r="K179" s="93" t="n">
        <v>24.62</v>
      </c>
      <c r="L179" s="73" t="n">
        <v>55.5</v>
      </c>
      <c r="M179" s="18" t="n">
        <v>0</v>
      </c>
      <c r="N179" s="19" t="n">
        <v>30.5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94" t="inlineStr">
        <is>
          <t>➡️ Neutral</t>
        </is>
      </c>
      <c r="S179" s="94" t="inlineStr">
        <is>
          <t>🔴 Not Qualified</t>
        </is>
      </c>
      <c r="T179" s="94" t="inlineStr">
        <is>
          <t>🔴 Avoid</t>
        </is>
      </c>
      <c r="U179" s="68" t="inlineStr">
        <is>
          <t>FULL</t>
        </is>
      </c>
    </row>
    <row r="180" ht="16" customHeight="1">
      <c r="A180" s="85" t="n">
        <v>176</v>
      </c>
      <c r="B180" s="86" t="inlineStr">
        <is>
          <t>Mahindra Manulife Large &amp; Mid Cap Fund - Regular Plan - Growth</t>
        </is>
      </c>
      <c r="C180" s="86" t="inlineStr">
        <is>
          <t>Mahindra Manulife Mutual Fund</t>
        </is>
      </c>
      <c r="D180" s="86" t="inlineStr">
        <is>
          <t>Large &amp; Mid Cap Fund</t>
        </is>
      </c>
      <c r="E180" s="86" t="inlineStr">
        <is>
          <t>Large &amp; Mid Cap Fund</t>
        </is>
      </c>
      <c r="F180" s="87" t="n">
        <v>-2.39</v>
      </c>
      <c r="G180" s="88" t="n">
        <v>1.64</v>
      </c>
      <c r="H180" s="87" t="n">
        <v>-4.5</v>
      </c>
      <c r="I180" s="87" t="n">
        <v>-5.09</v>
      </c>
      <c r="J180" s="87" t="n">
        <v>-0.5414659267491517</v>
      </c>
      <c r="K180" s="88" t="n">
        <v>43.65</v>
      </c>
      <c r="L180" s="73" t="n">
        <v>55.4</v>
      </c>
      <c r="M180" s="18" t="n">
        <v>0</v>
      </c>
      <c r="N180" s="19" t="n">
        <v>30.5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89" t="inlineStr">
        <is>
          <t>➡️ Neutral</t>
        </is>
      </c>
      <c r="S180" s="89" t="inlineStr">
        <is>
          <t>🔴 Not Qualified</t>
        </is>
      </c>
      <c r="T180" s="89" t="inlineStr">
        <is>
          <t>🔴 Avoid</t>
        </is>
      </c>
      <c r="U180" s="68" t="inlineStr">
        <is>
          <t>FULL</t>
        </is>
      </c>
    </row>
    <row r="181" ht="16" customHeight="1">
      <c r="A181" s="90" t="n">
        <v>177</v>
      </c>
      <c r="B181" s="91" t="inlineStr">
        <is>
          <t>ICICI PRUDENTIAL TRANSPORTATION AND LOGISTICS FUND - Growth</t>
        </is>
      </c>
      <c r="C181" s="91" t="inlineStr">
        <is>
          <t>ICICI Prudential Mutual Fund</t>
        </is>
      </c>
      <c r="D181" s="91" t="inlineStr">
        <is>
          <t>Sectoral/ Thematic</t>
        </is>
      </c>
      <c r="E181" s="91" t="inlineStr">
        <is>
          <t>Sectoral/ Thematic</t>
        </is>
      </c>
      <c r="F181" s="92" t="n">
        <v>-3.09</v>
      </c>
      <c r="G181" s="93" t="n">
        <v>3.73</v>
      </c>
      <c r="H181" s="92" t="n">
        <v>-6.4</v>
      </c>
      <c r="I181" s="93" t="n">
        <v>5.88</v>
      </c>
      <c r="J181" s="93" t="n">
        <v>4.235310715707086</v>
      </c>
      <c r="K181" s="93" t="n">
        <v>73.75</v>
      </c>
      <c r="L181" s="73" t="n">
        <v>55.3</v>
      </c>
      <c r="M181" s="18" t="n">
        <v>0</v>
      </c>
      <c r="N181" s="19" t="n">
        <v>30.4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94" t="inlineStr">
        <is>
          <t>➡️ Neutral</t>
        </is>
      </c>
      <c r="S181" s="94" t="inlineStr">
        <is>
          <t>🔴 Not Qualified</t>
        </is>
      </c>
      <c r="T181" s="94" t="inlineStr">
        <is>
          <t>🔴 Avoid</t>
        </is>
      </c>
      <c r="U181" s="68" t="inlineStr">
        <is>
          <t>FULL</t>
        </is>
      </c>
    </row>
    <row r="182" ht="16" customHeight="1">
      <c r="A182" s="85" t="n">
        <v>178</v>
      </c>
      <c r="B182" s="86" t="inlineStr">
        <is>
          <t>Mirae Asset Large Cap Fund - Growth Plan</t>
        </is>
      </c>
      <c r="C182" s="86" t="inlineStr">
        <is>
          <t>Mirae Asset Mutual Fund</t>
        </is>
      </c>
      <c r="D182" s="86" t="inlineStr">
        <is>
          <t>Large Cap Fund</t>
        </is>
      </c>
      <c r="E182" s="86" t="inlineStr">
        <is>
          <t>Large Cap Fund</t>
        </is>
      </c>
      <c r="F182" s="87" t="n">
        <v>-2.06</v>
      </c>
      <c r="G182" s="87" t="n">
        <v>-0.35</v>
      </c>
      <c r="H182" s="87" t="n">
        <v>-9.91</v>
      </c>
      <c r="I182" s="87" t="n">
        <v>-6.19</v>
      </c>
      <c r="J182" s="88" t="n">
        <v>1.607086367044297</v>
      </c>
      <c r="K182" s="88" t="n">
        <v>28.83</v>
      </c>
      <c r="L182" s="73" t="n">
        <v>55.3</v>
      </c>
      <c r="M182" s="18" t="n">
        <v>0</v>
      </c>
      <c r="N182" s="19" t="n">
        <v>30.4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89" t="inlineStr">
        <is>
          <t>➡️ Neutral</t>
        </is>
      </c>
      <c r="S182" s="89" t="inlineStr">
        <is>
          <t>🔴 Not Qualified</t>
        </is>
      </c>
      <c r="T182" s="89" t="inlineStr">
        <is>
          <t>🔴 Avoid</t>
        </is>
      </c>
      <c r="U182" s="68" t="inlineStr">
        <is>
          <t>FULL</t>
        </is>
      </c>
    </row>
    <row r="183" ht="16" customHeight="1">
      <c r="A183" s="90" t="n">
        <v>179</v>
      </c>
      <c r="B183" s="91" t="inlineStr">
        <is>
          <t>Sundaram Large Cap Fund(Formerly Known as Sundaram Blue Chip Fund) Regular Plan - Growth</t>
        </is>
      </c>
      <c r="C183" s="91" t="inlineStr">
        <is>
          <t>Sundaram Mutual Fund</t>
        </is>
      </c>
      <c r="D183" s="91" t="inlineStr">
        <is>
          <t>Large Cap Fund</t>
        </is>
      </c>
      <c r="E183" s="91" t="inlineStr">
        <is>
          <t>Large Cap Fund</t>
        </is>
      </c>
      <c r="F183" s="92" t="n">
        <v>-2.09</v>
      </c>
      <c r="G183" s="92" t="n">
        <v>-1.03</v>
      </c>
      <c r="H183" s="92" t="n">
        <v>-8.869999999999999</v>
      </c>
      <c r="I183" s="92" t="n">
        <v>-6.78</v>
      </c>
      <c r="J183" s="92" t="n">
        <v>-0.8738177876298936</v>
      </c>
      <c r="K183" s="93" t="n">
        <v>25.73</v>
      </c>
      <c r="L183" s="73" t="n">
        <v>55.1</v>
      </c>
      <c r="M183" s="18" t="n">
        <v>0</v>
      </c>
      <c r="N183" s="19" t="n">
        <v>30.3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94" t="inlineStr">
        <is>
          <t>➡️ Neutral</t>
        </is>
      </c>
      <c r="S183" s="94" t="inlineStr">
        <is>
          <t>🔴 Not Qualified</t>
        </is>
      </c>
      <c r="T183" s="94" t="inlineStr">
        <is>
          <t>🔴 Avoid</t>
        </is>
      </c>
      <c r="U183" s="68" t="inlineStr">
        <is>
          <t>FULL</t>
        </is>
      </c>
    </row>
    <row r="184" ht="16" customHeight="1">
      <c r="A184" s="85" t="n">
        <v>180</v>
      </c>
      <c r="B184" s="86" t="inlineStr">
        <is>
          <t>SBI CONTRA FUND - REGULAR PLAN -GROWTH</t>
        </is>
      </c>
      <c r="C184" s="86" t="inlineStr">
        <is>
          <t>SBI Mutual Fund</t>
        </is>
      </c>
      <c r="D184" s="86" t="inlineStr">
        <is>
          <t>Contra Fund</t>
        </is>
      </c>
      <c r="E184" s="86" t="inlineStr">
        <is>
          <t>Contra Fund</t>
        </is>
      </c>
      <c r="F184" s="87" t="n">
        <v>-2.24</v>
      </c>
      <c r="G184" s="87" t="n">
        <v>-1.78</v>
      </c>
      <c r="H184" s="87" t="n">
        <v>-7.84</v>
      </c>
      <c r="I184" s="87" t="n">
        <v>-5.3</v>
      </c>
      <c r="J184" s="88" t="n">
        <v>0.08496390567367396</v>
      </c>
      <c r="K184" s="88" t="n">
        <v>47.33</v>
      </c>
      <c r="L184" s="73" t="n">
        <v>55</v>
      </c>
      <c r="M184" s="18" t="n">
        <v>0</v>
      </c>
      <c r="N184" s="19" t="n">
        <v>30.3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89" t="inlineStr">
        <is>
          <t>➡️ Neutral</t>
        </is>
      </c>
      <c r="S184" s="89" t="inlineStr">
        <is>
          <t>🔴 Not Qualified</t>
        </is>
      </c>
      <c r="T184" s="89" t="inlineStr">
        <is>
          <t>🔴 Avoid</t>
        </is>
      </c>
      <c r="U184" s="68" t="inlineStr">
        <is>
          <t>FULL</t>
        </is>
      </c>
    </row>
    <row r="185" ht="16" customHeight="1">
      <c r="A185" s="90" t="n">
        <v>181</v>
      </c>
      <c r="B185" s="91" t="inlineStr">
        <is>
          <t>Kotak ELSS Tax Saver Fund-Payout of Income Distribution cum capital withdrawal option</t>
        </is>
      </c>
      <c r="C185" s="91" t="inlineStr">
        <is>
          <t>Kotak Mahindra Mutual Fund</t>
        </is>
      </c>
      <c r="D185" s="91" t="inlineStr">
        <is>
          <t>Elss</t>
        </is>
      </c>
      <c r="E185" s="91" t="inlineStr">
        <is>
          <t>Elss</t>
        </is>
      </c>
      <c r="F185" s="92" t="n">
        <v>-2.32</v>
      </c>
      <c r="G185" s="92" t="n">
        <v>-0.27</v>
      </c>
      <c r="H185" s="92" t="n">
        <v>-6.96</v>
      </c>
      <c r="I185" s="92" t="n">
        <v>-5.7</v>
      </c>
      <c r="J185" s="92" t="n">
        <v>-1.633338981136501</v>
      </c>
      <c r="K185" s="93" t="n">
        <v>36.75</v>
      </c>
      <c r="L185" s="73" t="n">
        <v>54.9</v>
      </c>
      <c r="M185" s="18" t="n">
        <v>0</v>
      </c>
      <c r="N185" s="19" t="n">
        <v>30.2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94" t="inlineStr">
        <is>
          <t>➡️ Neutral</t>
        </is>
      </c>
      <c r="S185" s="94" t="inlineStr">
        <is>
          <t>🔴 Not Qualified</t>
        </is>
      </c>
      <c r="T185" s="94" t="inlineStr">
        <is>
          <t>🔴 Avoid</t>
        </is>
      </c>
      <c r="U185" s="68" t="inlineStr">
        <is>
          <t>FULL</t>
        </is>
      </c>
    </row>
    <row r="186" ht="16" customHeight="1">
      <c r="A186" s="85" t="n">
        <v>182</v>
      </c>
      <c r="B186" s="86" t="inlineStr">
        <is>
          <t>Kotak ELSS Tax Saver Fund-Growth</t>
        </is>
      </c>
      <c r="C186" s="86" t="inlineStr">
        <is>
          <t>Kotak Mahindra Mutual Fund</t>
        </is>
      </c>
      <c r="D186" s="86" t="inlineStr">
        <is>
          <t>Elss</t>
        </is>
      </c>
      <c r="E186" s="86" t="inlineStr">
        <is>
          <t>Elss</t>
        </is>
      </c>
      <c r="F186" s="87" t="n">
        <v>-2.32</v>
      </c>
      <c r="G186" s="87" t="n">
        <v>-0.27</v>
      </c>
      <c r="H186" s="87" t="n">
        <v>-6.96</v>
      </c>
      <c r="I186" s="87" t="n">
        <v>-5.7</v>
      </c>
      <c r="J186" s="87" t="n">
        <v>-1.633338981136501</v>
      </c>
      <c r="K186" s="88" t="n">
        <v>36.75</v>
      </c>
      <c r="L186" s="73" t="n">
        <v>54.9</v>
      </c>
      <c r="M186" s="18" t="n">
        <v>0</v>
      </c>
      <c r="N186" s="19" t="n">
        <v>30.2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89" t="inlineStr">
        <is>
          <t>➡️ Neutral</t>
        </is>
      </c>
      <c r="S186" s="89" t="inlineStr">
        <is>
          <t>🔴 Not Qualified</t>
        </is>
      </c>
      <c r="T186" s="89" t="inlineStr">
        <is>
          <t>🔴 Avoid</t>
        </is>
      </c>
      <c r="U186" s="68" t="inlineStr">
        <is>
          <t>FULL</t>
        </is>
      </c>
    </row>
    <row r="187" ht="16" customHeight="1">
      <c r="A187" s="90" t="n">
        <v>183</v>
      </c>
      <c r="B187" s="91" t="inlineStr">
        <is>
          <t>Axis Innovation Fund - Regular Plan - Growth Option</t>
        </is>
      </c>
      <c r="C187" s="91" t="inlineStr">
        <is>
          <t>Axis Mutual Fund</t>
        </is>
      </c>
      <c r="D187" s="91" t="inlineStr">
        <is>
          <t>Sectoral/ Thematic</t>
        </is>
      </c>
      <c r="E187" s="91" t="inlineStr">
        <is>
          <t>Sectoral/ Thematic</t>
        </is>
      </c>
      <c r="F187" s="92" t="n">
        <v>-3.64</v>
      </c>
      <c r="G187" s="93" t="n">
        <v>6.69</v>
      </c>
      <c r="H187" s="92" t="n">
        <v>-2.42</v>
      </c>
      <c r="I187" s="93" t="n">
        <v>0.11</v>
      </c>
      <c r="J187" s="93" t="n">
        <v>4.656581255074443</v>
      </c>
      <c r="K187" s="93" t="n">
        <v>46.32</v>
      </c>
      <c r="L187" s="73" t="n">
        <v>54.9</v>
      </c>
      <c r="M187" s="18" t="n">
        <v>0</v>
      </c>
      <c r="N187" s="19" t="n">
        <v>30.2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94" t="inlineStr">
        <is>
          <t>➡️ Neutral</t>
        </is>
      </c>
      <c r="S187" s="94" t="inlineStr">
        <is>
          <t>🔴 Not Qualified</t>
        </is>
      </c>
      <c r="T187" s="94" t="inlineStr">
        <is>
          <t>🔴 Avoid</t>
        </is>
      </c>
      <c r="U187" s="68" t="inlineStr">
        <is>
          <t>FULL</t>
        </is>
      </c>
    </row>
    <row r="188" ht="16" customHeight="1">
      <c r="A188" s="85" t="n">
        <v>184</v>
      </c>
      <c r="B188" s="86" t="inlineStr">
        <is>
          <t>BANDHAN TRANSPORTATION AND LOGISTICS FUND - GROWTH - REGULAR PLAN</t>
        </is>
      </c>
      <c r="C188" s="86" t="inlineStr">
        <is>
          <t>Bandhan Mutual Fund</t>
        </is>
      </c>
      <c r="D188" s="86" t="inlineStr">
        <is>
          <t>Sectoral/ Thematic</t>
        </is>
      </c>
      <c r="E188" s="86" t="inlineStr">
        <is>
          <t>Sectoral/ Thematic</t>
        </is>
      </c>
      <c r="F188" s="87" t="n">
        <v>-2.59</v>
      </c>
      <c r="G188" s="88" t="n">
        <v>1.44</v>
      </c>
      <c r="H188" s="87" t="n">
        <v>-6.58</v>
      </c>
      <c r="I188" s="88" t="n">
        <v>7.19</v>
      </c>
      <c r="J188" s="88" t="n">
        <v>1.887192521925929</v>
      </c>
      <c r="K188" s="88" t="n">
        <v>65.54000000000001</v>
      </c>
      <c r="L188" s="73" t="n">
        <v>54.5</v>
      </c>
      <c r="M188" s="18" t="n">
        <v>0</v>
      </c>
      <c r="N188" s="19" t="n">
        <v>30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89" t="inlineStr">
        <is>
          <t>➡️ Neutral</t>
        </is>
      </c>
      <c r="S188" s="89" t="inlineStr">
        <is>
          <t>🔴 Not Qualified</t>
        </is>
      </c>
      <c r="T188" s="89" t="inlineStr">
        <is>
          <t>🔴 Avoid</t>
        </is>
      </c>
      <c r="U188" s="68" t="inlineStr">
        <is>
          <t>FULL</t>
        </is>
      </c>
    </row>
    <row r="189" ht="16" customHeight="1">
      <c r="A189" s="90" t="n">
        <v>185</v>
      </c>
      <c r="B189" s="91" t="inlineStr">
        <is>
          <t>BANDHAN ELSS Tax Saver Fund - Regular Plan - Growth</t>
        </is>
      </c>
      <c r="C189" s="91" t="inlineStr">
        <is>
          <t>Bandhan Mutual Fund</t>
        </is>
      </c>
      <c r="D189" s="91" t="inlineStr">
        <is>
          <t>Elss</t>
        </is>
      </c>
      <c r="E189" s="91" t="inlineStr">
        <is>
          <t>Elss</t>
        </is>
      </c>
      <c r="F189" s="92" t="n">
        <v>-2.71</v>
      </c>
      <c r="G189" s="92" t="n">
        <v>-0.16</v>
      </c>
      <c r="H189" s="92" t="n">
        <v>-6.91</v>
      </c>
      <c r="I189" s="92" t="n">
        <v>-3.3</v>
      </c>
      <c r="J189" s="93" t="n">
        <v>0.3194896318756246</v>
      </c>
      <c r="K189" s="93" t="n">
        <v>35.99</v>
      </c>
      <c r="L189" s="73" t="n">
        <v>54.3</v>
      </c>
      <c r="M189" s="18" t="n">
        <v>0</v>
      </c>
      <c r="N189" s="19" t="n">
        <v>29.9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94" t="inlineStr">
        <is>
          <t>➡️ Neutral</t>
        </is>
      </c>
      <c r="S189" s="94" t="inlineStr">
        <is>
          <t>🔴 Not Qualified</t>
        </is>
      </c>
      <c r="T189" s="94" t="inlineStr">
        <is>
          <t>🔴 Avoid</t>
        </is>
      </c>
      <c r="U189" s="68" t="inlineStr">
        <is>
          <t>FULL</t>
        </is>
      </c>
    </row>
    <row r="190" ht="16" customHeight="1">
      <c r="A190" s="85" t="n">
        <v>186</v>
      </c>
      <c r="B190" s="86" t="inlineStr">
        <is>
          <t>Mirae Asset Large &amp; Midcap Fund - Regular Plan - Growth</t>
        </is>
      </c>
      <c r="C190" s="86" t="inlineStr">
        <is>
          <t>Mirae Asset Mutual Fund</t>
        </is>
      </c>
      <c r="D190" s="86" t="inlineStr">
        <is>
          <t>Large &amp; Mid Cap Fund</t>
        </is>
      </c>
      <c r="E190" s="86" t="inlineStr">
        <is>
          <t>Large &amp; Mid Cap Fund</t>
        </is>
      </c>
      <c r="F190" s="87" t="n">
        <v>-2.51</v>
      </c>
      <c r="G190" s="88" t="n">
        <v>1.55</v>
      </c>
      <c r="H190" s="87" t="n">
        <v>-6.42</v>
      </c>
      <c r="I190" s="87" t="n">
        <v>-1.95</v>
      </c>
      <c r="J190" s="88" t="n">
        <v>2.474387043787685</v>
      </c>
      <c r="K190" s="88" t="n">
        <v>46.69</v>
      </c>
      <c r="L190" s="73" t="n">
        <v>54</v>
      </c>
      <c r="M190" s="18" t="n">
        <v>0</v>
      </c>
      <c r="N190" s="19" t="n">
        <v>29.7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89" t="inlineStr">
        <is>
          <t>➡️ Neutral</t>
        </is>
      </c>
      <c r="S190" s="89" t="inlineStr">
        <is>
          <t>🔴 Not Qualified</t>
        </is>
      </c>
      <c r="T190" s="89" t="inlineStr">
        <is>
          <t>🔴 Avoid</t>
        </is>
      </c>
      <c r="U190" s="68" t="inlineStr">
        <is>
          <t>FULL</t>
        </is>
      </c>
    </row>
    <row r="191" ht="16" customHeight="1">
      <c r="A191" s="90" t="n">
        <v>187</v>
      </c>
      <c r="B191" s="91" t="inlineStr">
        <is>
          <t>Taurus Large Cap Fund - Regular Plan - Payout of Income Distribution cum Capital Withdrawal option</t>
        </is>
      </c>
      <c r="C191" s="91" t="inlineStr">
        <is>
          <t>Taurus Mutual Fund</t>
        </is>
      </c>
      <c r="D191" s="91" t="inlineStr">
        <is>
          <t>Large Cap Fund</t>
        </is>
      </c>
      <c r="E191" s="91" t="inlineStr">
        <is>
          <t>Large Cap Fund</t>
        </is>
      </c>
      <c r="F191" s="92" t="n">
        <v>-3.02</v>
      </c>
      <c r="G191" s="92" t="n">
        <v>-1.48</v>
      </c>
      <c r="H191" s="92" t="n">
        <v>-7.03</v>
      </c>
      <c r="I191" s="92" t="n">
        <v>-4.45</v>
      </c>
      <c r="J191" s="93" t="n">
        <v>0.0999500499375916</v>
      </c>
      <c r="K191" s="93" t="n">
        <v>39.93</v>
      </c>
      <c r="L191" s="73" t="n">
        <v>54</v>
      </c>
      <c r="M191" s="18" t="n">
        <v>0</v>
      </c>
      <c r="N191" s="19" t="n">
        <v>29.7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94" t="inlineStr">
        <is>
          <t>➡️ Neutral</t>
        </is>
      </c>
      <c r="S191" s="94" t="inlineStr">
        <is>
          <t>🔴 Not Qualified</t>
        </is>
      </c>
      <c r="T191" s="94" t="inlineStr">
        <is>
          <t>🔴 Avoid</t>
        </is>
      </c>
      <c r="U191" s="68" t="inlineStr">
        <is>
          <t>FULL</t>
        </is>
      </c>
    </row>
    <row r="192" ht="16" customHeight="1">
      <c r="A192" s="85" t="n">
        <v>188</v>
      </c>
      <c r="B192" s="86" t="inlineStr">
        <is>
          <t>ITI Value Fund - Regular Plan - Growth Option</t>
        </is>
      </c>
      <c r="C192" s="86" t="inlineStr">
        <is>
          <t>ITI Mutual Fund</t>
        </is>
      </c>
      <c r="D192" s="86" t="inlineStr">
        <is>
          <t>Value Fund</t>
        </is>
      </c>
      <c r="E192" s="86" t="inlineStr">
        <is>
          <t>Value Fund</t>
        </is>
      </c>
      <c r="F192" s="87" t="n">
        <v>-4.07</v>
      </c>
      <c r="G192" s="88" t="n">
        <v>1.09</v>
      </c>
      <c r="H192" s="87" t="n">
        <v>-4.58</v>
      </c>
      <c r="I192" s="87" t="n">
        <v>-2.7</v>
      </c>
      <c r="J192" s="87" t="n">
        <v>-1.278168574524507</v>
      </c>
      <c r="K192" s="88" t="n">
        <v>47.12</v>
      </c>
      <c r="L192" s="73" t="n">
        <v>53.7</v>
      </c>
      <c r="M192" s="18" t="n">
        <v>0</v>
      </c>
      <c r="N192" s="19" t="n">
        <v>29.5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89" t="inlineStr">
        <is>
          <t>➡️ Neutral</t>
        </is>
      </c>
      <c r="S192" s="89" t="inlineStr">
        <is>
          <t>🔴 Not Qualified</t>
        </is>
      </c>
      <c r="T192" s="89" t="inlineStr">
        <is>
          <t>🔴 Avoid</t>
        </is>
      </c>
      <c r="U192" s="68" t="inlineStr">
        <is>
          <t>FULL</t>
        </is>
      </c>
    </row>
    <row r="193" ht="16" customHeight="1">
      <c r="A193" s="90" t="n">
        <v>189</v>
      </c>
      <c r="B193" s="91" t="inlineStr">
        <is>
          <t>SBI ELSS Tax Saver FUND - REGULAR PLAN- GROWTH</t>
        </is>
      </c>
      <c r="C193" s="91" t="inlineStr">
        <is>
          <t>SBI Mutual Fund</t>
        </is>
      </c>
      <c r="D193" s="91" t="inlineStr">
        <is>
          <t>Elss</t>
        </is>
      </c>
      <c r="E193" s="91" t="inlineStr">
        <is>
          <t>Elss</t>
        </is>
      </c>
      <c r="F193" s="92" t="n">
        <v>-2.55</v>
      </c>
      <c r="G193" s="93" t="n">
        <v>0</v>
      </c>
      <c r="H193" s="92" t="n">
        <v>-7.23</v>
      </c>
      <c r="I193" s="92" t="n">
        <v>-5.23</v>
      </c>
      <c r="J193" s="93" t="n">
        <v>1.266973885862721</v>
      </c>
      <c r="K193" s="93" t="n">
        <v>61.27</v>
      </c>
      <c r="L193" s="73" t="n">
        <v>53.7</v>
      </c>
      <c r="M193" s="18" t="n">
        <v>0</v>
      </c>
      <c r="N193" s="19" t="n">
        <v>29.5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94" t="inlineStr">
        <is>
          <t>➡️ Neutral</t>
        </is>
      </c>
      <c r="S193" s="94" t="inlineStr">
        <is>
          <t>🔴 Not Qualified</t>
        </is>
      </c>
      <c r="T193" s="94" t="inlineStr">
        <is>
          <t>🔴 Avoid</t>
        </is>
      </c>
      <c r="U193" s="68" t="inlineStr">
        <is>
          <t>FULL</t>
        </is>
      </c>
    </row>
    <row r="194" ht="16" customHeight="1">
      <c r="A194" s="85" t="n">
        <v>190</v>
      </c>
      <c r="B194" s="86" t="inlineStr">
        <is>
          <t>BARODA BNP PARIBAS LARGE CAP Fund- Regular Plan - Growth Option</t>
        </is>
      </c>
      <c r="C194" s="86" t="inlineStr">
        <is>
          <t>Baroda BNP Paribas Mutual Fund</t>
        </is>
      </c>
      <c r="D194" s="86" t="inlineStr">
        <is>
          <t>Large Cap Fund</t>
        </is>
      </c>
      <c r="E194" s="86" t="inlineStr">
        <is>
          <t>Large Cap Fund</t>
        </is>
      </c>
      <c r="F194" s="87" t="n">
        <v>-3.29</v>
      </c>
      <c r="G194" s="87" t="n">
        <v>-0.68</v>
      </c>
      <c r="H194" s="87" t="n">
        <v>-7.3</v>
      </c>
      <c r="I194" s="87" t="n">
        <v>-5.41</v>
      </c>
      <c r="J194" s="87" t="n">
        <v>-0.1551203115552902</v>
      </c>
      <c r="K194" s="88" t="n">
        <v>39.79</v>
      </c>
      <c r="L194" s="73" t="n">
        <v>53.6</v>
      </c>
      <c r="M194" s="18" t="n">
        <v>0</v>
      </c>
      <c r="N194" s="19" t="n">
        <v>29.5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89" t="inlineStr">
        <is>
          <t>➡️ Neutral</t>
        </is>
      </c>
      <c r="S194" s="89" t="inlineStr">
        <is>
          <t>🔴 Not Qualified</t>
        </is>
      </c>
      <c r="T194" s="89" t="inlineStr">
        <is>
          <t>🔴 Avoid</t>
        </is>
      </c>
      <c r="U194" s="68" t="inlineStr">
        <is>
          <t>FULL</t>
        </is>
      </c>
    </row>
    <row r="195" ht="16" customHeight="1">
      <c r="A195" s="90" t="n">
        <v>191</v>
      </c>
      <c r="B195" s="91" t="inlineStr">
        <is>
          <t>Axis Large Cap Fund - Regular Plan - Growth</t>
        </is>
      </c>
      <c r="C195" s="91" t="inlineStr">
        <is>
          <t>Axis Mutual Fund</t>
        </is>
      </c>
      <c r="D195" s="91" t="inlineStr">
        <is>
          <t>Large Cap Fund</t>
        </is>
      </c>
      <c r="E195" s="91" t="inlineStr">
        <is>
          <t>Large Cap Fund</t>
        </is>
      </c>
      <c r="F195" s="92" t="n">
        <v>-1.9</v>
      </c>
      <c r="G195" s="92" t="n">
        <v>-1.16</v>
      </c>
      <c r="H195" s="92" t="n">
        <v>-9.119999999999999</v>
      </c>
      <c r="I195" s="92" t="n">
        <v>-6.78</v>
      </c>
      <c r="J195" s="92" t="n">
        <v>-0.5615768427515766</v>
      </c>
      <c r="K195" s="93" t="n">
        <v>26.93</v>
      </c>
      <c r="L195" s="73" t="n">
        <v>53.2</v>
      </c>
      <c r="M195" s="18" t="n">
        <v>0</v>
      </c>
      <c r="N195" s="19" t="n">
        <v>29.3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94" t="inlineStr">
        <is>
          <t>➡️ Neutral</t>
        </is>
      </c>
      <c r="S195" s="94" t="inlineStr">
        <is>
          <t>🔴 Not Qualified</t>
        </is>
      </c>
      <c r="T195" s="94" t="inlineStr">
        <is>
          <t>🔴 Avoid</t>
        </is>
      </c>
      <c r="U195" s="68" t="inlineStr">
        <is>
          <t>FULL</t>
        </is>
      </c>
    </row>
    <row r="196" ht="16" customHeight="1">
      <c r="A196" s="85" t="n">
        <v>192</v>
      </c>
      <c r="B196" s="86" t="inlineStr">
        <is>
          <t>HDFC Focused Fund - GROWTH PLAN</t>
        </is>
      </c>
      <c r="C196" s="86" t="inlineStr">
        <is>
          <t>HDFC Mutual Fund</t>
        </is>
      </c>
      <c r="D196" s="86" t="inlineStr">
        <is>
          <t>Focused Fund</t>
        </is>
      </c>
      <c r="E196" s="86" t="inlineStr">
        <is>
          <t>Focused Fund</t>
        </is>
      </c>
      <c r="F196" s="87" t="n">
        <v>-1.34</v>
      </c>
      <c r="G196" s="87" t="n">
        <v>-1.05</v>
      </c>
      <c r="H196" s="87" t="n">
        <v>-8.09</v>
      </c>
      <c r="I196" s="87" t="n">
        <v>-3.68</v>
      </c>
      <c r="J196" s="88" t="n">
        <v>4.048065815756519</v>
      </c>
      <c r="K196" s="88" t="n">
        <v>54.9</v>
      </c>
      <c r="L196" s="73" t="n">
        <v>53</v>
      </c>
      <c r="M196" s="18" t="n">
        <v>0</v>
      </c>
      <c r="N196" s="19" t="n">
        <v>29.2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89" t="inlineStr">
        <is>
          <t>➡️ Neutral</t>
        </is>
      </c>
      <c r="S196" s="89" t="inlineStr">
        <is>
          <t>🔴 Not Qualified</t>
        </is>
      </c>
      <c r="T196" s="89" t="inlineStr">
        <is>
          <t>🔴 Avoid</t>
        </is>
      </c>
      <c r="U196" s="68" t="inlineStr">
        <is>
          <t>FULL</t>
        </is>
      </c>
    </row>
    <row r="197" ht="16" customHeight="1">
      <c r="A197" s="90" t="n">
        <v>193</v>
      </c>
      <c r="B197" s="91" t="inlineStr">
        <is>
          <t>Union Largecap Fund - Regular Plan - Growth Option</t>
        </is>
      </c>
      <c r="C197" s="91" t="inlineStr">
        <is>
          <t>Union Mutual Fund</t>
        </is>
      </c>
      <c r="D197" s="91" t="inlineStr">
        <is>
          <t>Large Cap Fund</t>
        </is>
      </c>
      <c r="E197" s="91" t="inlineStr">
        <is>
          <t>Large Cap Fund</t>
        </is>
      </c>
      <c r="F197" s="92" t="n">
        <v>-2.78</v>
      </c>
      <c r="G197" s="92" t="n">
        <v>-0.9399999999999999</v>
      </c>
      <c r="H197" s="92" t="n">
        <v>-7.89</v>
      </c>
      <c r="I197" s="92" t="n">
        <v>-6.29</v>
      </c>
      <c r="J197" s="92" t="n">
        <v>-1.37444550219249</v>
      </c>
      <c r="K197" s="93" t="n">
        <v>27.81</v>
      </c>
      <c r="L197" s="73" t="n">
        <v>53</v>
      </c>
      <c r="M197" s="18" t="n">
        <v>0</v>
      </c>
      <c r="N197" s="19" t="n">
        <v>29.1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94" t="inlineStr">
        <is>
          <t>➡️ Neutral</t>
        </is>
      </c>
      <c r="S197" s="94" t="inlineStr">
        <is>
          <t>🔴 Not Qualified</t>
        </is>
      </c>
      <c r="T197" s="94" t="inlineStr">
        <is>
          <t>🔴 Avoid</t>
        </is>
      </c>
      <c r="U197" s="68" t="inlineStr">
        <is>
          <t>FULL</t>
        </is>
      </c>
    </row>
    <row r="198" ht="16" customHeight="1">
      <c r="A198" s="85" t="n">
        <v>194</v>
      </c>
      <c r="B198" s="86" t="inlineStr">
        <is>
          <t>Axis Quant Fund - Regular Plan - Growth</t>
        </is>
      </c>
      <c r="C198" s="86" t="inlineStr">
        <is>
          <t>Axis Mutual Fund</t>
        </is>
      </c>
      <c r="D198" s="86" t="inlineStr">
        <is>
          <t>Sectoral/ Thematic</t>
        </is>
      </c>
      <c r="E198" s="86" t="inlineStr">
        <is>
          <t>Sectoral/ Thematic</t>
        </is>
      </c>
      <c r="F198" s="87" t="n">
        <v>-1.3</v>
      </c>
      <c r="G198" s="88" t="n">
        <v>2.01</v>
      </c>
      <c r="H198" s="87" t="n">
        <v>-5.59</v>
      </c>
      <c r="I198" s="87" t="n">
        <v>-3.24</v>
      </c>
      <c r="J198" s="87" t="n">
        <v>-2.501282059711163</v>
      </c>
      <c r="K198" s="88" t="n">
        <v>28.14</v>
      </c>
      <c r="L198" s="73" t="n">
        <v>52.9</v>
      </c>
      <c r="M198" s="18" t="n">
        <v>0</v>
      </c>
      <c r="N198" s="19" t="n">
        <v>29.1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89" t="inlineStr">
        <is>
          <t>➡️ Neutral</t>
        </is>
      </c>
      <c r="S198" s="89" t="inlineStr">
        <is>
          <t>🔴 Not Qualified</t>
        </is>
      </c>
      <c r="T198" s="89" t="inlineStr">
        <is>
          <t>🔴 Avoid</t>
        </is>
      </c>
      <c r="U198" s="68" t="inlineStr">
        <is>
          <t>FULL</t>
        </is>
      </c>
    </row>
    <row r="199" ht="16" customHeight="1">
      <c r="A199" s="90" t="n">
        <v>195</v>
      </c>
      <c r="B199" s="91" t="inlineStr">
        <is>
          <t>Taurus Large Cap Fund - Regular Plan - Growth</t>
        </is>
      </c>
      <c r="C199" s="91" t="inlineStr">
        <is>
          <t>Taurus Mutual Fund</t>
        </is>
      </c>
      <c r="D199" s="91" t="inlineStr">
        <is>
          <t>Large Cap Fund</t>
        </is>
      </c>
      <c r="E199" s="91" t="inlineStr">
        <is>
          <t>Large Cap Fund</t>
        </is>
      </c>
      <c r="F199" s="92" t="n">
        <v>-3.02</v>
      </c>
      <c r="G199" s="92" t="n">
        <v>-1.49</v>
      </c>
      <c r="H199" s="92" t="n">
        <v>-7.03</v>
      </c>
      <c r="I199" s="92" t="n">
        <v>-4.46</v>
      </c>
      <c r="J199" s="93" t="n">
        <v>0.0999500499375916</v>
      </c>
      <c r="K199" s="93" t="n">
        <v>39.91</v>
      </c>
      <c r="L199" s="73" t="n">
        <v>52.9</v>
      </c>
      <c r="M199" s="18" t="n">
        <v>0</v>
      </c>
      <c r="N199" s="19" t="n">
        <v>29.1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94" t="inlineStr">
        <is>
          <t>➡️ Neutral</t>
        </is>
      </c>
      <c r="S199" s="94" t="inlineStr">
        <is>
          <t>🔴 Not Qualified</t>
        </is>
      </c>
      <c r="T199" s="94" t="inlineStr">
        <is>
          <t>🔴 Avoid</t>
        </is>
      </c>
      <c r="U199" s="68" t="inlineStr">
        <is>
          <t>FULL</t>
        </is>
      </c>
    </row>
    <row r="200" ht="16" customHeight="1">
      <c r="A200" s="85" t="n">
        <v>196</v>
      </c>
      <c r="B200" s="86" t="inlineStr">
        <is>
          <t>HDFC Business Cycle Fund - Growth Option</t>
        </is>
      </c>
      <c r="C200" s="86" t="inlineStr">
        <is>
          <t>HDFC Mutual Fund</t>
        </is>
      </c>
      <c r="D200" s="86" t="inlineStr">
        <is>
          <t>Sectoral/ Thematic</t>
        </is>
      </c>
      <c r="E200" s="86" t="inlineStr">
        <is>
          <t>Sectoral/ Thematic</t>
        </is>
      </c>
      <c r="F200" s="87" t="n">
        <v>-2.18</v>
      </c>
      <c r="G200" s="88" t="n">
        <v>4.73</v>
      </c>
      <c r="H200" s="87" t="n">
        <v>-5.11</v>
      </c>
      <c r="I200" s="87" t="n">
        <v>-4.6</v>
      </c>
      <c r="J200" s="88" t="n">
        <v>1.000000000000001</v>
      </c>
      <c r="K200" s="88" t="n">
        <v>31.38</v>
      </c>
      <c r="L200" s="73" t="n">
        <v>52.2</v>
      </c>
      <c r="M200" s="18" t="n">
        <v>0</v>
      </c>
      <c r="N200" s="19" t="n">
        <v>28.7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89" t="inlineStr">
        <is>
          <t>➡️ Neutral</t>
        </is>
      </c>
      <c r="S200" s="89" t="inlineStr">
        <is>
          <t>🔴 Not Qualified</t>
        </is>
      </c>
      <c r="T200" s="89" t="inlineStr">
        <is>
          <t>🔴 Avoid</t>
        </is>
      </c>
      <c r="U200" s="68" t="inlineStr">
        <is>
          <t>FULL</t>
        </is>
      </c>
    </row>
    <row r="201" ht="16" customHeight="1">
      <c r="A201" s="90" t="n">
        <v>197</v>
      </c>
      <c r="B201" s="91" t="inlineStr">
        <is>
          <t>BANDHAN Infrastructure Fund - Regular Plan - Growth</t>
        </is>
      </c>
      <c r="C201" s="91" t="inlineStr">
        <is>
          <t>Bandhan Mutual Fund</t>
        </is>
      </c>
      <c r="D201" s="91" t="inlineStr">
        <is>
          <t>Sectoral/ Thematic</t>
        </is>
      </c>
      <c r="E201" s="91" t="inlineStr">
        <is>
          <t>Sectoral/ Thematic</t>
        </is>
      </c>
      <c r="F201" s="92" t="n">
        <v>-2.61</v>
      </c>
      <c r="G201" s="93" t="n">
        <v>5.06</v>
      </c>
      <c r="H201" s="92" t="n">
        <v>-0.71</v>
      </c>
      <c r="I201" s="92" t="n">
        <v>-7.49</v>
      </c>
      <c r="J201" s="92" t="n">
        <v>-3.454673857301616</v>
      </c>
      <c r="K201" s="93" t="n">
        <v>66.31</v>
      </c>
      <c r="L201" s="73" t="n">
        <v>51.9</v>
      </c>
      <c r="M201" s="18" t="n">
        <v>0</v>
      </c>
      <c r="N201" s="19" t="n">
        <v>28.6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94" t="inlineStr">
        <is>
          <t>➡️ Neutral</t>
        </is>
      </c>
      <c r="S201" s="94" t="inlineStr">
        <is>
          <t>🔴 Not Qualified</t>
        </is>
      </c>
      <c r="T201" s="94" t="inlineStr">
        <is>
          <t>🔴 Avoid</t>
        </is>
      </c>
      <c r="U201" s="68" t="inlineStr">
        <is>
          <t>FULL</t>
        </is>
      </c>
    </row>
    <row r="202" ht="16" customHeight="1">
      <c r="A202" s="85" t="n">
        <v>198</v>
      </c>
      <c r="B202" s="86" t="inlineStr">
        <is>
          <t>Kotak Banking &amp; Financial Services Fund - Regular Plan - Growth</t>
        </is>
      </c>
      <c r="C202" s="86" t="inlineStr">
        <is>
          <t>Kotak Mahindra Mutual Fund</t>
        </is>
      </c>
      <c r="D202" s="86" t="inlineStr">
        <is>
          <t>Sectoral/ Thematic</t>
        </is>
      </c>
      <c r="E202" s="86" t="inlineStr">
        <is>
          <t>Sectoral/ Thematic</t>
        </is>
      </c>
      <c r="F202" s="87" t="n">
        <v>-1.87</v>
      </c>
      <c r="G202" s="88" t="n">
        <v>0.72</v>
      </c>
      <c r="H202" s="87" t="n">
        <v>-4.7</v>
      </c>
      <c r="I202" s="87" t="n">
        <v>-1.86</v>
      </c>
      <c r="J202" s="88" t="n">
        <v>7.00934538627922</v>
      </c>
      <c r="K202" s="88" t="n">
        <v>38.54</v>
      </c>
      <c r="L202" s="73" t="n">
        <v>51.6</v>
      </c>
      <c r="M202" s="18" t="n">
        <v>0</v>
      </c>
      <c r="N202" s="19" t="n">
        <v>28.4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89" t="inlineStr">
        <is>
          <t>➡️ Neutral</t>
        </is>
      </c>
      <c r="S202" s="89" t="inlineStr">
        <is>
          <t>🔴 Not Qualified</t>
        </is>
      </c>
      <c r="T202" s="89" t="inlineStr">
        <is>
          <t>🔴 Avoid</t>
        </is>
      </c>
      <c r="U202" s="68" t="inlineStr">
        <is>
          <t>FULL</t>
        </is>
      </c>
    </row>
    <row r="203" ht="16" customHeight="1">
      <c r="A203" s="90" t="n">
        <v>199</v>
      </c>
      <c r="B203" s="91" t="inlineStr">
        <is>
          <t>Taurus Flexi Cap Fund - Regular Plan - Payout of Income Distribution cum Capital Withdrawal option</t>
        </is>
      </c>
      <c r="C203" s="91" t="inlineStr">
        <is>
          <t>Taurus Mutual Fund</t>
        </is>
      </c>
      <c r="D203" s="91" t="inlineStr">
        <is>
          <t>Flexi Cap Fund</t>
        </is>
      </c>
      <c r="E203" s="91" t="inlineStr">
        <is>
          <t>Flexi Cap Fund</t>
        </is>
      </c>
      <c r="F203" s="92" t="n">
        <v>-2.78</v>
      </c>
      <c r="G203" s="93" t="n">
        <v>2.13</v>
      </c>
      <c r="H203" s="92" t="n">
        <v>-4.81</v>
      </c>
      <c r="I203" s="92" t="n">
        <v>-5.86</v>
      </c>
      <c r="J203" s="92" t="n">
        <v>-1.618091093941465</v>
      </c>
      <c r="K203" s="93" t="n">
        <v>38.59</v>
      </c>
      <c r="L203" s="73" t="n">
        <v>51.1</v>
      </c>
      <c r="M203" s="18" t="n">
        <v>0</v>
      </c>
      <c r="N203" s="19" t="n">
        <v>28.1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94" t="inlineStr">
        <is>
          <t>➡️ Neutral</t>
        </is>
      </c>
      <c r="S203" s="94" t="inlineStr">
        <is>
          <t>🔴 Not Qualified</t>
        </is>
      </c>
      <c r="T203" s="94" t="inlineStr">
        <is>
          <t>🔴 Avoid</t>
        </is>
      </c>
      <c r="U203" s="68" t="inlineStr">
        <is>
          <t>FULL</t>
        </is>
      </c>
    </row>
    <row r="204" ht="16" customHeight="1">
      <c r="A204" s="85" t="n">
        <v>200</v>
      </c>
      <c r="B204" s="86" t="inlineStr">
        <is>
          <t>ICICI Prudential Infrastructure Fund - Growth</t>
        </is>
      </c>
      <c r="C204" s="86" t="inlineStr">
        <is>
          <t>ICICI Prudential Mutual Fund</t>
        </is>
      </c>
      <c r="D204" s="86" t="inlineStr">
        <is>
          <t>Sectoral/ Thematic</t>
        </is>
      </c>
      <c r="E204" s="86" t="inlineStr">
        <is>
          <t>Sectoral/ Thematic</t>
        </is>
      </c>
      <c r="F204" s="87" t="n">
        <v>-3.3</v>
      </c>
      <c r="G204" s="88" t="n">
        <v>3.51</v>
      </c>
      <c r="H204" s="87" t="n">
        <v>-0.9399999999999999</v>
      </c>
      <c r="I204" s="87" t="n">
        <v>-2.67</v>
      </c>
      <c r="J204" s="88" t="n">
        <v>2.420701032554939</v>
      </c>
      <c r="K204" s="88" t="n">
        <v>75.06</v>
      </c>
      <c r="L204" s="73" t="n">
        <v>50.6</v>
      </c>
      <c r="M204" s="18" t="n">
        <v>0</v>
      </c>
      <c r="N204" s="19" t="n">
        <v>27.8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89" t="inlineStr">
        <is>
          <t>➡️ Neutral</t>
        </is>
      </c>
      <c r="S204" s="89" t="inlineStr">
        <is>
          <t>🔴 Not Qualified</t>
        </is>
      </c>
      <c r="T204" s="89" t="inlineStr">
        <is>
          <t>🔴 Avoid</t>
        </is>
      </c>
      <c r="U204" s="68" t="inlineStr">
        <is>
          <t>FULL</t>
        </is>
      </c>
    </row>
    <row r="205" ht="16" customHeight="1">
      <c r="A205" s="90" t="n">
        <v>201</v>
      </c>
      <c r="B205" s="91" t="inlineStr">
        <is>
          <t>Nippon India Vision Large &amp; Midcap Fund-GROWTH PLAN-Bonus Option</t>
        </is>
      </c>
      <c r="C205" s="91" t="inlineStr">
        <is>
          <t>Nippon India Mutual Fund</t>
        </is>
      </c>
      <c r="D205" s="91" t="inlineStr">
        <is>
          <t>Large &amp; Mid Cap Fund</t>
        </is>
      </c>
      <c r="E205" s="91" t="inlineStr">
        <is>
          <t>Large &amp; Mid Cap Fund</t>
        </is>
      </c>
      <c r="F205" s="92" t="n">
        <v>-2.86</v>
      </c>
      <c r="G205" s="93" t="n">
        <v>1.18</v>
      </c>
      <c r="H205" s="92" t="n">
        <v>-5.26</v>
      </c>
      <c r="I205" s="92" t="n">
        <v>-2.77</v>
      </c>
      <c r="J205" s="93" t="n">
        <v>3.25696102442683</v>
      </c>
      <c r="K205" s="93" t="n">
        <v>58.79</v>
      </c>
      <c r="L205" s="73" t="n">
        <v>50.3</v>
      </c>
      <c r="M205" s="18" t="n">
        <v>0</v>
      </c>
      <c r="N205" s="19" t="n">
        <v>27.7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94" t="inlineStr">
        <is>
          <t>➡️ Neutral</t>
        </is>
      </c>
      <c r="S205" s="94" t="inlineStr">
        <is>
          <t>🔴 Not Qualified</t>
        </is>
      </c>
      <c r="T205" s="94" t="inlineStr">
        <is>
          <t>🔴 Avoid</t>
        </is>
      </c>
      <c r="U205" s="68" t="inlineStr">
        <is>
          <t>FULL</t>
        </is>
      </c>
    </row>
    <row r="206" ht="16" customHeight="1">
      <c r="A206" s="85" t="n">
        <v>202</v>
      </c>
      <c r="B206" s="86" t="inlineStr">
        <is>
          <t>Nippon India Vision Large &amp; Midcap Fund-GROWTH PLAN-Growth Option</t>
        </is>
      </c>
      <c r="C206" s="86" t="inlineStr">
        <is>
          <t>Nippon India Mutual Fund</t>
        </is>
      </c>
      <c r="D206" s="86" t="inlineStr">
        <is>
          <t>Large &amp; Mid Cap Fund</t>
        </is>
      </c>
      <c r="E206" s="86" t="inlineStr">
        <is>
          <t>Large &amp; Mid Cap Fund</t>
        </is>
      </c>
      <c r="F206" s="87" t="n">
        <v>-2.86</v>
      </c>
      <c r="G206" s="88" t="n">
        <v>1.18</v>
      </c>
      <c r="H206" s="87" t="n">
        <v>-5.26</v>
      </c>
      <c r="I206" s="87" t="n">
        <v>-2.77</v>
      </c>
      <c r="J206" s="88" t="n">
        <v>3.25696102442683</v>
      </c>
      <c r="K206" s="88" t="n">
        <v>58.78</v>
      </c>
      <c r="L206" s="73" t="n">
        <v>50.3</v>
      </c>
      <c r="M206" s="18" t="n">
        <v>0</v>
      </c>
      <c r="N206" s="19" t="n">
        <v>27.7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89" t="inlineStr">
        <is>
          <t>➡️ Neutral</t>
        </is>
      </c>
      <c r="S206" s="89" t="inlineStr">
        <is>
          <t>🔴 Not Qualified</t>
        </is>
      </c>
      <c r="T206" s="89" t="inlineStr">
        <is>
          <t>🔴 Avoid</t>
        </is>
      </c>
      <c r="U206" s="68" t="inlineStr">
        <is>
          <t>FULL</t>
        </is>
      </c>
    </row>
    <row r="207" ht="16" customHeight="1">
      <c r="A207" s="90" t="n">
        <v>203</v>
      </c>
      <c r="B207" s="91" t="inlineStr">
        <is>
          <t>HSBC Small Cap Fund - Regular Growth</t>
        </is>
      </c>
      <c r="C207" s="91" t="inlineStr">
        <is>
          <t>HSBC Mutual Fund</t>
        </is>
      </c>
      <c r="D207" s="91" t="inlineStr">
        <is>
          <t>Small Cap Fund</t>
        </is>
      </c>
      <c r="E207" s="91" t="inlineStr">
        <is>
          <t>Small Cap Fund</t>
        </is>
      </c>
      <c r="F207" s="92" t="n">
        <v>-3.13</v>
      </c>
      <c r="G207" s="93" t="n">
        <v>11.81</v>
      </c>
      <c r="H207" s="93" t="n">
        <v>3.27</v>
      </c>
      <c r="I207" s="92" t="n">
        <v>-3.8</v>
      </c>
      <c r="J207" s="92" t="n">
        <v>-0.3054665490629827</v>
      </c>
      <c r="K207" s="93" t="n">
        <v>51.81</v>
      </c>
      <c r="L207" s="73" t="n">
        <v>50.3</v>
      </c>
      <c r="M207" s="18" t="n">
        <v>0</v>
      </c>
      <c r="N207" s="19" t="n">
        <v>27.7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94" t="inlineStr">
        <is>
          <t>➡️ Neutral</t>
        </is>
      </c>
      <c r="S207" s="94" t="inlineStr">
        <is>
          <t>🔴 Not Qualified</t>
        </is>
      </c>
      <c r="T207" s="94" t="inlineStr">
        <is>
          <t>🔴 Avoid</t>
        </is>
      </c>
      <c r="U207" s="68" t="inlineStr">
        <is>
          <t>FULL</t>
        </is>
      </c>
    </row>
    <row r="208" ht="16" customHeight="1">
      <c r="A208" s="85" t="n">
        <v>204</v>
      </c>
      <c r="B208" s="86" t="inlineStr">
        <is>
          <t>HDFC MNC Fund - Growth Option</t>
        </is>
      </c>
      <c r="C208" s="86" t="inlineStr">
        <is>
          <t>HDFC Mutual Fund</t>
        </is>
      </c>
      <c r="D208" s="86" t="inlineStr">
        <is>
          <t>Sectoral/ Thematic</t>
        </is>
      </c>
      <c r="E208" s="86" t="inlineStr">
        <is>
          <t>Sectoral/ Thematic</t>
        </is>
      </c>
      <c r="F208" s="87" t="n">
        <v>-2.69</v>
      </c>
      <c r="G208" s="88" t="n">
        <v>2.46</v>
      </c>
      <c r="H208" s="87" t="n">
        <v>-3.54</v>
      </c>
      <c r="I208" s="87" t="n">
        <v>-2.23</v>
      </c>
      <c r="J208" s="87" t="n">
        <v>-4.104223242105187</v>
      </c>
      <c r="K208" s="88" t="n">
        <v>19.01</v>
      </c>
      <c r="L208" s="73" t="n">
        <v>50.2</v>
      </c>
      <c r="M208" s="18" t="n">
        <v>0</v>
      </c>
      <c r="N208" s="19" t="n">
        <v>27.6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89" t="inlineStr">
        <is>
          <t>➡️ Neutral</t>
        </is>
      </c>
      <c r="S208" s="89" t="inlineStr">
        <is>
          <t>🔴 Not Qualified</t>
        </is>
      </c>
      <c r="T208" s="89" t="inlineStr">
        <is>
          <t>🔴 Avoid</t>
        </is>
      </c>
      <c r="U208" s="68" t="inlineStr">
        <is>
          <t>FULL</t>
        </is>
      </c>
    </row>
    <row r="209" ht="16" customHeight="1">
      <c r="A209" s="90" t="n">
        <v>205</v>
      </c>
      <c r="B209" s="91" t="inlineStr">
        <is>
          <t>DSP Focused Fund - Regular Plan - Growth</t>
        </is>
      </c>
      <c r="C209" s="91" t="inlineStr">
        <is>
          <t>DSP Mutual Fund</t>
        </is>
      </c>
      <c r="D209" s="91" t="inlineStr">
        <is>
          <t>Focused Fund</t>
        </is>
      </c>
      <c r="E209" s="91" t="inlineStr">
        <is>
          <t>Focused Fund</t>
        </is>
      </c>
      <c r="F209" s="92" t="n">
        <v>-1.67</v>
      </c>
      <c r="G209" s="93" t="n">
        <v>1.52</v>
      </c>
      <c r="H209" s="92" t="n">
        <v>-8.43</v>
      </c>
      <c r="I209" s="92" t="n">
        <v>-5.78</v>
      </c>
      <c r="J209" s="93" t="n">
        <v>2.591422643415964</v>
      </c>
      <c r="K209" s="93" t="n">
        <v>47.61</v>
      </c>
      <c r="L209" s="73" t="n">
        <v>50</v>
      </c>
      <c r="M209" s="18" t="n">
        <v>0</v>
      </c>
      <c r="N209" s="19" t="n">
        <v>27.5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94" t="inlineStr">
        <is>
          <t>➡️ Neutral</t>
        </is>
      </c>
      <c r="S209" s="94" t="inlineStr">
        <is>
          <t>🔴 Not Qualified</t>
        </is>
      </c>
      <c r="T209" s="94" t="inlineStr">
        <is>
          <t>🔴 Avoid</t>
        </is>
      </c>
      <c r="U209" s="68" t="inlineStr">
        <is>
          <t>FULL</t>
        </is>
      </c>
    </row>
    <row r="210" ht="16" customHeight="1">
      <c r="A210" s="85" t="n">
        <v>206</v>
      </c>
      <c r="B210" s="86" t="inlineStr">
        <is>
          <t>Taurus Flexi Cap Fund - Regular Plan - Growth</t>
        </is>
      </c>
      <c r="C210" s="86" t="inlineStr">
        <is>
          <t>Taurus Mutual Fund</t>
        </is>
      </c>
      <c r="D210" s="86" t="inlineStr">
        <is>
          <t>Flexi Cap Fund</t>
        </is>
      </c>
      <c r="E210" s="86" t="inlineStr">
        <is>
          <t>Flexi Cap Fund</t>
        </is>
      </c>
      <c r="F210" s="87" t="n">
        <v>-2.78</v>
      </c>
      <c r="G210" s="88" t="n">
        <v>2.12</v>
      </c>
      <c r="H210" s="87" t="n">
        <v>-4.82</v>
      </c>
      <c r="I210" s="87" t="n">
        <v>-5.86</v>
      </c>
      <c r="J210" s="87" t="n">
        <v>-1.618091093941465</v>
      </c>
      <c r="K210" s="88" t="n">
        <v>38.59</v>
      </c>
      <c r="L210" s="78" t="n">
        <v>49.9</v>
      </c>
      <c r="M210" s="18" t="n">
        <v>0</v>
      </c>
      <c r="N210" s="19" t="n">
        <v>27.5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89" t="inlineStr">
        <is>
          <t>➡️ Neutral</t>
        </is>
      </c>
      <c r="S210" s="89" t="inlineStr">
        <is>
          <t>🔴 Not Qualified</t>
        </is>
      </c>
      <c r="T210" s="89" t="inlineStr">
        <is>
          <t>🔴 Avoid</t>
        </is>
      </c>
      <c r="U210" s="68" t="inlineStr">
        <is>
          <t>FULL</t>
        </is>
      </c>
    </row>
    <row r="211" ht="16" customHeight="1">
      <c r="A211" s="90" t="n">
        <v>207</v>
      </c>
      <c r="B211" s="91" t="inlineStr">
        <is>
          <t>HDFC Mid Cap Fund - Growth Plan</t>
        </is>
      </c>
      <c r="C211" s="91" t="inlineStr">
        <is>
          <t>HDFC Mutual Fund</t>
        </is>
      </c>
      <c r="D211" s="91" t="inlineStr">
        <is>
          <t>Mid Cap Fund</t>
        </is>
      </c>
      <c r="E211" s="91" t="inlineStr">
        <is>
          <t>Mid Cap Fund</t>
        </is>
      </c>
      <c r="F211" s="92" t="n">
        <v>-2.06</v>
      </c>
      <c r="G211" s="93" t="n">
        <v>2.38</v>
      </c>
      <c r="H211" s="92" t="n">
        <v>-3.24</v>
      </c>
      <c r="I211" s="93" t="n">
        <v>1.1</v>
      </c>
      <c r="J211" s="93" t="n">
        <v>6.367288204597932</v>
      </c>
      <c r="K211" s="93" t="n">
        <v>72.55</v>
      </c>
      <c r="L211" s="78" t="n">
        <v>49.6</v>
      </c>
      <c r="M211" s="18" t="n">
        <v>0</v>
      </c>
      <c r="N211" s="19" t="n">
        <v>27.3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94" t="inlineStr">
        <is>
          <t>➡️ Neutral</t>
        </is>
      </c>
      <c r="S211" s="94" t="inlineStr">
        <is>
          <t>🔴 Not Qualified</t>
        </is>
      </c>
      <c r="T211" s="94" t="inlineStr">
        <is>
          <t>🔴 Avoid</t>
        </is>
      </c>
      <c r="U211" s="68" t="inlineStr">
        <is>
          <t>FULL</t>
        </is>
      </c>
    </row>
    <row r="212" ht="16" customHeight="1">
      <c r="A212" s="85" t="n">
        <v>208</v>
      </c>
      <c r="B212" s="86" t="inlineStr">
        <is>
          <t>Axis ELSS Tax Saver Fund - Regular Plan - Growth</t>
        </is>
      </c>
      <c r="C212" s="86" t="inlineStr">
        <is>
          <t>Axis Mutual Fund</t>
        </is>
      </c>
      <c r="D212" s="86" t="inlineStr">
        <is>
          <t>Elss</t>
        </is>
      </c>
      <c r="E212" s="86" t="inlineStr">
        <is>
          <t>Elss</t>
        </is>
      </c>
      <c r="F212" s="87" t="n">
        <v>-2.64</v>
      </c>
      <c r="G212" s="88" t="n">
        <v>0.71</v>
      </c>
      <c r="H212" s="87" t="n">
        <v>-7.25</v>
      </c>
      <c r="I212" s="87" t="n">
        <v>-6.15</v>
      </c>
      <c r="J212" s="88" t="n">
        <v>0.8216246645529779</v>
      </c>
      <c r="K212" s="88" t="n">
        <v>30.81</v>
      </c>
      <c r="L212" s="78" t="n">
        <v>49.4</v>
      </c>
      <c r="M212" s="18" t="n">
        <v>0</v>
      </c>
      <c r="N212" s="19" t="n">
        <v>27.2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89" t="inlineStr">
        <is>
          <t>➡️ Neutral</t>
        </is>
      </c>
      <c r="S212" s="89" t="inlineStr">
        <is>
          <t>🔴 Not Qualified</t>
        </is>
      </c>
      <c r="T212" s="89" t="inlineStr">
        <is>
          <t>🔴 Avoid</t>
        </is>
      </c>
      <c r="U212" s="68" t="inlineStr">
        <is>
          <t>FULL</t>
        </is>
      </c>
    </row>
    <row r="213" ht="16" customHeight="1">
      <c r="A213" s="90" t="n">
        <v>209</v>
      </c>
      <c r="B213" s="91" t="inlineStr">
        <is>
          <t>BANK OF INDIA Large &amp; Mid Cap Fund Regular Plan- Growth</t>
        </is>
      </c>
      <c r="C213" s="91" t="inlineStr">
        <is>
          <t>Bank of India Mutual Fund</t>
        </is>
      </c>
      <c r="D213" s="91" t="inlineStr">
        <is>
          <t>Large &amp; Mid Cap Fund</t>
        </is>
      </c>
      <c r="E213" s="91" t="inlineStr">
        <is>
          <t>Large &amp; Mid Cap Fund</t>
        </is>
      </c>
      <c r="F213" s="92" t="n">
        <v>-3.28</v>
      </c>
      <c r="G213" s="93" t="n">
        <v>0.95</v>
      </c>
      <c r="H213" s="92" t="n">
        <v>-4.21</v>
      </c>
      <c r="I213" s="92" t="n">
        <v>-1.64</v>
      </c>
      <c r="J213" s="93" t="n">
        <v>1.257098516597832</v>
      </c>
      <c r="K213" s="93" t="n">
        <v>47.19</v>
      </c>
      <c r="L213" s="78" t="n">
        <v>49.1</v>
      </c>
      <c r="M213" s="18" t="n">
        <v>0</v>
      </c>
      <c r="N213" s="19" t="n">
        <v>27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94" t="inlineStr">
        <is>
          <t>➡️ Neutral</t>
        </is>
      </c>
      <c r="S213" s="94" t="inlineStr">
        <is>
          <t>🔴 Not Qualified</t>
        </is>
      </c>
      <c r="T213" s="94" t="inlineStr">
        <is>
          <t>🔴 Avoid</t>
        </is>
      </c>
      <c r="U213" s="68" t="inlineStr">
        <is>
          <t>FULL</t>
        </is>
      </c>
    </row>
    <row r="214" ht="16" customHeight="1">
      <c r="A214" s="85" t="n">
        <v>210</v>
      </c>
      <c r="B214" s="86" t="inlineStr">
        <is>
          <t>Edelweiss Mid Cap Fund - Regular Plan - Growth Option</t>
        </is>
      </c>
      <c r="C214" s="86" t="inlineStr">
        <is>
          <t>Edelweiss Mutual Fund</t>
        </is>
      </c>
      <c r="D214" s="86" t="inlineStr">
        <is>
          <t>Mid Cap Fund</t>
        </is>
      </c>
      <c r="E214" s="86" t="inlineStr">
        <is>
          <t>Mid Cap Fund</t>
        </is>
      </c>
      <c r="F214" s="87" t="n">
        <v>-3.31</v>
      </c>
      <c r="G214" s="88" t="n">
        <v>3.98</v>
      </c>
      <c r="H214" s="87" t="n">
        <v>-1.55</v>
      </c>
      <c r="I214" s="88" t="n">
        <v>0.31</v>
      </c>
      <c r="J214" s="88" t="n">
        <v>8.471194332873466</v>
      </c>
      <c r="K214" s="88" t="n">
        <v>80.25</v>
      </c>
      <c r="L214" s="78" t="n">
        <v>49.1</v>
      </c>
      <c r="M214" s="18" t="n">
        <v>0</v>
      </c>
      <c r="N214" s="19" t="n">
        <v>27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89" t="inlineStr">
        <is>
          <t>➡️ Neutral</t>
        </is>
      </c>
      <c r="S214" s="89" t="inlineStr">
        <is>
          <t>🔴 Not Qualified</t>
        </is>
      </c>
      <c r="T214" s="89" t="inlineStr">
        <is>
          <t>🔴 Avoid</t>
        </is>
      </c>
      <c r="U214" s="68" t="inlineStr">
        <is>
          <t>FULL</t>
        </is>
      </c>
    </row>
    <row r="215" ht="16" customHeight="1">
      <c r="A215" s="90" t="n">
        <v>211</v>
      </c>
      <c r="B215" s="91" t="inlineStr">
        <is>
          <t>ICICI Prudential Exports &amp; Services Fund - Growth</t>
        </is>
      </c>
      <c r="C215" s="91" t="inlineStr">
        <is>
          <t>ICICI Prudential Mutual Fund</t>
        </is>
      </c>
      <c r="D215" s="91" t="inlineStr">
        <is>
          <t>Sectoral/ Thematic</t>
        </is>
      </c>
      <c r="E215" s="91" t="inlineStr">
        <is>
          <t>Sectoral/ Thematic</t>
        </is>
      </c>
      <c r="F215" s="92" t="n">
        <v>-2.17</v>
      </c>
      <c r="G215" s="93" t="n">
        <v>2.41</v>
      </c>
      <c r="H215" s="92" t="n">
        <v>-6.08</v>
      </c>
      <c r="I215" s="92" t="n">
        <v>-3.55</v>
      </c>
      <c r="J215" s="93" t="n">
        <v>4.785495179437893</v>
      </c>
      <c r="K215" s="93" t="n">
        <v>57.48</v>
      </c>
      <c r="L215" s="78" t="n">
        <v>48.7</v>
      </c>
      <c r="M215" s="18" t="n">
        <v>0</v>
      </c>
      <c r="N215" s="19" t="n">
        <v>26.8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94" t="inlineStr">
        <is>
          <t>➡️ Neutral</t>
        </is>
      </c>
      <c r="S215" s="94" t="inlineStr">
        <is>
          <t>🔴 Not Qualified</t>
        </is>
      </c>
      <c r="T215" s="94" t="inlineStr">
        <is>
          <t>🔴 Avoid</t>
        </is>
      </c>
      <c r="U215" s="68" t="inlineStr">
        <is>
          <t>FULL</t>
        </is>
      </c>
    </row>
    <row r="216" ht="16" customHeight="1">
      <c r="A216" s="85" t="n">
        <v>212</v>
      </c>
      <c r="B216" s="86" t="inlineStr">
        <is>
          <t>SBI INFRASTRUCTURE FUND -  REGULAR PLAN - GROWTH</t>
        </is>
      </c>
      <c r="C216" s="86" t="inlineStr">
        <is>
          <t>SBI Mutual Fund</t>
        </is>
      </c>
      <c r="D216" s="86" t="inlineStr">
        <is>
          <t>Sectoral/ Thematic</t>
        </is>
      </c>
      <c r="E216" s="86" t="inlineStr">
        <is>
          <t>Sectoral/ Thematic</t>
        </is>
      </c>
      <c r="F216" s="87" t="n">
        <v>-3.79</v>
      </c>
      <c r="G216" s="88" t="n">
        <v>5.2</v>
      </c>
      <c r="H216" s="87" t="n">
        <v>-1.08</v>
      </c>
      <c r="I216" s="87" t="n">
        <v>-3.12</v>
      </c>
      <c r="J216" s="87" t="n">
        <v>-1.541887078819149</v>
      </c>
      <c r="K216" s="88" t="n">
        <v>59.15</v>
      </c>
      <c r="L216" s="78" t="n">
        <v>48.4</v>
      </c>
      <c r="M216" s="18" t="n">
        <v>0</v>
      </c>
      <c r="N216" s="19" t="n">
        <v>26.6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89" t="inlineStr">
        <is>
          <t>➡️ Neutral</t>
        </is>
      </c>
      <c r="S216" s="89" t="inlineStr">
        <is>
          <t>🔴 Not Qualified</t>
        </is>
      </c>
      <c r="T216" s="89" t="inlineStr">
        <is>
          <t>🔴 Avoid</t>
        </is>
      </c>
      <c r="U216" s="68" t="inlineStr">
        <is>
          <t>FULL</t>
        </is>
      </c>
    </row>
    <row r="217" ht="16" customHeight="1">
      <c r="A217" s="90" t="n">
        <v>213</v>
      </c>
      <c r="B217" s="91" t="inlineStr">
        <is>
          <t>Sundaram Services Fund Regular Plan - Growth</t>
        </is>
      </c>
      <c r="C217" s="91" t="inlineStr">
        <is>
          <t>Sundaram Mutual Fund</t>
        </is>
      </c>
      <c r="D217" s="91" t="inlineStr">
        <is>
          <t>Sectoral/ Thematic</t>
        </is>
      </c>
      <c r="E217" s="91" t="inlineStr">
        <is>
          <t>Sectoral/ Thematic</t>
        </is>
      </c>
      <c r="F217" s="92" t="n">
        <v>-1.92</v>
      </c>
      <c r="G217" s="93" t="n">
        <v>4.77</v>
      </c>
      <c r="H217" s="92" t="n">
        <v>-7.51</v>
      </c>
      <c r="I217" s="92" t="n">
        <v>-5.35</v>
      </c>
      <c r="J217" s="93" t="n">
        <v>6.390789074994641</v>
      </c>
      <c r="K217" s="93" t="n">
        <v>46.74</v>
      </c>
      <c r="L217" s="78" t="n">
        <v>48.3</v>
      </c>
      <c r="M217" s="18" t="n">
        <v>0</v>
      </c>
      <c r="N217" s="19" t="n">
        <v>26.6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94" t="inlineStr">
        <is>
          <t>➡️ Neutral</t>
        </is>
      </c>
      <c r="S217" s="94" t="inlineStr">
        <is>
          <t>🔴 Not Qualified</t>
        </is>
      </c>
      <c r="T217" s="94" t="inlineStr">
        <is>
          <t>🔴 Avoid</t>
        </is>
      </c>
      <c r="U217" s="68" t="inlineStr">
        <is>
          <t>FULL</t>
        </is>
      </c>
    </row>
    <row r="218" ht="16" customHeight="1">
      <c r="A218" s="85" t="n">
        <v>214</v>
      </c>
      <c r="B218" s="86" t="inlineStr">
        <is>
          <t>HDFC Banking &amp; Financial Services Fund - Growth Option</t>
        </is>
      </c>
      <c r="C218" s="86" t="inlineStr">
        <is>
          <t>HDFC Mutual Fund</t>
        </is>
      </c>
      <c r="D218" s="86" t="inlineStr">
        <is>
          <t>Sectoral/ Thematic</t>
        </is>
      </c>
      <c r="E218" s="86" t="inlineStr">
        <is>
          <t>Sectoral/ Thematic</t>
        </is>
      </c>
      <c r="F218" s="87" t="n">
        <v>-2.07</v>
      </c>
      <c r="G218" s="88" t="n">
        <v>0.78</v>
      </c>
      <c r="H218" s="87" t="n">
        <v>-5.99</v>
      </c>
      <c r="I218" s="87" t="n">
        <v>-1.95</v>
      </c>
      <c r="J218" s="88" t="n">
        <v>6.400187969758764</v>
      </c>
      <c r="K218" s="88" t="n">
        <v>39.92</v>
      </c>
      <c r="L218" s="78" t="n">
        <v>48.2</v>
      </c>
      <c r="M218" s="18" t="n">
        <v>0</v>
      </c>
      <c r="N218" s="19" t="n">
        <v>26.5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89" t="inlineStr">
        <is>
          <t>➡️ Neutral</t>
        </is>
      </c>
      <c r="S218" s="89" t="inlineStr">
        <is>
          <t>🔴 Not Qualified</t>
        </is>
      </c>
      <c r="T218" s="89" t="inlineStr">
        <is>
          <t>🔴 Avoid</t>
        </is>
      </c>
      <c r="U218" s="68" t="inlineStr">
        <is>
          <t>FULL</t>
        </is>
      </c>
    </row>
    <row r="219" ht="16" customHeight="1">
      <c r="A219" s="90" t="n">
        <v>215</v>
      </c>
      <c r="B219" s="91" t="inlineStr">
        <is>
          <t>Union Value Fund - Regular Plan - Growth Option</t>
        </is>
      </c>
      <c r="C219" s="91" t="inlineStr">
        <is>
          <t>Union Mutual Fund</t>
        </is>
      </c>
      <c r="D219" s="91" t="inlineStr">
        <is>
          <t>Value Fund</t>
        </is>
      </c>
      <c r="E219" s="91" t="inlineStr">
        <is>
          <t>Value Fund</t>
        </is>
      </c>
      <c r="F219" s="92" t="n">
        <v>-3.06</v>
      </c>
      <c r="G219" s="92" t="n">
        <v>-0.29</v>
      </c>
      <c r="H219" s="92" t="n">
        <v>-5.91</v>
      </c>
      <c r="I219" s="92" t="n">
        <v>-3.06</v>
      </c>
      <c r="J219" s="93" t="n">
        <v>1.75460677532</v>
      </c>
      <c r="K219" s="93" t="n">
        <v>47.67</v>
      </c>
      <c r="L219" s="78" t="n">
        <v>48.1</v>
      </c>
      <c r="M219" s="18" t="n">
        <v>0</v>
      </c>
      <c r="N219" s="19" t="n">
        <v>26.5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94" t="inlineStr">
        <is>
          <t>➡️ Neutral</t>
        </is>
      </c>
      <c r="S219" s="94" t="inlineStr">
        <is>
          <t>🔴 Not Qualified</t>
        </is>
      </c>
      <c r="T219" s="94" t="inlineStr">
        <is>
          <t>🔴 Avoid</t>
        </is>
      </c>
      <c r="U219" s="68" t="inlineStr">
        <is>
          <t>FULL</t>
        </is>
      </c>
    </row>
    <row r="220" ht="16" customHeight="1">
      <c r="A220" s="85" t="n">
        <v>216</v>
      </c>
      <c r="B220" s="86" t="inlineStr">
        <is>
          <t>Bandhan Focused Fund - Regular Plan - Growth</t>
        </is>
      </c>
      <c r="C220" s="86" t="inlineStr">
        <is>
          <t>Bandhan Mutual Fund</t>
        </is>
      </c>
      <c r="D220" s="86" t="inlineStr">
        <is>
          <t>Focused Fund</t>
        </is>
      </c>
      <c r="E220" s="86" t="inlineStr">
        <is>
          <t>Focused Fund</t>
        </is>
      </c>
      <c r="F220" s="87" t="n">
        <v>-4.42</v>
      </c>
      <c r="G220" s="88" t="n">
        <v>2</v>
      </c>
      <c r="H220" s="87" t="n">
        <v>-4.61</v>
      </c>
      <c r="I220" s="87" t="n">
        <v>-3.9</v>
      </c>
      <c r="J220" s="88" t="n">
        <v>5.356537528527383</v>
      </c>
      <c r="K220" s="88" t="n">
        <v>47.43</v>
      </c>
      <c r="L220" s="78" t="n">
        <v>48</v>
      </c>
      <c r="M220" s="18" t="n">
        <v>0</v>
      </c>
      <c r="N220" s="19" t="n">
        <v>26.4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89" t="inlineStr">
        <is>
          <t>➡️ Neutral</t>
        </is>
      </c>
      <c r="S220" s="89" t="inlineStr">
        <is>
          <t>🔴 Not Qualified</t>
        </is>
      </c>
      <c r="T220" s="89" t="inlineStr">
        <is>
          <t>🔴 Avoid</t>
        </is>
      </c>
      <c r="U220" s="68" t="inlineStr">
        <is>
          <t>FULL</t>
        </is>
      </c>
    </row>
    <row r="221" ht="16" customHeight="1">
      <c r="A221" s="90" t="n">
        <v>217</v>
      </c>
      <c r="B221" s="91" t="inlineStr">
        <is>
          <t>PGIM India Flexi Cap Fund - Regular Plan - Growth Option</t>
        </is>
      </c>
      <c r="C221" s="91" t="inlineStr">
        <is>
          <t>PGIM India Mutual Fund</t>
        </is>
      </c>
      <c r="D221" s="91" t="inlineStr">
        <is>
          <t>Flexi Cap Fund</t>
        </is>
      </c>
      <c r="E221" s="91" t="inlineStr">
        <is>
          <t>Flexi Cap Fund</t>
        </is>
      </c>
      <c r="F221" s="92" t="n">
        <v>-2.63</v>
      </c>
      <c r="G221" s="93" t="n">
        <v>1.86</v>
      </c>
      <c r="H221" s="92" t="n">
        <v>-6.61</v>
      </c>
      <c r="I221" s="92" t="n">
        <v>-4.73</v>
      </c>
      <c r="J221" s="93" t="n">
        <v>2.4987804805501</v>
      </c>
      <c r="K221" s="93" t="n">
        <v>29.79</v>
      </c>
      <c r="L221" s="78" t="n">
        <v>47.9</v>
      </c>
      <c r="M221" s="18" t="n">
        <v>0</v>
      </c>
      <c r="N221" s="19" t="n">
        <v>26.4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94" t="inlineStr">
        <is>
          <t>➡️ Neutral</t>
        </is>
      </c>
      <c r="S221" s="94" t="inlineStr">
        <is>
          <t>🔴 Not Qualified</t>
        </is>
      </c>
      <c r="T221" s="94" t="inlineStr">
        <is>
          <t>🔴 Avoid</t>
        </is>
      </c>
      <c r="U221" s="68" t="inlineStr">
        <is>
          <t>FULL</t>
        </is>
      </c>
    </row>
    <row r="222" ht="16" customHeight="1">
      <c r="A222" s="85" t="n">
        <v>218</v>
      </c>
      <c r="B222" s="86" t="inlineStr">
        <is>
          <t>ICICI Prudential PSU Equity Fund - Growth</t>
        </is>
      </c>
      <c r="C222" s="86" t="inlineStr">
        <is>
          <t>ICICI Prudential Mutual Fund</t>
        </is>
      </c>
      <c r="D222" s="86" t="inlineStr">
        <is>
          <t>Sectoral/ Thematic</t>
        </is>
      </c>
      <c r="E222" s="86" t="inlineStr">
        <is>
          <t>Sectoral/ Thematic</t>
        </is>
      </c>
      <c r="F222" s="87" t="n">
        <v>-3.97</v>
      </c>
      <c r="G222" s="87" t="n">
        <v>-2.96</v>
      </c>
      <c r="H222" s="88" t="n">
        <v>2.16</v>
      </c>
      <c r="I222" s="88" t="n">
        <v>1.72</v>
      </c>
      <c r="J222" s="88" t="n">
        <v>1.90682018393078</v>
      </c>
      <c r="K222" s="88" t="n">
        <v>88.56999999999999</v>
      </c>
      <c r="L222" s="78" t="n">
        <v>47.9</v>
      </c>
      <c r="M222" s="18" t="n">
        <v>0</v>
      </c>
      <c r="N222" s="19" t="n">
        <v>26.4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89" t="inlineStr">
        <is>
          <t>➡️ Neutral</t>
        </is>
      </c>
      <c r="S222" s="89" t="inlineStr">
        <is>
          <t>🔴 Not Qualified</t>
        </is>
      </c>
      <c r="T222" s="89" t="inlineStr">
        <is>
          <t>🔴 Avoid</t>
        </is>
      </c>
      <c r="U222" s="68" t="inlineStr">
        <is>
          <t>FULL</t>
        </is>
      </c>
    </row>
    <row r="223" ht="16" customHeight="1">
      <c r="A223" s="90" t="n">
        <v>219</v>
      </c>
      <c r="B223" s="91" t="inlineStr">
        <is>
          <t>JM Large Cap Fund (Regular) - Growth Option</t>
        </is>
      </c>
      <c r="C223" s="91" t="inlineStr">
        <is>
          <t>JM Financial Mutual Fund</t>
        </is>
      </c>
      <c r="D223" s="91" t="inlineStr">
        <is>
          <t>Large Cap Fund</t>
        </is>
      </c>
      <c r="E223" s="91" t="inlineStr">
        <is>
          <t>Large Cap Fund</t>
        </is>
      </c>
      <c r="F223" s="92" t="n">
        <v>-2.9</v>
      </c>
      <c r="G223" s="92" t="n">
        <v>-1.04</v>
      </c>
      <c r="H223" s="92" t="n">
        <v>-8.869999999999999</v>
      </c>
      <c r="I223" s="92" t="n">
        <v>-5.85</v>
      </c>
      <c r="J223" s="92" t="n">
        <v>-3.175416344814574</v>
      </c>
      <c r="K223" s="93" t="n">
        <v>36.24</v>
      </c>
      <c r="L223" s="78" t="n">
        <v>47.9</v>
      </c>
      <c r="M223" s="18" t="n">
        <v>0</v>
      </c>
      <c r="N223" s="19" t="n">
        <v>26.3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94" t="inlineStr">
        <is>
          <t>➡️ Neutral</t>
        </is>
      </c>
      <c r="S223" s="94" t="inlineStr">
        <is>
          <t>🔴 Not Qualified</t>
        </is>
      </c>
      <c r="T223" s="94" t="inlineStr">
        <is>
          <t>🔴 Avoid</t>
        </is>
      </c>
      <c r="U223" s="68" t="inlineStr">
        <is>
          <t>FULL</t>
        </is>
      </c>
    </row>
    <row r="224" ht="16" customHeight="1">
      <c r="A224" s="85" t="n">
        <v>220</v>
      </c>
      <c r="B224" s="86" t="inlineStr">
        <is>
          <t>Aditya Birla Sun Life Focused Fund -Growth Option</t>
        </is>
      </c>
      <c r="C224" s="86" t="inlineStr">
        <is>
          <t>Aditya Birla Sun Life Mutual Fund</t>
        </is>
      </c>
      <c r="D224" s="86" t="inlineStr">
        <is>
          <t>Focused Fund</t>
        </is>
      </c>
      <c r="E224" s="86" t="inlineStr">
        <is>
          <t>Focused Fund</t>
        </is>
      </c>
      <c r="F224" s="87" t="n">
        <v>-2.61</v>
      </c>
      <c r="G224" s="87" t="n">
        <v>-0.1</v>
      </c>
      <c r="H224" s="87" t="n">
        <v>-7.55</v>
      </c>
      <c r="I224" s="87" t="n">
        <v>-3.68</v>
      </c>
      <c r="J224" s="88" t="n">
        <v>3.435970532499</v>
      </c>
      <c r="K224" s="88" t="n">
        <v>43.94</v>
      </c>
      <c r="L224" s="78" t="n">
        <v>47.5</v>
      </c>
      <c r="M224" s="18" t="n">
        <v>0</v>
      </c>
      <c r="N224" s="19" t="n">
        <v>26.1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89" t="inlineStr">
        <is>
          <t>➡️ Neutral</t>
        </is>
      </c>
      <c r="S224" s="89" t="inlineStr">
        <is>
          <t>🔴 Not Qualified</t>
        </is>
      </c>
      <c r="T224" s="89" t="inlineStr">
        <is>
          <t>🔴 Avoid</t>
        </is>
      </c>
      <c r="U224" s="68" t="inlineStr">
        <is>
          <t>FULL</t>
        </is>
      </c>
    </row>
    <row r="225" ht="16" customHeight="1">
      <c r="A225" s="90" t="n">
        <v>221</v>
      </c>
      <c r="B225" s="91" t="inlineStr">
        <is>
          <t>TATA Resources &amp; Energy Fund Regular Plan - Payout of Income Distribution cum capital withdrawal option</t>
        </is>
      </c>
      <c r="C225" s="91" t="inlineStr">
        <is>
          <t>Tata Mutual Fund</t>
        </is>
      </c>
      <c r="D225" s="91" t="inlineStr">
        <is>
          <t>Sectoral/ Thematic</t>
        </is>
      </c>
      <c r="E225" s="91" t="inlineStr">
        <is>
          <t>Sectoral/ Thematic</t>
        </is>
      </c>
      <c r="F225" s="92" t="n">
        <v>-4.33</v>
      </c>
      <c r="G225" s="92" t="n">
        <v>-0.35</v>
      </c>
      <c r="H225" s="93" t="n">
        <v>0.28</v>
      </c>
      <c r="I225" s="93" t="n">
        <v>0.67</v>
      </c>
      <c r="J225" s="93" t="n">
        <v>2.352332655391898</v>
      </c>
      <c r="K225" s="93" t="n">
        <v>51.49</v>
      </c>
      <c r="L225" s="78" t="n">
        <v>46.6</v>
      </c>
      <c r="M225" s="18" t="n">
        <v>0</v>
      </c>
      <c r="N225" s="19" t="n">
        <v>25.6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94" t="inlineStr">
        <is>
          <t>➡️ Neutral</t>
        </is>
      </c>
      <c r="S225" s="94" t="inlineStr">
        <is>
          <t>🔴 Not Qualified</t>
        </is>
      </c>
      <c r="T225" s="94" t="inlineStr">
        <is>
          <t>🔴 Avoid</t>
        </is>
      </c>
      <c r="U225" s="68" t="inlineStr">
        <is>
          <t>FULL</t>
        </is>
      </c>
    </row>
    <row r="226" ht="16" customHeight="1">
      <c r="A226" s="85" t="n">
        <v>222</v>
      </c>
      <c r="B226" s="86" t="inlineStr">
        <is>
          <t>TATA Resources &amp; Energy Fund Regular Plan - Reinvestment of Income Distribution cum capital withdrawal option</t>
        </is>
      </c>
      <c r="C226" s="86" t="inlineStr">
        <is>
          <t>Tata Mutual Fund</t>
        </is>
      </c>
      <c r="D226" s="86" t="inlineStr">
        <is>
          <t>Sectoral/ Thematic</t>
        </is>
      </c>
      <c r="E226" s="86" t="inlineStr">
        <is>
          <t>Sectoral/ Thematic</t>
        </is>
      </c>
      <c r="F226" s="87" t="n">
        <v>-4.33</v>
      </c>
      <c r="G226" s="87" t="n">
        <v>-0.35</v>
      </c>
      <c r="H226" s="88" t="n">
        <v>0.28</v>
      </c>
      <c r="I226" s="88" t="n">
        <v>0.67</v>
      </c>
      <c r="J226" s="88" t="n">
        <v>2.352332655391898</v>
      </c>
      <c r="K226" s="88" t="n">
        <v>51.49</v>
      </c>
      <c r="L226" s="78" t="n">
        <v>46.6</v>
      </c>
      <c r="M226" s="18" t="n">
        <v>0</v>
      </c>
      <c r="N226" s="19" t="n">
        <v>25.6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89" t="inlineStr">
        <is>
          <t>➡️ Neutral</t>
        </is>
      </c>
      <c r="S226" s="89" t="inlineStr">
        <is>
          <t>🔴 Not Qualified</t>
        </is>
      </c>
      <c r="T226" s="89" t="inlineStr">
        <is>
          <t>🔴 Avoid</t>
        </is>
      </c>
      <c r="U226" s="68" t="inlineStr">
        <is>
          <t>FULL</t>
        </is>
      </c>
    </row>
    <row r="227" ht="16" customHeight="1">
      <c r="A227" s="90" t="n">
        <v>223</v>
      </c>
      <c r="B227" s="91" t="inlineStr">
        <is>
          <t>ITI Banking and Financial Services Fund -Regular Plan - Growth Option</t>
        </is>
      </c>
      <c r="C227" s="91" t="inlineStr">
        <is>
          <t>ITI Mutual Fund</t>
        </is>
      </c>
      <c r="D227" s="91" t="inlineStr">
        <is>
          <t>Sectoral/ Thematic</t>
        </is>
      </c>
      <c r="E227" s="91" t="inlineStr">
        <is>
          <t>Sectoral/ Thematic</t>
        </is>
      </c>
      <c r="F227" s="92" t="n">
        <v>-2.13</v>
      </c>
      <c r="G227" s="93" t="n">
        <v>0</v>
      </c>
      <c r="H227" s="92" t="n">
        <v>-6.54</v>
      </c>
      <c r="I227" s="92" t="n">
        <v>-1.02</v>
      </c>
      <c r="J227" s="93" t="n">
        <v>7.568582773967969</v>
      </c>
      <c r="K227" s="93" t="n">
        <v>34.87</v>
      </c>
      <c r="L227" s="78" t="n">
        <v>46.6</v>
      </c>
      <c r="M227" s="18" t="n">
        <v>0</v>
      </c>
      <c r="N227" s="19" t="n">
        <v>25.6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94" t="inlineStr">
        <is>
          <t>➡️ Neutral</t>
        </is>
      </c>
      <c r="S227" s="94" t="inlineStr">
        <is>
          <t>🔴 Not Qualified</t>
        </is>
      </c>
      <c r="T227" s="94" t="inlineStr">
        <is>
          <t>🔴 Avoid</t>
        </is>
      </c>
      <c r="U227" s="68" t="inlineStr">
        <is>
          <t>FULL</t>
        </is>
      </c>
    </row>
    <row r="228" ht="16" customHeight="1">
      <c r="A228" s="85" t="n">
        <v>224</v>
      </c>
      <c r="B228" s="86" t="inlineStr">
        <is>
          <t>Kotak Flexicap Fund - Payout of Income Distribution cum capital withdrawal option</t>
        </is>
      </c>
      <c r="C228" s="86" t="inlineStr">
        <is>
          <t>Kotak Mahindra Mutual Fund</t>
        </is>
      </c>
      <c r="D228" s="86" t="inlineStr">
        <is>
          <t>Flexi Cap Fund</t>
        </is>
      </c>
      <c r="E228" s="86" t="inlineStr">
        <is>
          <t>Flexi Cap Fund</t>
        </is>
      </c>
      <c r="F228" s="87" t="n">
        <v>-2.45</v>
      </c>
      <c r="G228" s="87" t="n">
        <v>-1.03</v>
      </c>
      <c r="H228" s="87" t="n">
        <v>-5.95</v>
      </c>
      <c r="I228" s="87" t="n">
        <v>-4.79</v>
      </c>
      <c r="J228" s="88" t="n">
        <v>1.82828683622247</v>
      </c>
      <c r="K228" s="88" t="n">
        <v>42.5</v>
      </c>
      <c r="L228" s="78" t="n">
        <v>46.4</v>
      </c>
      <c r="M228" s="18" t="n">
        <v>0</v>
      </c>
      <c r="N228" s="19" t="n">
        <v>25.5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89" t="inlineStr">
        <is>
          <t>➡️ Neutral</t>
        </is>
      </c>
      <c r="S228" s="89" t="inlineStr">
        <is>
          <t>🔴 Not Qualified</t>
        </is>
      </c>
      <c r="T228" s="89" t="inlineStr">
        <is>
          <t>🔴 Avoid</t>
        </is>
      </c>
      <c r="U228" s="68" t="inlineStr">
        <is>
          <t>FULL</t>
        </is>
      </c>
    </row>
    <row r="229" ht="16" customHeight="1">
      <c r="A229" s="90" t="n">
        <v>225</v>
      </c>
      <c r="B229" s="91" t="inlineStr">
        <is>
          <t>Kotak Flexicap Fund - Growth</t>
        </is>
      </c>
      <c r="C229" s="91" t="inlineStr">
        <is>
          <t>Kotak Mahindra Mutual Fund</t>
        </is>
      </c>
      <c r="D229" s="91" t="inlineStr">
        <is>
          <t>Flexi Cap Fund</t>
        </is>
      </c>
      <c r="E229" s="91" t="inlineStr">
        <is>
          <t>Flexi Cap Fund</t>
        </is>
      </c>
      <c r="F229" s="92" t="n">
        <v>-2.45</v>
      </c>
      <c r="G229" s="92" t="n">
        <v>-1.03</v>
      </c>
      <c r="H229" s="92" t="n">
        <v>-5.95</v>
      </c>
      <c r="I229" s="92" t="n">
        <v>-4.79</v>
      </c>
      <c r="J229" s="93" t="n">
        <v>1.82828683622247</v>
      </c>
      <c r="K229" s="93" t="n">
        <v>42.5</v>
      </c>
      <c r="L229" s="78" t="n">
        <v>46.4</v>
      </c>
      <c r="M229" s="18" t="n">
        <v>0</v>
      </c>
      <c r="N229" s="19" t="n">
        <v>25.5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94" t="inlineStr">
        <is>
          <t>➡️ Neutral</t>
        </is>
      </c>
      <c r="S229" s="94" t="inlineStr">
        <is>
          <t>🔴 Not Qualified</t>
        </is>
      </c>
      <c r="T229" s="94" t="inlineStr">
        <is>
          <t>🔴 Avoid</t>
        </is>
      </c>
      <c r="U229" s="68" t="inlineStr">
        <is>
          <t>FULL</t>
        </is>
      </c>
    </row>
    <row r="230" ht="16" customHeight="1">
      <c r="A230" s="85" t="n">
        <v>226</v>
      </c>
      <c r="B230" s="86" t="inlineStr">
        <is>
          <t>UTI Infrastructure Fund-Growth Option</t>
        </is>
      </c>
      <c r="C230" s="86" t="inlineStr">
        <is>
          <t>UTI Mutual Fund</t>
        </is>
      </c>
      <c r="D230" s="86" t="inlineStr">
        <is>
          <t>Sectoral/ Thematic</t>
        </is>
      </c>
      <c r="E230" s="86" t="inlineStr">
        <is>
          <t>Sectoral/ Thematic</t>
        </is>
      </c>
      <c r="F230" s="87" t="n">
        <v>-3.17</v>
      </c>
      <c r="G230" s="88" t="n">
        <v>2.06</v>
      </c>
      <c r="H230" s="87" t="n">
        <v>-2.57</v>
      </c>
      <c r="I230" s="87" t="n">
        <v>-3.16</v>
      </c>
      <c r="J230" s="87" t="n">
        <v>-1.308561668197383</v>
      </c>
      <c r="K230" s="88" t="n">
        <v>52.91</v>
      </c>
      <c r="L230" s="78" t="n">
        <v>46.4</v>
      </c>
      <c r="M230" s="18" t="n">
        <v>0</v>
      </c>
      <c r="N230" s="19" t="n">
        <v>25.5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89" t="inlineStr">
        <is>
          <t>➡️ Neutral</t>
        </is>
      </c>
      <c r="S230" s="89" t="inlineStr">
        <is>
          <t>🔴 Not Qualified</t>
        </is>
      </c>
      <c r="T230" s="89" t="inlineStr">
        <is>
          <t>🔴 Avoid</t>
        </is>
      </c>
      <c r="U230" s="68" t="inlineStr">
        <is>
          <t>FULL</t>
        </is>
      </c>
    </row>
    <row r="231" ht="16" customHeight="1">
      <c r="A231" s="90" t="n">
        <v>227</v>
      </c>
      <c r="B231" s="91" t="inlineStr">
        <is>
          <t>Mirae Asset Flexi Cap Fund - Regular Plan - Growth</t>
        </is>
      </c>
      <c r="C231" s="91" t="inlineStr">
        <is>
          <t>Mirae Asset Mutual Fund</t>
        </is>
      </c>
      <c r="D231" s="91" t="inlineStr">
        <is>
          <t>Flexi Cap Fund</t>
        </is>
      </c>
      <c r="E231" s="91" t="inlineStr">
        <is>
          <t>Flexi Cap Fund</t>
        </is>
      </c>
      <c r="F231" s="92" t="n">
        <v>-3.14</v>
      </c>
      <c r="G231" s="93" t="n">
        <v>0.25</v>
      </c>
      <c r="H231" s="92" t="n">
        <v>-6.54</v>
      </c>
      <c r="I231" s="92" t="n">
        <v>-2.81</v>
      </c>
      <c r="J231" s="93" t="n">
        <v>3.300532428443947</v>
      </c>
      <c r="K231" s="93" t="n">
        <v>41.55</v>
      </c>
      <c r="L231" s="78" t="n">
        <v>45.6</v>
      </c>
      <c r="M231" s="18" t="n">
        <v>0</v>
      </c>
      <c r="N231" s="19" t="n">
        <v>25.1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94" t="inlineStr">
        <is>
          <t>➡️ Neutral</t>
        </is>
      </c>
      <c r="S231" s="94" t="inlineStr">
        <is>
          <t>🔴 Not Qualified</t>
        </is>
      </c>
      <c r="T231" s="94" t="inlineStr">
        <is>
          <t>🔴 Avoid</t>
        </is>
      </c>
      <c r="U231" s="68" t="inlineStr">
        <is>
          <t>FULL</t>
        </is>
      </c>
    </row>
    <row r="232" ht="16" customHeight="1">
      <c r="A232" s="85" t="n">
        <v>228</v>
      </c>
      <c r="B232" s="86" t="inlineStr">
        <is>
          <t>Invesco India Financial Services Fund - Regular Plan - Growth</t>
        </is>
      </c>
      <c r="C232" s="86" t="inlineStr">
        <is>
          <t>Invesco Mutual Fund</t>
        </is>
      </c>
      <c r="D232" s="86" t="inlineStr">
        <is>
          <t>Sectoral/ Thematic</t>
        </is>
      </c>
      <c r="E232" s="86" t="inlineStr">
        <is>
          <t>Sectoral/ Thematic</t>
        </is>
      </c>
      <c r="F232" s="87" t="n">
        <v>-3.12</v>
      </c>
      <c r="G232" s="88" t="n">
        <v>0.84</v>
      </c>
      <c r="H232" s="87" t="n">
        <v>-4.37</v>
      </c>
      <c r="I232" s="87" t="n">
        <v>-0.48</v>
      </c>
      <c r="J232" s="88" t="n">
        <v>9.338922621361156</v>
      </c>
      <c r="K232" s="88" t="n">
        <v>58.69</v>
      </c>
      <c r="L232" s="78" t="n">
        <v>45.6</v>
      </c>
      <c r="M232" s="18" t="n">
        <v>0</v>
      </c>
      <c r="N232" s="19" t="n">
        <v>25.1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89" t="inlineStr">
        <is>
          <t>➡️ Neutral</t>
        </is>
      </c>
      <c r="S232" s="89" t="inlineStr">
        <is>
          <t>🔴 Not Qualified</t>
        </is>
      </c>
      <c r="T232" s="89" t="inlineStr">
        <is>
          <t>🔴 Avoid</t>
        </is>
      </c>
      <c r="U232" s="68" t="inlineStr">
        <is>
          <t>FULL</t>
        </is>
      </c>
    </row>
    <row r="233" ht="16" customHeight="1">
      <c r="A233" s="90" t="n">
        <v>229</v>
      </c>
      <c r="B233" s="91" t="inlineStr">
        <is>
          <t>Aditya Birla Sun Life MNC Fund - Growth - Regular Plan</t>
        </is>
      </c>
      <c r="C233" s="91" t="inlineStr">
        <is>
          <t>Aditya Birla Sun Life Mutual Fund</t>
        </is>
      </c>
      <c r="D233" s="91" t="inlineStr">
        <is>
          <t>Sectoral/ Thematic</t>
        </is>
      </c>
      <c r="E233" s="91" t="inlineStr">
        <is>
          <t>Sectoral/ Thematic</t>
        </is>
      </c>
      <c r="F233" s="92" t="n">
        <v>-1.75</v>
      </c>
      <c r="G233" s="93" t="n">
        <v>2.63</v>
      </c>
      <c r="H233" s="92" t="n">
        <v>-6.46</v>
      </c>
      <c r="I233" s="92" t="n">
        <v>-8.039999999999999</v>
      </c>
      <c r="J233" s="92" t="n">
        <v>-3.294260770107338</v>
      </c>
      <c r="K233" s="93" t="n">
        <v>30.59</v>
      </c>
      <c r="L233" s="78" t="n">
        <v>45.4</v>
      </c>
      <c r="M233" s="18" t="n">
        <v>0</v>
      </c>
      <c r="N233" s="19" t="n">
        <v>25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94" t="inlineStr">
        <is>
          <t>➡️ Neutral</t>
        </is>
      </c>
      <c r="S233" s="94" t="inlineStr">
        <is>
          <t>🔴 Not Qualified</t>
        </is>
      </c>
      <c r="T233" s="94" t="inlineStr">
        <is>
          <t>🔴 Avoid</t>
        </is>
      </c>
      <c r="U233" s="68" t="inlineStr">
        <is>
          <t>FULL</t>
        </is>
      </c>
    </row>
    <row r="234" ht="16" customHeight="1">
      <c r="A234" s="85" t="n">
        <v>230</v>
      </c>
      <c r="B234" s="86" t="inlineStr">
        <is>
          <t>TATA India Consumer Fund Regular Plan - Payout of Income Distribution cum capital withdrawal option</t>
        </is>
      </c>
      <c r="C234" s="86" t="inlineStr">
        <is>
          <t>Tata Mutual Fund</t>
        </is>
      </c>
      <c r="D234" s="86" t="inlineStr">
        <is>
          <t>Sectoral/ Thematic</t>
        </is>
      </c>
      <c r="E234" s="86" t="inlineStr">
        <is>
          <t>Sectoral/ Thematic</t>
        </is>
      </c>
      <c r="F234" s="87" t="n">
        <v>-2.37</v>
      </c>
      <c r="G234" s="88" t="n">
        <v>3.96</v>
      </c>
      <c r="H234" s="87" t="n">
        <v>-7.54</v>
      </c>
      <c r="I234" s="87" t="n">
        <v>-5.16</v>
      </c>
      <c r="J234" s="88" t="n">
        <v>1.744778735815222</v>
      </c>
      <c r="K234" s="88" t="n">
        <v>40.65</v>
      </c>
      <c r="L234" s="78" t="n">
        <v>45</v>
      </c>
      <c r="M234" s="18" t="n">
        <v>0</v>
      </c>
      <c r="N234" s="19" t="n">
        <v>24.8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89" t="inlineStr">
        <is>
          <t>➡️ Neutral</t>
        </is>
      </c>
      <c r="S234" s="89" t="inlineStr">
        <is>
          <t>🔴 Not Qualified</t>
        </is>
      </c>
      <c r="T234" s="89" t="inlineStr">
        <is>
          <t>🔴 Avoid</t>
        </is>
      </c>
      <c r="U234" s="68" t="inlineStr">
        <is>
          <t>FULL</t>
        </is>
      </c>
    </row>
    <row r="235" ht="16" customHeight="1">
      <c r="A235" s="90" t="n">
        <v>231</v>
      </c>
      <c r="B235" s="91" t="inlineStr">
        <is>
          <t>TATA India Consumer Fund Regular Plan - Reinvestment of Income Distribution cum capital withdrawal option</t>
        </is>
      </c>
      <c r="C235" s="91" t="inlineStr">
        <is>
          <t>Tata Mutual Fund</t>
        </is>
      </c>
      <c r="D235" s="91" t="inlineStr">
        <is>
          <t>Sectoral/ Thematic</t>
        </is>
      </c>
      <c r="E235" s="91" t="inlineStr">
        <is>
          <t>Sectoral/ Thematic</t>
        </is>
      </c>
      <c r="F235" s="92" t="n">
        <v>-2.37</v>
      </c>
      <c r="G235" s="93" t="n">
        <v>3.96</v>
      </c>
      <c r="H235" s="92" t="n">
        <v>-7.54</v>
      </c>
      <c r="I235" s="92" t="n">
        <v>-5.16</v>
      </c>
      <c r="J235" s="93" t="n">
        <v>1.744778735815222</v>
      </c>
      <c r="K235" s="93" t="n">
        <v>40.65</v>
      </c>
      <c r="L235" s="78" t="n">
        <v>45</v>
      </c>
      <c r="M235" s="18" t="n">
        <v>0</v>
      </c>
      <c r="N235" s="19" t="n">
        <v>24.8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94" t="inlineStr">
        <is>
          <t>➡️ Neutral</t>
        </is>
      </c>
      <c r="S235" s="94" t="inlineStr">
        <is>
          <t>🔴 Not Qualified</t>
        </is>
      </c>
      <c r="T235" s="94" t="inlineStr">
        <is>
          <t>🔴 Avoid</t>
        </is>
      </c>
      <c r="U235" s="68" t="inlineStr">
        <is>
          <t>FULL</t>
        </is>
      </c>
    </row>
    <row r="236" ht="16" customHeight="1">
      <c r="A236" s="85" t="n">
        <v>232</v>
      </c>
      <c r="B236" s="86" t="inlineStr">
        <is>
          <t>DSP Flexi Cap Fund - Regular Plan - Growth</t>
        </is>
      </c>
      <c r="C236" s="86" t="inlineStr">
        <is>
          <t>DSP Mutual Fund</t>
        </is>
      </c>
      <c r="D236" s="86" t="inlineStr">
        <is>
          <t>Flexi Cap Fund</t>
        </is>
      </c>
      <c r="E236" s="86" t="inlineStr">
        <is>
          <t>Flexi Cap Fund</t>
        </is>
      </c>
      <c r="F236" s="87" t="n">
        <v>-2</v>
      </c>
      <c r="G236" s="88" t="n">
        <v>1.24</v>
      </c>
      <c r="H236" s="87" t="n">
        <v>-7.2</v>
      </c>
      <c r="I236" s="87" t="n">
        <v>-6.18</v>
      </c>
      <c r="J236" s="88" t="n">
        <v>1.892099791887691</v>
      </c>
      <c r="K236" s="88" t="n">
        <v>41.28</v>
      </c>
      <c r="L236" s="78" t="n">
        <v>44.7</v>
      </c>
      <c r="M236" s="18" t="n">
        <v>0</v>
      </c>
      <c r="N236" s="19" t="n">
        <v>24.6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89" t="inlineStr">
        <is>
          <t>➡️ Neutral</t>
        </is>
      </c>
      <c r="S236" s="89" t="inlineStr">
        <is>
          <t>🔴 Not Qualified</t>
        </is>
      </c>
      <c r="T236" s="89" t="inlineStr">
        <is>
          <t>🔴 Avoid</t>
        </is>
      </c>
      <c r="U236" s="68" t="inlineStr">
        <is>
          <t>FULL</t>
        </is>
      </c>
    </row>
    <row r="237" ht="16" customHeight="1">
      <c r="A237" s="90" t="n">
        <v>233</v>
      </c>
      <c r="B237" s="91" t="inlineStr">
        <is>
          <t>Nippon India Small Cap Fund - Growth Plan - Growth Option</t>
        </is>
      </c>
      <c r="C237" s="91" t="inlineStr">
        <is>
          <t>Nippon India Mutual Fund</t>
        </is>
      </c>
      <c r="D237" s="91" t="inlineStr">
        <is>
          <t>Small Cap Fund</t>
        </is>
      </c>
      <c r="E237" s="91" t="inlineStr">
        <is>
          <t>Small Cap Fund</t>
        </is>
      </c>
      <c r="F237" s="92" t="n">
        <v>-3.04</v>
      </c>
      <c r="G237" s="93" t="n">
        <v>8.18</v>
      </c>
      <c r="H237" s="93" t="n">
        <v>2.17</v>
      </c>
      <c r="I237" s="92" t="n">
        <v>-1.18</v>
      </c>
      <c r="J237" s="93" t="n">
        <v>2.107786186950511</v>
      </c>
      <c r="K237" s="93" t="n">
        <v>60.51</v>
      </c>
      <c r="L237" s="78" t="n">
        <v>44.7</v>
      </c>
      <c r="M237" s="18" t="n">
        <v>0</v>
      </c>
      <c r="N237" s="19" t="n">
        <v>24.6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94" t="inlineStr">
        <is>
          <t>➡️ Neutral</t>
        </is>
      </c>
      <c r="S237" s="94" t="inlineStr">
        <is>
          <t>🔴 Not Qualified</t>
        </is>
      </c>
      <c r="T237" s="94" t="inlineStr">
        <is>
          <t>🔴 Avoid</t>
        </is>
      </c>
      <c r="U237" s="68" t="inlineStr">
        <is>
          <t>FULL</t>
        </is>
      </c>
    </row>
    <row r="238" ht="16" customHeight="1">
      <c r="A238" s="85" t="n">
        <v>234</v>
      </c>
      <c r="B238" s="86" t="inlineStr">
        <is>
          <t>Nippon India Small Cap Fund - Growth Plan - Bonus Option</t>
        </is>
      </c>
      <c r="C238" s="86" t="inlineStr">
        <is>
          <t>Nippon India Mutual Fund</t>
        </is>
      </c>
      <c r="D238" s="86" t="inlineStr">
        <is>
          <t>Small Cap Fund</t>
        </is>
      </c>
      <c r="E238" s="86" t="inlineStr">
        <is>
          <t>Small Cap Fund</t>
        </is>
      </c>
      <c r="F238" s="87" t="n">
        <v>-3.04</v>
      </c>
      <c r="G238" s="88" t="n">
        <v>8.18</v>
      </c>
      <c r="H238" s="88" t="n">
        <v>2.17</v>
      </c>
      <c r="I238" s="87" t="n">
        <v>-1.18</v>
      </c>
      <c r="J238" s="88" t="n">
        <v>2.107786186950511</v>
      </c>
      <c r="K238" s="88" t="n">
        <v>60.51</v>
      </c>
      <c r="L238" s="78" t="n">
        <v>44.7</v>
      </c>
      <c r="M238" s="18" t="n">
        <v>0</v>
      </c>
      <c r="N238" s="19" t="n">
        <v>24.6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89" t="inlineStr">
        <is>
          <t>➡️ Neutral</t>
        </is>
      </c>
      <c r="S238" s="89" t="inlineStr">
        <is>
          <t>🔴 Not Qualified</t>
        </is>
      </c>
      <c r="T238" s="89" t="inlineStr">
        <is>
          <t>🔴 Avoid</t>
        </is>
      </c>
      <c r="U238" s="68" t="inlineStr">
        <is>
          <t>FULL</t>
        </is>
      </c>
    </row>
    <row r="239" ht="16" customHeight="1">
      <c r="A239" s="90" t="n">
        <v>235</v>
      </c>
      <c r="B239" s="91" t="inlineStr">
        <is>
          <t>Invesco India Flexi Cap Fund - Regular Plan - Growth</t>
        </is>
      </c>
      <c r="C239" s="91" t="inlineStr">
        <is>
          <t>Invesco Mutual Fund</t>
        </is>
      </c>
      <c r="D239" s="91" t="inlineStr">
        <is>
          <t>Flexi Cap Fund</t>
        </is>
      </c>
      <c r="E239" s="91" t="inlineStr">
        <is>
          <t>Flexi Cap Fund</t>
        </is>
      </c>
      <c r="F239" s="92" t="n">
        <v>-3.13</v>
      </c>
      <c r="G239" s="93" t="n">
        <v>5.7</v>
      </c>
      <c r="H239" s="92" t="n">
        <v>-6.97</v>
      </c>
      <c r="I239" s="92" t="n">
        <v>-6.52</v>
      </c>
      <c r="J239" s="93" t="n">
        <v>3.460137251020501</v>
      </c>
      <c r="K239" s="93" t="n">
        <v>57.41</v>
      </c>
      <c r="L239" s="78" t="n">
        <v>44.6</v>
      </c>
      <c r="M239" s="18" t="n">
        <v>0</v>
      </c>
      <c r="N239" s="19" t="n">
        <v>24.5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94" t="inlineStr">
        <is>
          <t>➡️ Neutral</t>
        </is>
      </c>
      <c r="S239" s="94" t="inlineStr">
        <is>
          <t>🔴 Not Qualified</t>
        </is>
      </c>
      <c r="T239" s="94" t="inlineStr">
        <is>
          <t>🔴 Avoid</t>
        </is>
      </c>
      <c r="U239" s="68" t="inlineStr">
        <is>
          <t>FULL</t>
        </is>
      </c>
    </row>
    <row r="240" ht="16" customHeight="1">
      <c r="A240" s="85" t="n">
        <v>236</v>
      </c>
      <c r="B240" s="86" t="inlineStr">
        <is>
          <t>Parag Parikh Flexi Cap Fund - Regular Plan - Growth</t>
        </is>
      </c>
      <c r="C240" s="86" t="inlineStr">
        <is>
          <t>PPFAS Mutual Fund</t>
        </is>
      </c>
      <c r="D240" s="86" t="inlineStr">
        <is>
          <t>Flexi Cap Fund</t>
        </is>
      </c>
      <c r="E240" s="86" t="inlineStr">
        <is>
          <t>Flexi Cap Fund</t>
        </is>
      </c>
      <c r="F240" s="87" t="n">
        <v>-2.56</v>
      </c>
      <c r="G240" s="87" t="n">
        <v>-0.96</v>
      </c>
      <c r="H240" s="87" t="n">
        <v>-6.84</v>
      </c>
      <c r="I240" s="87" t="n">
        <v>-4.36</v>
      </c>
      <c r="J240" s="88" t="n">
        <v>4.417431494937674</v>
      </c>
      <c r="K240" s="88" t="n">
        <v>49.66</v>
      </c>
      <c r="L240" s="78" t="n">
        <v>44.4</v>
      </c>
      <c r="M240" s="18" t="n">
        <v>0</v>
      </c>
      <c r="N240" s="19" t="n">
        <v>24.4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89" t="inlineStr">
        <is>
          <t>➡️ Neutral</t>
        </is>
      </c>
      <c r="S240" s="89" t="inlineStr">
        <is>
          <t>🔴 Not Qualified</t>
        </is>
      </c>
      <c r="T240" s="89" t="inlineStr">
        <is>
          <t>🔴 Avoid</t>
        </is>
      </c>
      <c r="U240" s="68" t="inlineStr">
        <is>
          <t>FULL</t>
        </is>
      </c>
    </row>
    <row r="241" ht="16" customHeight="1">
      <c r="A241" s="90" t="n">
        <v>237</v>
      </c>
      <c r="B241" s="91" t="inlineStr">
        <is>
          <t>HSBC Large Cap Fund - Regular Growth</t>
        </is>
      </c>
      <c r="C241" s="91" t="inlineStr">
        <is>
          <t>HSBC Mutual Fund</t>
        </is>
      </c>
      <c r="D241" s="91" t="inlineStr">
        <is>
          <t>Large Cap Fund</t>
        </is>
      </c>
      <c r="E241" s="91" t="inlineStr">
        <is>
          <t>Large Cap Fund</t>
        </is>
      </c>
      <c r="F241" s="92" t="n">
        <v>-2.59</v>
      </c>
      <c r="G241" s="92" t="n">
        <v>-2.34</v>
      </c>
      <c r="H241" s="92" t="n">
        <v>-9</v>
      </c>
      <c r="I241" s="92" t="n">
        <v>-4.47</v>
      </c>
      <c r="J241" s="93" t="n">
        <v>0.5286028948975341</v>
      </c>
      <c r="K241" s="93" t="n">
        <v>33.81</v>
      </c>
      <c r="L241" s="78" t="n">
        <v>44.3</v>
      </c>
      <c r="M241" s="18" t="n">
        <v>0</v>
      </c>
      <c r="N241" s="19" t="n">
        <v>24.4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94" t="inlineStr">
        <is>
          <t>➡️ Neutral</t>
        </is>
      </c>
      <c r="S241" s="94" t="inlineStr">
        <is>
          <t>🔴 Not Qualified</t>
        </is>
      </c>
      <c r="T241" s="94" t="inlineStr">
        <is>
          <t>🔴 Avoid</t>
        </is>
      </c>
      <c r="U241" s="68" t="inlineStr">
        <is>
          <t>FULL</t>
        </is>
      </c>
    </row>
    <row r="242" ht="16" customHeight="1">
      <c r="A242" s="85" t="n">
        <v>238</v>
      </c>
      <c r="B242" s="86" t="inlineStr">
        <is>
          <t>Tata Business Cycle Fund-Regular Plan-Growth</t>
        </is>
      </c>
      <c r="C242" s="86" t="inlineStr">
        <is>
          <t>Tata Mutual Fund</t>
        </is>
      </c>
      <c r="D242" s="86" t="inlineStr">
        <is>
          <t>Sectoral/ Thematic</t>
        </is>
      </c>
      <c r="E242" s="86" t="inlineStr">
        <is>
          <t>Sectoral/ Thematic</t>
        </is>
      </c>
      <c r="F242" s="87" t="n">
        <v>-3.6</v>
      </c>
      <c r="G242" s="88" t="n">
        <v>3.89</v>
      </c>
      <c r="H242" s="87" t="n">
        <v>-4.23</v>
      </c>
      <c r="I242" s="87" t="n">
        <v>-3.97</v>
      </c>
      <c r="J242" s="87" t="n">
        <v>-1.085895848974094</v>
      </c>
      <c r="K242" s="88" t="n">
        <v>47.93</v>
      </c>
      <c r="L242" s="78" t="n">
        <v>43.7</v>
      </c>
      <c r="M242" s="18" t="n">
        <v>0</v>
      </c>
      <c r="N242" s="19" t="n">
        <v>24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89" t="inlineStr">
        <is>
          <t>➡️ Neutral</t>
        </is>
      </c>
      <c r="S242" s="89" t="inlineStr">
        <is>
          <t>🔴 Not Qualified</t>
        </is>
      </c>
      <c r="T242" s="89" t="inlineStr">
        <is>
          <t>🔴 Avoid</t>
        </is>
      </c>
      <c r="U242" s="68" t="inlineStr">
        <is>
          <t>FULL</t>
        </is>
      </c>
    </row>
    <row r="243" ht="16" customHeight="1">
      <c r="A243" s="90" t="n">
        <v>239</v>
      </c>
      <c r="B243" s="91" t="inlineStr">
        <is>
          <t>HDFC Large Cap Fund - Growth Option - Regular Plan</t>
        </is>
      </c>
      <c r="C243" s="91" t="inlineStr">
        <is>
          <t>HDFC Mutual Fund</t>
        </is>
      </c>
      <c r="D243" s="91" t="inlineStr">
        <is>
          <t>Large Cap Fund</t>
        </is>
      </c>
      <c r="E243" s="91" t="inlineStr">
        <is>
          <t>Large Cap Fund</t>
        </is>
      </c>
      <c r="F243" s="92" t="n">
        <v>-2.23</v>
      </c>
      <c r="G243" s="92" t="n">
        <v>-1.63</v>
      </c>
      <c r="H243" s="92" t="n">
        <v>-9.32</v>
      </c>
      <c r="I243" s="92" t="n">
        <v>-6.19</v>
      </c>
      <c r="J243" s="92" t="n">
        <v>-0.4208857239631825</v>
      </c>
      <c r="K243" s="93" t="n">
        <v>34.15</v>
      </c>
      <c r="L243" s="78" t="n">
        <v>43.4</v>
      </c>
      <c r="M243" s="18" t="n">
        <v>0</v>
      </c>
      <c r="N243" s="19" t="n">
        <v>23.8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94" t="inlineStr">
        <is>
          <t>➡️ Neutral</t>
        </is>
      </c>
      <c r="S243" s="94" t="inlineStr">
        <is>
          <t>🔴 Not Qualified</t>
        </is>
      </c>
      <c r="T243" s="94" t="inlineStr">
        <is>
          <t>🔴 Avoid</t>
        </is>
      </c>
      <c r="U243" s="68" t="inlineStr">
        <is>
          <t>FULL</t>
        </is>
      </c>
    </row>
    <row r="244" ht="16" customHeight="1">
      <c r="A244" s="85" t="n">
        <v>240</v>
      </c>
      <c r="B244" s="86" t="inlineStr">
        <is>
          <t>PGIM India Large Cap Fund - Growth</t>
        </is>
      </c>
      <c r="C244" s="86" t="inlineStr">
        <is>
          <t>PGIM India Mutual Fund</t>
        </is>
      </c>
      <c r="D244" s="86" t="inlineStr">
        <is>
          <t>Large Cap Fund</t>
        </is>
      </c>
      <c r="E244" s="86" t="inlineStr">
        <is>
          <t>Large Cap Fund</t>
        </is>
      </c>
      <c r="F244" s="87" t="n">
        <v>-2.25</v>
      </c>
      <c r="G244" s="87" t="n">
        <v>-0.46</v>
      </c>
      <c r="H244" s="87" t="n">
        <v>-10.26</v>
      </c>
      <c r="I244" s="87" t="n">
        <v>-7.52</v>
      </c>
      <c r="J244" s="87" t="n">
        <v>-0.6068412817059166</v>
      </c>
      <c r="K244" s="88" t="n">
        <v>21.26</v>
      </c>
      <c r="L244" s="78" t="n">
        <v>43.4</v>
      </c>
      <c r="M244" s="18" t="n">
        <v>0</v>
      </c>
      <c r="N244" s="19" t="n">
        <v>23.8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89" t="inlineStr">
        <is>
          <t>➡️ Neutral</t>
        </is>
      </c>
      <c r="S244" s="89" t="inlineStr">
        <is>
          <t>🔴 Not Qualified</t>
        </is>
      </c>
      <c r="T244" s="89" t="inlineStr">
        <is>
          <t>🔴 Avoid</t>
        </is>
      </c>
      <c r="U244" s="68" t="inlineStr">
        <is>
          <t>FULL</t>
        </is>
      </c>
    </row>
    <row r="245" ht="16" customHeight="1">
      <c r="A245" s="90" t="n">
        <v>241</v>
      </c>
      <c r="B245" s="91" t="inlineStr">
        <is>
          <t>SBI Small Cap Fund - Regular Plan - Growth</t>
        </is>
      </c>
      <c r="C245" s="91" t="inlineStr">
        <is>
          <t>SBI Mutual Fund</t>
        </is>
      </c>
      <c r="D245" s="91" t="inlineStr">
        <is>
          <t>Small Cap Fund</t>
        </is>
      </c>
      <c r="E245" s="91" t="inlineStr">
        <is>
          <t>Small Cap Fund</t>
        </is>
      </c>
      <c r="F245" s="92" t="n">
        <v>-1.56</v>
      </c>
      <c r="G245" s="93" t="n">
        <v>8.039999999999999</v>
      </c>
      <c r="H245" s="92" t="n">
        <v>-0.23</v>
      </c>
      <c r="I245" s="92" t="n">
        <v>-2.66</v>
      </c>
      <c r="J245" s="92" t="n">
        <v>-0.767948726230594</v>
      </c>
      <c r="K245" s="93" t="n">
        <v>39.87</v>
      </c>
      <c r="L245" s="78" t="n">
        <v>43.3</v>
      </c>
      <c r="M245" s="18" t="n">
        <v>0</v>
      </c>
      <c r="N245" s="19" t="n">
        <v>23.8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94" t="inlineStr">
        <is>
          <t>➡️ Neutral</t>
        </is>
      </c>
      <c r="S245" s="94" t="inlineStr">
        <is>
          <t>🔴 Not Qualified</t>
        </is>
      </c>
      <c r="T245" s="94" t="inlineStr">
        <is>
          <t>🔴 Avoid</t>
        </is>
      </c>
      <c r="U245" s="68" t="inlineStr">
        <is>
          <t>FULL</t>
        </is>
      </c>
    </row>
    <row r="246" ht="16" customHeight="1">
      <c r="A246" s="85" t="n">
        <v>242</v>
      </c>
      <c r="B246" s="86" t="inlineStr">
        <is>
          <t>SBI Flexicap Fund - REGULAR PLAN -Growth Option</t>
        </is>
      </c>
      <c r="C246" s="86" t="inlineStr">
        <is>
          <t>SBI Mutual Fund</t>
        </is>
      </c>
      <c r="D246" s="86" t="inlineStr">
        <is>
          <t>Flexi Cap Fund</t>
        </is>
      </c>
      <c r="E246" s="86" t="inlineStr">
        <is>
          <t>Flexi Cap Fund</t>
        </is>
      </c>
      <c r="F246" s="87" t="n">
        <v>-2.21</v>
      </c>
      <c r="G246" s="87" t="n">
        <v>-0.1</v>
      </c>
      <c r="H246" s="87" t="n">
        <v>-8.359999999999999</v>
      </c>
      <c r="I246" s="87" t="n">
        <v>-4.28</v>
      </c>
      <c r="J246" s="88" t="n">
        <v>0.03999200319839691</v>
      </c>
      <c r="K246" s="88" t="n">
        <v>28.47</v>
      </c>
      <c r="L246" s="78" t="n">
        <v>43.3</v>
      </c>
      <c r="M246" s="18" t="n">
        <v>0</v>
      </c>
      <c r="N246" s="19" t="n">
        <v>23.8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89" t="inlineStr">
        <is>
          <t>➡️ Neutral</t>
        </is>
      </c>
      <c r="S246" s="89" t="inlineStr">
        <is>
          <t>🔴 Not Qualified</t>
        </is>
      </c>
      <c r="T246" s="89" t="inlineStr">
        <is>
          <t>🔴 Avoid</t>
        </is>
      </c>
      <c r="U246" s="68" t="inlineStr">
        <is>
          <t>FULL</t>
        </is>
      </c>
    </row>
    <row r="247" ht="16" customHeight="1">
      <c r="A247" s="90" t="n">
        <v>243</v>
      </c>
      <c r="B247" s="91" t="inlineStr">
        <is>
          <t>ICICI Prudential Focused Equity Fund - Growth</t>
        </is>
      </c>
      <c r="C247" s="91" t="inlineStr">
        <is>
          <t>ICICI Prudential Mutual Fund</t>
        </is>
      </c>
      <c r="D247" s="91" t="inlineStr">
        <is>
          <t>Focused Fund</t>
        </is>
      </c>
      <c r="E247" s="91" t="inlineStr">
        <is>
          <t>Focused Fund</t>
        </is>
      </c>
      <c r="F247" s="92" t="n">
        <v>-2.69</v>
      </c>
      <c r="G247" s="93" t="n">
        <v>0.5600000000000001</v>
      </c>
      <c r="H247" s="92" t="n">
        <v>-9.48</v>
      </c>
      <c r="I247" s="92" t="n">
        <v>-3.4</v>
      </c>
      <c r="J247" s="93" t="n">
        <v>4.718670732587138</v>
      </c>
      <c r="K247" s="93" t="n">
        <v>60.16</v>
      </c>
      <c r="L247" s="78" t="n">
        <v>43</v>
      </c>
      <c r="M247" s="18" t="n">
        <v>0</v>
      </c>
      <c r="N247" s="19" t="n">
        <v>23.7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94" t="inlineStr">
        <is>
          <t>➡️ Neutral</t>
        </is>
      </c>
      <c r="S247" s="94" t="inlineStr">
        <is>
          <t>🔴 Not Qualified</t>
        </is>
      </c>
      <c r="T247" s="94" t="inlineStr">
        <is>
          <t>🔴 Avoid</t>
        </is>
      </c>
      <c r="U247" s="68" t="inlineStr">
        <is>
          <t>FULL</t>
        </is>
      </c>
    </row>
    <row r="248" ht="16" customHeight="1">
      <c r="A248" s="85" t="n">
        <v>244</v>
      </c>
      <c r="B248" s="86" t="inlineStr">
        <is>
          <t>Edelweiss Large Cap Fund -Plan C - Growth option</t>
        </is>
      </c>
      <c r="C248" s="86" t="inlineStr">
        <is>
          <t>Edelweiss Mutual Fund</t>
        </is>
      </c>
      <c r="D248" s="86" t="inlineStr">
        <is>
          <t>Large Cap Fund</t>
        </is>
      </c>
      <c r="E248" s="86" t="inlineStr">
        <is>
          <t>Large Cap Fund</t>
        </is>
      </c>
      <c r="F248" s="87" t="n">
        <v>-2.49</v>
      </c>
      <c r="G248" s="87" t="n">
        <v>-1.6</v>
      </c>
      <c r="H248" s="87" t="n">
        <v>-9.15</v>
      </c>
      <c r="I248" s="87" t="n">
        <v>-6.55</v>
      </c>
      <c r="J248" s="87" t="n">
        <v>-0.2052105568632445</v>
      </c>
      <c r="K248" s="88" t="n">
        <v>31.7</v>
      </c>
      <c r="L248" s="78" t="n">
        <v>42.7</v>
      </c>
      <c r="M248" s="18" t="n">
        <v>0</v>
      </c>
      <c r="N248" s="19" t="n">
        <v>23.5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89" t="inlineStr">
        <is>
          <t>➡️ Neutral</t>
        </is>
      </c>
      <c r="S248" s="89" t="inlineStr">
        <is>
          <t>🔴 Not Qualified</t>
        </is>
      </c>
      <c r="T248" s="89" t="inlineStr">
        <is>
          <t>🔴 Avoid</t>
        </is>
      </c>
      <c r="U248" s="68" t="inlineStr">
        <is>
          <t>FULL</t>
        </is>
      </c>
    </row>
    <row r="249" ht="16" customHeight="1">
      <c r="A249" s="90" t="n">
        <v>245</v>
      </c>
      <c r="B249" s="91" t="inlineStr">
        <is>
          <t>SBI Equity Minimum Variance Fund - Regular Plan - Growth</t>
        </is>
      </c>
      <c r="C249" s="91" t="inlineStr">
        <is>
          <t>SBI Mutual Fund</t>
        </is>
      </c>
      <c r="D249" s="91" t="inlineStr">
        <is>
          <t>Sectoral/ Thematic</t>
        </is>
      </c>
      <c r="E249" s="91" t="inlineStr">
        <is>
          <t>Sectoral/ Thematic</t>
        </is>
      </c>
      <c r="F249" s="92" t="n">
        <v>-3.14</v>
      </c>
      <c r="G249" s="93" t="n">
        <v>1.67</v>
      </c>
      <c r="H249" s="92" t="n">
        <v>-5.65</v>
      </c>
      <c r="I249" s="92" t="n">
        <v>-2.93</v>
      </c>
      <c r="J249" s="92" t="n">
        <v>-0.2352767758061702</v>
      </c>
      <c r="K249" s="93" t="n">
        <v>31.82</v>
      </c>
      <c r="L249" s="78" t="n">
        <v>42.6</v>
      </c>
      <c r="M249" s="18" t="n">
        <v>0</v>
      </c>
      <c r="N249" s="19" t="n">
        <v>23.4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94" t="inlineStr">
        <is>
          <t>➡️ Neutral</t>
        </is>
      </c>
      <c r="S249" s="94" t="inlineStr">
        <is>
          <t>🔴 Not Qualified</t>
        </is>
      </c>
      <c r="T249" s="94" t="inlineStr">
        <is>
          <t>🔴 Avoid</t>
        </is>
      </c>
      <c r="U249" s="68" t="inlineStr">
        <is>
          <t>FULL</t>
        </is>
      </c>
    </row>
    <row r="250" ht="16" customHeight="1">
      <c r="A250" s="85" t="n">
        <v>246</v>
      </c>
      <c r="B250" s="86" t="inlineStr">
        <is>
          <t>Franklin India ELSS Tax Saver Fund-Growth</t>
        </is>
      </c>
      <c r="C250" s="86" t="inlineStr">
        <is>
          <t>Franklin Templeton Mutual Fund</t>
        </is>
      </c>
      <c r="D250" s="86" t="inlineStr">
        <is>
          <t>Elss</t>
        </is>
      </c>
      <c r="E250" s="86" t="inlineStr">
        <is>
          <t>Elss</t>
        </is>
      </c>
      <c r="F250" s="87" t="n">
        <v>-1.78</v>
      </c>
      <c r="G250" s="87" t="n">
        <v>-0.87</v>
      </c>
      <c r="H250" s="87" t="n">
        <v>-9.69</v>
      </c>
      <c r="I250" s="87" t="n">
        <v>-9.15</v>
      </c>
      <c r="J250" s="87" t="n">
        <v>-0.2453008625658781</v>
      </c>
      <c r="K250" s="88" t="n">
        <v>43.77</v>
      </c>
      <c r="L250" s="78" t="n">
        <v>42.5</v>
      </c>
      <c r="M250" s="18" t="n">
        <v>0</v>
      </c>
      <c r="N250" s="19" t="n">
        <v>23.4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89" t="inlineStr">
        <is>
          <t>➡️ Neutral</t>
        </is>
      </c>
      <c r="S250" s="89" t="inlineStr">
        <is>
          <t>🔴 Not Qualified</t>
        </is>
      </c>
      <c r="T250" s="89" t="inlineStr">
        <is>
          <t>🔴 Avoid</t>
        </is>
      </c>
      <c r="U250" s="68" t="inlineStr">
        <is>
          <t>FULL</t>
        </is>
      </c>
    </row>
    <row r="251" ht="16" customHeight="1">
      <c r="A251" s="90" t="n">
        <v>247</v>
      </c>
      <c r="B251" s="91" t="inlineStr">
        <is>
          <t>Union Flexi Cap Fund - Growth Option</t>
        </is>
      </c>
      <c r="C251" s="91" t="inlineStr">
        <is>
          <t>Union Mutual Fund</t>
        </is>
      </c>
      <c r="D251" s="91" t="inlineStr">
        <is>
          <t>Flexi Cap Fund</t>
        </is>
      </c>
      <c r="E251" s="91" t="inlineStr">
        <is>
          <t>Flexi Cap Fund</t>
        </is>
      </c>
      <c r="F251" s="92" t="n">
        <v>-3.15</v>
      </c>
      <c r="G251" s="93" t="n">
        <v>1.27</v>
      </c>
      <c r="H251" s="92" t="n">
        <v>-6.23</v>
      </c>
      <c r="I251" s="92" t="n">
        <v>-4.91</v>
      </c>
      <c r="J251" s="93" t="n">
        <v>1.098961418997768</v>
      </c>
      <c r="K251" s="93" t="n">
        <v>37.18</v>
      </c>
      <c r="L251" s="78" t="n">
        <v>42.4</v>
      </c>
      <c r="M251" s="18" t="n">
        <v>0</v>
      </c>
      <c r="N251" s="19" t="n">
        <v>23.3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94" t="inlineStr">
        <is>
          <t>➡️ Neutral</t>
        </is>
      </c>
      <c r="S251" s="94" t="inlineStr">
        <is>
          <t>🔴 Not Qualified</t>
        </is>
      </c>
      <c r="T251" s="94" t="inlineStr">
        <is>
          <t>🔴 Avoid</t>
        </is>
      </c>
      <c r="U251" s="68" t="inlineStr">
        <is>
          <t>FULL</t>
        </is>
      </c>
    </row>
    <row r="252" ht="16" customHeight="1">
      <c r="A252" s="85" t="n">
        <v>248</v>
      </c>
      <c r="B252" s="86" t="inlineStr">
        <is>
          <t>BANDHAN Flexi Cap Fund - Regular Plan - Growth</t>
        </is>
      </c>
      <c r="C252" s="86" t="inlineStr">
        <is>
          <t>Bandhan Mutual Fund</t>
        </is>
      </c>
      <c r="D252" s="86" t="inlineStr">
        <is>
          <t>Flexi Cap Fund</t>
        </is>
      </c>
      <c r="E252" s="86" t="inlineStr">
        <is>
          <t>Flexi Cap Fund</t>
        </is>
      </c>
      <c r="F252" s="87" t="n">
        <v>-2.58</v>
      </c>
      <c r="G252" s="88" t="n">
        <v>0.38</v>
      </c>
      <c r="H252" s="87" t="n">
        <v>-7.25</v>
      </c>
      <c r="I252" s="87" t="n">
        <v>-4.09</v>
      </c>
      <c r="J252" s="88" t="n">
        <v>2.112682855754988</v>
      </c>
      <c r="K252" s="88" t="n">
        <v>40.83</v>
      </c>
      <c r="L252" s="78" t="n">
        <v>42.3</v>
      </c>
      <c r="M252" s="18" t="n">
        <v>0</v>
      </c>
      <c r="N252" s="19" t="n">
        <v>23.3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89" t="inlineStr">
        <is>
          <t>➡️ Neutral</t>
        </is>
      </c>
      <c r="S252" s="89" t="inlineStr">
        <is>
          <t>🔴 Not Qualified</t>
        </is>
      </c>
      <c r="T252" s="89" t="inlineStr">
        <is>
          <t>🔴 Avoid</t>
        </is>
      </c>
      <c r="U252" s="68" t="inlineStr">
        <is>
          <t>FULL</t>
        </is>
      </c>
    </row>
    <row r="253" ht="16" customHeight="1">
      <c r="A253" s="90" t="n">
        <v>249</v>
      </c>
      <c r="B253" s="91" t="inlineStr">
        <is>
          <t>Axis Focused Fund - Regular Plan - Growth Option</t>
        </is>
      </c>
      <c r="C253" s="91" t="inlineStr">
        <is>
          <t>Axis Mutual Fund</t>
        </is>
      </c>
      <c r="D253" s="91" t="inlineStr">
        <is>
          <t>Focused Fund</t>
        </is>
      </c>
      <c r="E253" s="91" t="inlineStr">
        <is>
          <t>Focused Fund</t>
        </is>
      </c>
      <c r="F253" s="92" t="n">
        <v>-1.9</v>
      </c>
      <c r="G253" s="93" t="n">
        <v>2.08</v>
      </c>
      <c r="H253" s="92" t="n">
        <v>-8.380000000000001</v>
      </c>
      <c r="I253" s="92" t="n">
        <v>-8.81</v>
      </c>
      <c r="J253" s="92" t="n">
        <v>-0.6974320573732595</v>
      </c>
      <c r="K253" s="93" t="n">
        <v>23.98</v>
      </c>
      <c r="L253" s="78" t="n">
        <v>42.2</v>
      </c>
      <c r="M253" s="18" t="n">
        <v>0</v>
      </c>
      <c r="N253" s="19" t="n">
        <v>23.2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94" t="inlineStr">
        <is>
          <t>➡️ Neutral</t>
        </is>
      </c>
      <c r="S253" s="94" t="inlineStr">
        <is>
          <t>🔴 Not Qualified</t>
        </is>
      </c>
      <c r="T253" s="94" t="inlineStr">
        <is>
          <t>🔴 Avoid</t>
        </is>
      </c>
      <c r="U253" s="68" t="inlineStr">
        <is>
          <t>FULL</t>
        </is>
      </c>
    </row>
    <row r="254" ht="16" customHeight="1">
      <c r="A254" s="85" t="n">
        <v>250</v>
      </c>
      <c r="B254" s="86" t="inlineStr">
        <is>
          <t>Tata Focused Fund-Regular Plan-Growth</t>
        </is>
      </c>
      <c r="C254" s="86" t="inlineStr">
        <is>
          <t>Tata Mutual Fund</t>
        </is>
      </c>
      <c r="D254" s="86" t="inlineStr">
        <is>
          <t>Focused Fund</t>
        </is>
      </c>
      <c r="E254" s="86" t="inlineStr">
        <is>
          <t>Focused Fund</t>
        </is>
      </c>
      <c r="F254" s="87" t="n">
        <v>-2.78</v>
      </c>
      <c r="G254" s="88" t="n">
        <v>0.67</v>
      </c>
      <c r="H254" s="87" t="n">
        <v>-7.6</v>
      </c>
      <c r="I254" s="87" t="n">
        <v>-4.39</v>
      </c>
      <c r="J254" s="88" t="n">
        <v>0.4788534966437608</v>
      </c>
      <c r="K254" s="88" t="n">
        <v>37.45</v>
      </c>
      <c r="L254" s="78" t="n">
        <v>42</v>
      </c>
      <c r="M254" s="18" t="n">
        <v>0</v>
      </c>
      <c r="N254" s="19" t="n">
        <v>23.1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89" t="inlineStr">
        <is>
          <t>➡️ Neutral</t>
        </is>
      </c>
      <c r="S254" s="89" t="inlineStr">
        <is>
          <t>🔴 Not Qualified</t>
        </is>
      </c>
      <c r="T254" s="89" t="inlineStr">
        <is>
          <t>🔴 Avoid</t>
        </is>
      </c>
      <c r="U254" s="68" t="inlineStr">
        <is>
          <t>FULL</t>
        </is>
      </c>
    </row>
    <row r="255" ht="16" customHeight="1">
      <c r="A255" s="90" t="n">
        <v>251</v>
      </c>
      <c r="B255" s="91" t="inlineStr">
        <is>
          <t>Union ELSS Tax Saver Fund - Growth Option</t>
        </is>
      </c>
      <c r="C255" s="91" t="inlineStr">
        <is>
          <t>Union Mutual Fund</t>
        </is>
      </c>
      <c r="D255" s="91" t="inlineStr">
        <is>
          <t>Elss</t>
        </is>
      </c>
      <c r="E255" s="91" t="inlineStr">
        <is>
          <t>Elss</t>
        </is>
      </c>
      <c r="F255" s="92" t="n">
        <v>-3.55</v>
      </c>
      <c r="G255" s="93" t="n">
        <v>0.26</v>
      </c>
      <c r="H255" s="92" t="n">
        <v>-7.44</v>
      </c>
      <c r="I255" s="92" t="n">
        <v>-4.75</v>
      </c>
      <c r="J255" s="93" t="n">
        <v>1.178060863015173</v>
      </c>
      <c r="K255" s="93" t="n">
        <v>36.22</v>
      </c>
      <c r="L255" s="78" t="n">
        <v>41.9</v>
      </c>
      <c r="M255" s="18" t="n">
        <v>0</v>
      </c>
      <c r="N255" s="19" t="n">
        <v>23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94" t="inlineStr">
        <is>
          <t>➡️ Neutral</t>
        </is>
      </c>
      <c r="S255" s="94" t="inlineStr">
        <is>
          <t>🔴 Not Qualified</t>
        </is>
      </c>
      <c r="T255" s="94" t="inlineStr">
        <is>
          <t>🔴 Avoid</t>
        </is>
      </c>
      <c r="U255" s="68" t="inlineStr">
        <is>
          <t>FULL</t>
        </is>
      </c>
    </row>
    <row r="256" ht="16" customHeight="1">
      <c r="A256" s="85" t="n">
        <v>252</v>
      </c>
      <c r="B256" s="86" t="inlineStr">
        <is>
          <t>HDFC ELSS Tax saver - Growth Plan</t>
        </is>
      </c>
      <c r="C256" s="86" t="inlineStr">
        <is>
          <t>HDFC Mutual Fund</t>
        </is>
      </c>
      <c r="D256" s="86" t="inlineStr">
        <is>
          <t>Elss</t>
        </is>
      </c>
      <c r="E256" s="86" t="inlineStr">
        <is>
          <t>Elss</t>
        </is>
      </c>
      <c r="F256" s="87" t="n">
        <v>-1.85</v>
      </c>
      <c r="G256" s="87" t="n">
        <v>-1.38</v>
      </c>
      <c r="H256" s="87" t="n">
        <v>-10.38</v>
      </c>
      <c r="I256" s="87" t="n">
        <v>-6.81</v>
      </c>
      <c r="J256" s="88" t="n">
        <v>1.474134635383817</v>
      </c>
      <c r="K256" s="88" t="n">
        <v>51.37</v>
      </c>
      <c r="L256" s="78" t="n">
        <v>41.5</v>
      </c>
      <c r="M256" s="18" t="n">
        <v>0</v>
      </c>
      <c r="N256" s="19" t="n">
        <v>22.9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89" t="inlineStr">
        <is>
          <t>➡️ Neutral</t>
        </is>
      </c>
      <c r="S256" s="89" t="inlineStr">
        <is>
          <t>🔴 Not Qualified</t>
        </is>
      </c>
      <c r="T256" s="89" t="inlineStr">
        <is>
          <t>🔴 Avoid</t>
        </is>
      </c>
      <c r="U256" s="68" t="inlineStr">
        <is>
          <t>FULL</t>
        </is>
      </c>
    </row>
    <row r="257" ht="16" customHeight="1">
      <c r="A257" s="90" t="n">
        <v>253</v>
      </c>
      <c r="B257" s="91" t="inlineStr">
        <is>
          <t>UTI ELSS Tax Saver Fund - Regular Plan - Growth Option</t>
        </is>
      </c>
      <c r="C257" s="91" t="inlineStr">
        <is>
          <t>UTI Mutual Fund</t>
        </is>
      </c>
      <c r="D257" s="91" t="inlineStr">
        <is>
          <t>Elss</t>
        </is>
      </c>
      <c r="E257" s="91" t="inlineStr">
        <is>
          <t>Elss</t>
        </is>
      </c>
      <c r="F257" s="92" t="n">
        <v>-2.56</v>
      </c>
      <c r="G257" s="93" t="n">
        <v>0.31</v>
      </c>
      <c r="H257" s="92" t="n">
        <v>-8.75</v>
      </c>
      <c r="I257" s="92" t="n">
        <v>-7.25</v>
      </c>
      <c r="J257" s="92" t="n">
        <v>-0.8687738399246858</v>
      </c>
      <c r="K257" s="93" t="n">
        <v>30.63</v>
      </c>
      <c r="L257" s="78" t="n">
        <v>41.5</v>
      </c>
      <c r="M257" s="18" t="n">
        <v>0</v>
      </c>
      <c r="N257" s="19" t="n">
        <v>22.9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94" t="inlineStr">
        <is>
          <t>➡️ Neutral</t>
        </is>
      </c>
      <c r="S257" s="94" t="inlineStr">
        <is>
          <t>🔴 Not Qualified</t>
        </is>
      </c>
      <c r="T257" s="94" t="inlineStr">
        <is>
          <t>🔴 Avoid</t>
        </is>
      </c>
      <c r="U257" s="68" t="inlineStr">
        <is>
          <t>FULL</t>
        </is>
      </c>
    </row>
    <row r="258" ht="16" customHeight="1">
      <c r="A258" s="85" t="n">
        <v>254</v>
      </c>
      <c r="B258" s="86" t="inlineStr">
        <is>
          <t>Baroda BNP Paribas Banking and Financial Services Fund - Regular - Growth Option</t>
        </is>
      </c>
      <c r="C258" s="86" t="inlineStr">
        <is>
          <t>Baroda BNP Paribas Mutual Fund</t>
        </is>
      </c>
      <c r="D258" s="86" t="inlineStr">
        <is>
          <t>Sectoral/ Thematic</t>
        </is>
      </c>
      <c r="E258" s="86" t="inlineStr">
        <is>
          <t>Sectoral/ Thematic</t>
        </is>
      </c>
      <c r="F258" s="87" t="n">
        <v>-1.84</v>
      </c>
      <c r="G258" s="87" t="n">
        <v>-0.4</v>
      </c>
      <c r="H258" s="87" t="n">
        <v>-7.25</v>
      </c>
      <c r="I258" s="87" t="n">
        <v>-4.65</v>
      </c>
      <c r="J258" s="88" t="n">
        <v>6.957935656967518</v>
      </c>
      <c r="K258" s="88" t="n">
        <v>42.97</v>
      </c>
      <c r="L258" s="78" t="n">
        <v>41.4</v>
      </c>
      <c r="M258" s="18" t="n">
        <v>0</v>
      </c>
      <c r="N258" s="19" t="n">
        <v>22.8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89" t="inlineStr">
        <is>
          <t>➡️ Neutral</t>
        </is>
      </c>
      <c r="S258" s="89" t="inlineStr">
        <is>
          <t>🔴 Not Qualified</t>
        </is>
      </c>
      <c r="T258" s="89" t="inlineStr">
        <is>
          <t>🔴 Avoid</t>
        </is>
      </c>
      <c r="U258" s="68" t="inlineStr">
        <is>
          <t>FULL</t>
        </is>
      </c>
    </row>
    <row r="259" ht="16" customHeight="1">
      <c r="A259" s="90" t="n">
        <v>255</v>
      </c>
      <c r="B259" s="91" t="inlineStr">
        <is>
          <t>Canara Robeco Mid Cap Fund- Regular Plan- Growth Option</t>
        </is>
      </c>
      <c r="C259" s="91" t="inlineStr">
        <is>
          <t>Canara Robeco Mutual Fund</t>
        </is>
      </c>
      <c r="D259" s="91" t="inlineStr">
        <is>
          <t>Mid Cap Fund</t>
        </is>
      </c>
      <c r="E259" s="91" t="inlineStr">
        <is>
          <t>Mid Cap Fund</t>
        </is>
      </c>
      <c r="F259" s="92" t="n">
        <v>-3.8</v>
      </c>
      <c r="G259" s="93" t="n">
        <v>4.95</v>
      </c>
      <c r="H259" s="92" t="n">
        <v>-2.19</v>
      </c>
      <c r="I259" s="92" t="n">
        <v>-1.22</v>
      </c>
      <c r="J259" s="93" t="n">
        <v>5.247327757050435</v>
      </c>
      <c r="K259" s="93" t="n">
        <v>60.09</v>
      </c>
      <c r="L259" s="78" t="n">
        <v>41.3</v>
      </c>
      <c r="M259" s="18" t="n">
        <v>0</v>
      </c>
      <c r="N259" s="19" t="n">
        <v>22.7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94" t="inlineStr">
        <is>
          <t>➡️ Neutral</t>
        </is>
      </c>
      <c r="S259" s="94" t="inlineStr">
        <is>
          <t>🔴 Not Qualified</t>
        </is>
      </c>
      <c r="T259" s="94" t="inlineStr">
        <is>
          <t>🔴 Avoid</t>
        </is>
      </c>
      <c r="U259" s="68" t="inlineStr">
        <is>
          <t>FULL</t>
        </is>
      </c>
    </row>
    <row r="260" ht="16" customHeight="1">
      <c r="A260" s="85" t="n">
        <v>256</v>
      </c>
      <c r="B260" s="86" t="inlineStr">
        <is>
          <t>Kotak Multicap Fund-Regular Plan-Growth</t>
        </is>
      </c>
      <c r="C260" s="86" t="inlineStr">
        <is>
          <t>Kotak Mahindra Mutual Fund</t>
        </is>
      </c>
      <c r="D260" s="86" t="inlineStr">
        <is>
          <t>Multi Cap Fund</t>
        </is>
      </c>
      <c r="E260" s="86" t="inlineStr">
        <is>
          <t>Multi Cap Fund</t>
        </is>
      </c>
      <c r="F260" s="87" t="n">
        <v>-3.34</v>
      </c>
      <c r="G260" s="88" t="n">
        <v>1.48</v>
      </c>
      <c r="H260" s="87" t="n">
        <v>-4.8</v>
      </c>
      <c r="I260" s="88" t="n">
        <v>0.16</v>
      </c>
      <c r="J260" s="88" t="n">
        <v>2.859126964990333</v>
      </c>
      <c r="K260" s="88" t="n">
        <v>68.78</v>
      </c>
      <c r="L260" s="78" t="n">
        <v>41.1</v>
      </c>
      <c r="M260" s="18" t="n">
        <v>0</v>
      </c>
      <c r="N260" s="19" t="n">
        <v>22.6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89" t="inlineStr">
        <is>
          <t>➡️ Neutral</t>
        </is>
      </c>
      <c r="S260" s="89" t="inlineStr">
        <is>
          <t>🔴 Not Qualified</t>
        </is>
      </c>
      <c r="T260" s="89" t="inlineStr">
        <is>
          <t>🔴 Avoid</t>
        </is>
      </c>
      <c r="U260" s="68" t="inlineStr">
        <is>
          <t>FULL</t>
        </is>
      </c>
    </row>
    <row r="261" ht="16" customHeight="1">
      <c r="A261" s="90" t="n">
        <v>257</v>
      </c>
      <c r="B261" s="91" t="inlineStr">
        <is>
          <t>Sundaram Financial Services Opportunities Fund Regular Plan - Growth</t>
        </is>
      </c>
      <c r="C261" s="91" t="inlineStr">
        <is>
          <t>Sundaram Mutual Fund</t>
        </is>
      </c>
      <c r="D261" s="91" t="inlineStr">
        <is>
          <t>Sectoral/ Thematic</t>
        </is>
      </c>
      <c r="E261" s="91" t="inlineStr">
        <is>
          <t>Sectoral/ Thematic</t>
        </is>
      </c>
      <c r="F261" s="92" t="n">
        <v>-2.5</v>
      </c>
      <c r="G261" s="92" t="n">
        <v>-0.1</v>
      </c>
      <c r="H261" s="92" t="n">
        <v>-6.09</v>
      </c>
      <c r="I261" s="92" t="n">
        <v>-4.69</v>
      </c>
      <c r="J261" s="93" t="n">
        <v>3.9759587597056</v>
      </c>
      <c r="K261" s="93" t="n">
        <v>43.91</v>
      </c>
      <c r="L261" s="78" t="n">
        <v>41</v>
      </c>
      <c r="M261" s="18" t="n">
        <v>0</v>
      </c>
      <c r="N261" s="19" t="n">
        <v>22.6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94" t="inlineStr">
        <is>
          <t>➡️ Neutral</t>
        </is>
      </c>
      <c r="S261" s="94" t="inlineStr">
        <is>
          <t>🔴 Not Qualified</t>
        </is>
      </c>
      <c r="T261" s="94" t="inlineStr">
        <is>
          <t>🔴 Avoid</t>
        </is>
      </c>
      <c r="U261" s="68" t="inlineStr">
        <is>
          <t>FULL</t>
        </is>
      </c>
    </row>
    <row r="262" ht="16" customHeight="1">
      <c r="A262" s="85" t="n">
        <v>258</v>
      </c>
      <c r="B262" s="86" t="inlineStr">
        <is>
          <t>SBI ESG Exclusionary Strategy Fund - Regular Plan - Growth</t>
        </is>
      </c>
      <c r="C262" s="86" t="inlineStr">
        <is>
          <t>SBI Mutual Fund</t>
        </is>
      </c>
      <c r="D262" s="86" t="inlineStr">
        <is>
          <t>Sectoral/ Thematic</t>
        </is>
      </c>
      <c r="E262" s="86" t="inlineStr">
        <is>
          <t>Sectoral/ Thematic</t>
        </is>
      </c>
      <c r="F262" s="87" t="n">
        <v>-1.73</v>
      </c>
      <c r="G262" s="88" t="n">
        <v>1.18</v>
      </c>
      <c r="H262" s="87" t="n">
        <v>-8.31</v>
      </c>
      <c r="I262" s="87" t="n">
        <v>-5.65</v>
      </c>
      <c r="J262" s="88" t="n">
        <v>0.5584407198122809</v>
      </c>
      <c r="K262" s="88" t="n">
        <v>31.56</v>
      </c>
      <c r="L262" s="78" t="n">
        <v>40.8</v>
      </c>
      <c r="M262" s="18" t="n">
        <v>0</v>
      </c>
      <c r="N262" s="19" t="n">
        <v>22.4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89" t="inlineStr">
        <is>
          <t>➡️ Neutral</t>
        </is>
      </c>
      <c r="S262" s="89" t="inlineStr">
        <is>
          <t>🔴 Not Qualified</t>
        </is>
      </c>
      <c r="T262" s="89" t="inlineStr">
        <is>
          <t>🔴 Avoid</t>
        </is>
      </c>
      <c r="U262" s="68" t="inlineStr">
        <is>
          <t>FULL</t>
        </is>
      </c>
    </row>
    <row r="263" ht="16" customHeight="1">
      <c r="A263" s="90" t="n">
        <v>259</v>
      </c>
      <c r="B263" s="91" t="inlineStr">
        <is>
          <t>Sundaram Mid Cap Fund Regular Plan - Growth</t>
        </is>
      </c>
      <c r="C263" s="91" t="inlineStr">
        <is>
          <t>Sundaram Mutual Fund</t>
        </is>
      </c>
      <c r="D263" s="91" t="inlineStr">
        <is>
          <t>Mid Cap Fund</t>
        </is>
      </c>
      <c r="E263" s="91" t="inlineStr">
        <is>
          <t>Mid Cap Fund</t>
        </is>
      </c>
      <c r="F263" s="92" t="n">
        <v>-3.58</v>
      </c>
      <c r="G263" s="93" t="n">
        <v>3.72</v>
      </c>
      <c r="H263" s="92" t="n">
        <v>-2.25</v>
      </c>
      <c r="I263" s="93" t="n">
        <v>0.88</v>
      </c>
      <c r="J263" s="93" t="n">
        <v>6.686456497532989</v>
      </c>
      <c r="K263" s="93" t="n">
        <v>77.59</v>
      </c>
      <c r="L263" s="78" t="n">
        <v>40.7</v>
      </c>
      <c r="M263" s="18" t="n">
        <v>0</v>
      </c>
      <c r="N263" s="19" t="n">
        <v>22.4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94" t="inlineStr">
        <is>
          <t>➡️ Neutral</t>
        </is>
      </c>
      <c r="S263" s="94" t="inlineStr">
        <is>
          <t>🔴 Not Qualified</t>
        </is>
      </c>
      <c r="T263" s="94" t="inlineStr">
        <is>
          <t>🔴 Avoid</t>
        </is>
      </c>
      <c r="U263" s="68" t="inlineStr">
        <is>
          <t>FULL</t>
        </is>
      </c>
    </row>
    <row r="264" ht="16" customHeight="1">
      <c r="A264" s="85" t="n">
        <v>260</v>
      </c>
      <c r="B264" s="86" t="inlineStr">
        <is>
          <t>Samco Flexi Cap Fund - Regular Plan - Growth Option</t>
        </is>
      </c>
      <c r="C264" s="86" t="inlineStr">
        <is>
          <t>Samco Mutual Fund</t>
        </is>
      </c>
      <c r="D264" s="86" t="inlineStr">
        <is>
          <t>Flexi Cap Fund</t>
        </is>
      </c>
      <c r="E264" s="86" t="inlineStr">
        <is>
          <t>Flexi Cap Fund</t>
        </is>
      </c>
      <c r="F264" s="87" t="n">
        <v>-3.83</v>
      </c>
      <c r="G264" s="88" t="n">
        <v>2.36</v>
      </c>
      <c r="H264" s="87" t="n">
        <v>-2.75</v>
      </c>
      <c r="I264" s="87" t="n">
        <v>-12.96</v>
      </c>
      <c r="J264" s="87" t="n">
        <v>-11.49576281329803</v>
      </c>
      <c r="K264" s="87" t="n">
        <v>-1.65</v>
      </c>
      <c r="L264" s="78" t="n">
        <v>40.6</v>
      </c>
      <c r="M264" s="18" t="n">
        <v>0</v>
      </c>
      <c r="N264" s="19" t="n">
        <v>22.3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89" t="inlineStr">
        <is>
          <t>➡️ Neutral</t>
        </is>
      </c>
      <c r="S264" s="89" t="inlineStr">
        <is>
          <t>🔴 Not Qualified</t>
        </is>
      </c>
      <c r="T264" s="89" t="inlineStr">
        <is>
          <t>🔴 Avoid</t>
        </is>
      </c>
      <c r="U264" s="68" t="inlineStr">
        <is>
          <t>FULL</t>
        </is>
      </c>
    </row>
    <row r="265" ht="16" customHeight="1">
      <c r="A265" s="90" t="n">
        <v>261</v>
      </c>
      <c r="B265" s="91" t="inlineStr">
        <is>
          <t>ICICI Prudential ELSS Tax Saver Fund - Growth</t>
        </is>
      </c>
      <c r="C265" s="91" t="inlineStr">
        <is>
          <t>ICICI Prudential Mutual Fund</t>
        </is>
      </c>
      <c r="D265" s="91" t="inlineStr">
        <is>
          <t>Elss</t>
        </is>
      </c>
      <c r="E265" s="91" t="inlineStr">
        <is>
          <t>Elss</t>
        </is>
      </c>
      <c r="F265" s="92" t="n">
        <v>-3.08</v>
      </c>
      <c r="G265" s="92" t="n">
        <v>-0.76</v>
      </c>
      <c r="H265" s="92" t="n">
        <v>-8.42</v>
      </c>
      <c r="I265" s="92" t="n">
        <v>-4.88</v>
      </c>
      <c r="J265" s="93" t="n">
        <v>2.645019362850731</v>
      </c>
      <c r="K265" s="93" t="n">
        <v>39.33</v>
      </c>
      <c r="L265" s="78" t="n">
        <v>40.4</v>
      </c>
      <c r="M265" s="18" t="n">
        <v>0</v>
      </c>
      <c r="N265" s="19" t="n">
        <v>22.2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94" t="inlineStr">
        <is>
          <t>➡️ Neutral</t>
        </is>
      </c>
      <c r="S265" s="94" t="inlineStr">
        <is>
          <t>🔴 Not Qualified</t>
        </is>
      </c>
      <c r="T265" s="94" t="inlineStr">
        <is>
          <t>🔴 Avoid</t>
        </is>
      </c>
      <c r="U265" s="68" t="inlineStr">
        <is>
          <t>FULL</t>
        </is>
      </c>
    </row>
    <row r="266" ht="16" customHeight="1">
      <c r="A266" s="85" t="n">
        <v>262</v>
      </c>
      <c r="B266" s="86" t="inlineStr">
        <is>
          <t>Baroda BNP Paribas Large and Mid Cap Fund-Regular Plan-Growth Option</t>
        </is>
      </c>
      <c r="C266" s="86" t="inlineStr">
        <is>
          <t>Baroda BNP Paribas Mutual Fund</t>
        </is>
      </c>
      <c r="D266" s="86" t="inlineStr">
        <is>
          <t>Large &amp; Mid Cap Fund</t>
        </is>
      </c>
      <c r="E266" s="86" t="inlineStr">
        <is>
          <t>Large &amp; Mid Cap Fund</t>
        </is>
      </c>
      <c r="F266" s="87" t="n">
        <v>-2.95</v>
      </c>
      <c r="G266" s="88" t="n">
        <v>0.96</v>
      </c>
      <c r="H266" s="87" t="n">
        <v>-5.55</v>
      </c>
      <c r="I266" s="87" t="n">
        <v>-4.33</v>
      </c>
      <c r="J266" s="88" t="n">
        <v>1.498768465435085</v>
      </c>
      <c r="K266" s="88" t="n">
        <v>48.73</v>
      </c>
      <c r="L266" s="78" t="n">
        <v>40.3</v>
      </c>
      <c r="M266" s="18" t="n">
        <v>0</v>
      </c>
      <c r="N266" s="19" t="n">
        <v>22.2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89" t="inlineStr">
        <is>
          <t>➡️ Neutral</t>
        </is>
      </c>
      <c r="S266" s="89" t="inlineStr">
        <is>
          <t>🔴 Not Qualified</t>
        </is>
      </c>
      <c r="T266" s="89" t="inlineStr">
        <is>
          <t>🔴 Avoid</t>
        </is>
      </c>
      <c r="U266" s="68" t="inlineStr">
        <is>
          <t>FULL</t>
        </is>
      </c>
    </row>
    <row r="267" ht="16" customHeight="1">
      <c r="A267" s="90" t="n">
        <v>263</v>
      </c>
      <c r="B267" s="91" t="inlineStr">
        <is>
          <t>UTI - Flexi Cap Fund-Growth Option</t>
        </is>
      </c>
      <c r="C267" s="91" t="inlineStr">
        <is>
          <t>UTI Mutual Fund</t>
        </is>
      </c>
      <c r="D267" s="91" t="inlineStr">
        <is>
          <t>Flexi Cap Fund</t>
        </is>
      </c>
      <c r="E267" s="91" t="inlineStr">
        <is>
          <t>Flexi Cap Fund</t>
        </is>
      </c>
      <c r="F267" s="92" t="n">
        <v>-2.05</v>
      </c>
      <c r="G267" s="93" t="n">
        <v>3.7</v>
      </c>
      <c r="H267" s="92" t="n">
        <v>-10.03</v>
      </c>
      <c r="I267" s="92" t="n">
        <v>-10.1</v>
      </c>
      <c r="J267" s="93" t="n">
        <v>0.369318020996845</v>
      </c>
      <c r="K267" s="93" t="n">
        <v>21.24</v>
      </c>
      <c r="L267" s="78" t="n">
        <v>40.3</v>
      </c>
      <c r="M267" s="18" t="n">
        <v>0</v>
      </c>
      <c r="N267" s="19" t="n">
        <v>22.2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94" t="inlineStr">
        <is>
          <t>➡️ Neutral</t>
        </is>
      </c>
      <c r="S267" s="94" t="inlineStr">
        <is>
          <t>🔴 Not Qualified</t>
        </is>
      </c>
      <c r="T267" s="94" t="inlineStr">
        <is>
          <t>🔴 Avoid</t>
        </is>
      </c>
      <c r="U267" s="68" t="inlineStr">
        <is>
          <t>FULL</t>
        </is>
      </c>
    </row>
    <row r="268" ht="16" customHeight="1">
      <c r="A268" s="85" t="n">
        <v>264</v>
      </c>
      <c r="B268" s="86" t="inlineStr">
        <is>
          <t>Shriram Flexi Cap Fund - Regular Growth</t>
        </is>
      </c>
      <c r="C268" s="86" t="inlineStr">
        <is>
          <t>Shriram Mutual Fund</t>
        </is>
      </c>
      <c r="D268" s="86" t="inlineStr">
        <is>
          <t>Flexi Cap Fund</t>
        </is>
      </c>
      <c r="E268" s="86" t="inlineStr">
        <is>
          <t>Flexi Cap Fund</t>
        </is>
      </c>
      <c r="F268" s="87" t="n">
        <v>-2.05</v>
      </c>
      <c r="G268" s="88" t="n">
        <v>0.57</v>
      </c>
      <c r="H268" s="87" t="n">
        <v>-7.6</v>
      </c>
      <c r="I268" s="87" t="n">
        <v>-6.18</v>
      </c>
      <c r="J268" s="87" t="n">
        <v>-6.608351551115666</v>
      </c>
      <c r="K268" s="88" t="n">
        <v>24.31</v>
      </c>
      <c r="L268" s="78" t="n">
        <v>40.3</v>
      </c>
      <c r="M268" s="18" t="n">
        <v>0</v>
      </c>
      <c r="N268" s="19" t="n">
        <v>22.2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89" t="inlineStr">
        <is>
          <t>➡️ Neutral</t>
        </is>
      </c>
      <c r="S268" s="89" t="inlineStr">
        <is>
          <t>🔴 Not Qualified</t>
        </is>
      </c>
      <c r="T268" s="89" t="inlineStr">
        <is>
          <t>🔴 Avoid</t>
        </is>
      </c>
      <c r="U268" s="68" t="inlineStr">
        <is>
          <t>FULL</t>
        </is>
      </c>
    </row>
    <row r="269" ht="16" customHeight="1">
      <c r="A269" s="90" t="n">
        <v>265</v>
      </c>
      <c r="B269" s="91" t="inlineStr">
        <is>
          <t>Invesco India ELSS Tax Saver Fund - Regular Plan - Growth</t>
        </is>
      </c>
      <c r="C269" s="91" t="inlineStr">
        <is>
          <t>Invesco Mutual Fund</t>
        </is>
      </c>
      <c r="D269" s="91" t="inlineStr">
        <is>
          <t>Elss</t>
        </is>
      </c>
      <c r="E269" s="91" t="inlineStr">
        <is>
          <t>Elss</t>
        </is>
      </c>
      <c r="F269" s="92" t="n">
        <v>-2.68</v>
      </c>
      <c r="G269" s="93" t="n">
        <v>3.32</v>
      </c>
      <c r="H269" s="92" t="n">
        <v>-8.619999999999999</v>
      </c>
      <c r="I269" s="92" t="n">
        <v>-9.869999999999999</v>
      </c>
      <c r="J269" s="92" t="n">
        <v>-0.1801622922577573</v>
      </c>
      <c r="K269" s="93" t="n">
        <v>38.5</v>
      </c>
      <c r="L269" s="78" t="n">
        <v>40.2</v>
      </c>
      <c r="M269" s="18" t="n">
        <v>0</v>
      </c>
      <c r="N269" s="19" t="n">
        <v>22.1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94" t="inlineStr">
        <is>
          <t>➡️ Neutral</t>
        </is>
      </c>
      <c r="S269" s="94" t="inlineStr">
        <is>
          <t>🔴 Not Qualified</t>
        </is>
      </c>
      <c r="T269" s="94" t="inlineStr">
        <is>
          <t>🔴 Avoid</t>
        </is>
      </c>
      <c r="U269" s="68" t="inlineStr">
        <is>
          <t>FULL</t>
        </is>
      </c>
    </row>
    <row r="270" ht="16" customHeight="1">
      <c r="A270" s="85" t="n">
        <v>266</v>
      </c>
      <c r="B270" s="86" t="inlineStr">
        <is>
          <t>ITI Large Cap Fund - Regular Plan - Growth Option</t>
        </is>
      </c>
      <c r="C270" s="86" t="inlineStr">
        <is>
          <t>ITI Mutual Fund</t>
        </is>
      </c>
      <c r="D270" s="86" t="inlineStr">
        <is>
          <t>Large Cap Fund</t>
        </is>
      </c>
      <c r="E270" s="86" t="inlineStr">
        <is>
          <t>Large Cap Fund</t>
        </is>
      </c>
      <c r="F270" s="87" t="n">
        <v>-2.67</v>
      </c>
      <c r="G270" s="87" t="n">
        <v>-0.24</v>
      </c>
      <c r="H270" s="87" t="n">
        <v>-9.26</v>
      </c>
      <c r="I270" s="87" t="n">
        <v>-8.9</v>
      </c>
      <c r="J270" s="87" t="n">
        <v>-2.845483892924461</v>
      </c>
      <c r="K270" s="88" t="n">
        <v>29.42</v>
      </c>
      <c r="L270" s="78" t="n">
        <v>39.9</v>
      </c>
      <c r="M270" s="18" t="n">
        <v>0</v>
      </c>
      <c r="N270" s="19" t="n">
        <v>22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89" t="inlineStr">
        <is>
          <t>📉 Weak</t>
        </is>
      </c>
      <c r="S270" s="89" t="inlineStr">
        <is>
          <t>🔴 Not Qualified</t>
        </is>
      </c>
      <c r="T270" s="89" t="inlineStr">
        <is>
          <t>🔴 Avoid</t>
        </is>
      </c>
      <c r="U270" s="68" t="inlineStr">
        <is>
          <t>FULL</t>
        </is>
      </c>
    </row>
    <row r="271" ht="16" customHeight="1">
      <c r="A271" s="90" t="n">
        <v>267</v>
      </c>
      <c r="B271" s="91" t="inlineStr">
        <is>
          <t>SBI Multicap Fund- Regular Plan- Growth Option</t>
        </is>
      </c>
      <c r="C271" s="91" t="inlineStr">
        <is>
          <t>SBI Mutual Fund</t>
        </is>
      </c>
      <c r="D271" s="91" t="inlineStr">
        <is>
          <t>Multi Cap Fund</t>
        </is>
      </c>
      <c r="E271" s="91" t="inlineStr">
        <is>
          <t>Multi Cap Fund</t>
        </is>
      </c>
      <c r="F271" s="92" t="n">
        <v>-2.1</v>
      </c>
      <c r="G271" s="93" t="n">
        <v>2.65</v>
      </c>
      <c r="H271" s="92" t="n">
        <v>-4.89</v>
      </c>
      <c r="I271" s="92" t="n">
        <v>-4.69</v>
      </c>
      <c r="J271" s="93" t="n">
        <v>3.508453761033437</v>
      </c>
      <c r="K271" s="93" t="n">
        <v>45.7</v>
      </c>
      <c r="L271" s="78" t="n">
        <v>39.9</v>
      </c>
      <c r="M271" s="18" t="n">
        <v>0</v>
      </c>
      <c r="N271" s="19" t="n">
        <v>22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94" t="inlineStr">
        <is>
          <t>📉 Weak</t>
        </is>
      </c>
      <c r="S271" s="94" t="inlineStr">
        <is>
          <t>🔴 Not Qualified</t>
        </is>
      </c>
      <c r="T271" s="94" t="inlineStr">
        <is>
          <t>🔴 Avoid</t>
        </is>
      </c>
      <c r="U271" s="68" t="inlineStr">
        <is>
          <t>FULL</t>
        </is>
      </c>
    </row>
    <row r="272" ht="16" customHeight="1">
      <c r="A272" s="85" t="n">
        <v>268</v>
      </c>
      <c r="B272" s="86" t="inlineStr">
        <is>
          <t>BANDHAN SMALL CAP FUND - REGULAR PLAN GROWTH</t>
        </is>
      </c>
      <c r="C272" s="86" t="inlineStr">
        <is>
          <t>Bandhan Mutual Fund</t>
        </is>
      </c>
      <c r="D272" s="86" t="inlineStr">
        <is>
          <t>Small Cap Fund</t>
        </is>
      </c>
      <c r="E272" s="86" t="inlineStr">
        <is>
          <t>Small Cap Fund</t>
        </is>
      </c>
      <c r="F272" s="87" t="n">
        <v>-3.5</v>
      </c>
      <c r="G272" s="88" t="n">
        <v>8.43</v>
      </c>
      <c r="H272" s="88" t="n">
        <v>1.23</v>
      </c>
      <c r="I272" s="87" t="n">
        <v>-0.91</v>
      </c>
      <c r="J272" s="88" t="n">
        <v>9.215383531808374</v>
      </c>
      <c r="K272" s="88" t="n">
        <v>102.2</v>
      </c>
      <c r="L272" s="78" t="n">
        <v>39.6</v>
      </c>
      <c r="M272" s="18" t="n">
        <v>0</v>
      </c>
      <c r="N272" s="19" t="n">
        <v>21.8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89" t="inlineStr">
        <is>
          <t>📉 Weak</t>
        </is>
      </c>
      <c r="S272" s="89" t="inlineStr">
        <is>
          <t>🔴 Not Qualified</t>
        </is>
      </c>
      <c r="T272" s="89" t="inlineStr">
        <is>
          <t>🔴 Avoid</t>
        </is>
      </c>
      <c r="U272" s="68" t="inlineStr">
        <is>
          <t>FULL</t>
        </is>
      </c>
    </row>
    <row r="273" ht="16" customHeight="1">
      <c r="A273" s="90" t="n">
        <v>269</v>
      </c>
      <c r="B273" s="91" t="inlineStr">
        <is>
          <t>ICICI Prudential Quant Fund Growth</t>
        </is>
      </c>
      <c r="C273" s="91" t="inlineStr">
        <is>
          <t>ICICI Prudential Mutual Fund</t>
        </is>
      </c>
      <c r="D273" s="91" t="inlineStr">
        <is>
          <t>Sectoral/ Thematic</t>
        </is>
      </c>
      <c r="E273" s="91" t="inlineStr">
        <is>
          <t>Sectoral/ Thematic</t>
        </is>
      </c>
      <c r="F273" s="92" t="n">
        <v>-2.43</v>
      </c>
      <c r="G273" s="93" t="n">
        <v>0.18</v>
      </c>
      <c r="H273" s="92" t="n">
        <v>-6.83</v>
      </c>
      <c r="I273" s="92" t="n">
        <v>-5.2</v>
      </c>
      <c r="J273" s="93" t="n">
        <v>2.142057938931297</v>
      </c>
      <c r="K273" s="93" t="n">
        <v>43.39</v>
      </c>
      <c r="L273" s="78" t="n">
        <v>39.4</v>
      </c>
      <c r="M273" s="18" t="n">
        <v>0</v>
      </c>
      <c r="N273" s="19" t="n">
        <v>21.7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94" t="inlineStr">
        <is>
          <t>📉 Weak</t>
        </is>
      </c>
      <c r="S273" s="94" t="inlineStr">
        <is>
          <t>🔴 Not Qualified</t>
        </is>
      </c>
      <c r="T273" s="94" t="inlineStr">
        <is>
          <t>🔴 Avoid</t>
        </is>
      </c>
      <c r="U273" s="68" t="inlineStr">
        <is>
          <t>FULL</t>
        </is>
      </c>
    </row>
    <row r="274" ht="16" customHeight="1">
      <c r="A274" s="85" t="n">
        <v>270</v>
      </c>
      <c r="B274" s="86" t="inlineStr">
        <is>
          <t>DSP Large &amp; Mid Cap Fund - Regular Plan - Growth</t>
        </is>
      </c>
      <c r="C274" s="86" t="inlineStr">
        <is>
          <t>DSP Mutual Fund</t>
        </is>
      </c>
      <c r="D274" s="86" t="inlineStr">
        <is>
          <t>Large &amp; Mid Cap Fund</t>
        </is>
      </c>
      <c r="E274" s="86" t="inlineStr">
        <is>
          <t>Large &amp; Mid Cap Fund</t>
        </is>
      </c>
      <c r="F274" s="87" t="n">
        <v>-1.92</v>
      </c>
      <c r="G274" s="88" t="n">
        <v>0.32</v>
      </c>
      <c r="H274" s="87" t="n">
        <v>-6.65</v>
      </c>
      <c r="I274" s="87" t="n">
        <v>-4.34</v>
      </c>
      <c r="J274" s="88" t="n">
        <v>2.493902257646519</v>
      </c>
      <c r="K274" s="88" t="n">
        <v>56.53</v>
      </c>
      <c r="L274" s="78" t="n">
        <v>39.4</v>
      </c>
      <c r="M274" s="18" t="n">
        <v>0</v>
      </c>
      <c r="N274" s="19" t="n">
        <v>21.7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89" t="inlineStr">
        <is>
          <t>📉 Weak</t>
        </is>
      </c>
      <c r="S274" s="89" t="inlineStr">
        <is>
          <t>🔴 Not Qualified</t>
        </is>
      </c>
      <c r="T274" s="89" t="inlineStr">
        <is>
          <t>🔴 Avoid</t>
        </is>
      </c>
      <c r="U274" s="68" t="inlineStr">
        <is>
          <t>FULL</t>
        </is>
      </c>
    </row>
    <row r="275" ht="16" customHeight="1">
      <c r="A275" s="90" t="n">
        <v>271</v>
      </c>
      <c r="B275" s="91" t="inlineStr">
        <is>
          <t>UTI-Transportation and Logistics  Fund-Growth Option</t>
        </is>
      </c>
      <c r="C275" s="91" t="inlineStr">
        <is>
          <t>UTI Mutual Fund</t>
        </is>
      </c>
      <c r="D275" s="91" t="inlineStr">
        <is>
          <t>Sectoral/ Thematic</t>
        </is>
      </c>
      <c r="E275" s="91" t="inlineStr">
        <is>
          <t>Sectoral/ Thematic</t>
        </is>
      </c>
      <c r="F275" s="92" t="n">
        <v>-3.66</v>
      </c>
      <c r="G275" s="93" t="n">
        <v>1.65</v>
      </c>
      <c r="H275" s="92" t="n">
        <v>-8.93</v>
      </c>
      <c r="I275" s="93" t="n">
        <v>3.38</v>
      </c>
      <c r="J275" s="93" t="n">
        <v>0.06997551713501249</v>
      </c>
      <c r="K275" s="93" t="n">
        <v>59.25</v>
      </c>
      <c r="L275" s="78" t="n">
        <v>39.3</v>
      </c>
      <c r="M275" s="18" t="n">
        <v>0</v>
      </c>
      <c r="N275" s="19" t="n">
        <v>21.6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94" t="inlineStr">
        <is>
          <t>📉 Weak</t>
        </is>
      </c>
      <c r="S275" s="94" t="inlineStr">
        <is>
          <t>🔴 Not Qualified</t>
        </is>
      </c>
      <c r="T275" s="94" t="inlineStr">
        <is>
          <t>🔴 Avoid</t>
        </is>
      </c>
      <c r="U275" s="68" t="inlineStr">
        <is>
          <t>FULL</t>
        </is>
      </c>
    </row>
    <row r="276" ht="16" customHeight="1">
      <c r="A276" s="85" t="n">
        <v>272</v>
      </c>
      <c r="B276" s="86" t="inlineStr">
        <is>
          <t>Baroda BNP Paribas Business Cycle Fund - Regular Plan - Growth</t>
        </is>
      </c>
      <c r="C276" s="86" t="inlineStr">
        <is>
          <t>Baroda BNP Paribas Mutual Fund</t>
        </is>
      </c>
      <c r="D276" s="86" t="inlineStr">
        <is>
          <t>Sectoral/ Thematic</t>
        </is>
      </c>
      <c r="E276" s="86" t="inlineStr">
        <is>
          <t>Sectoral/ Thematic</t>
        </is>
      </c>
      <c r="F276" s="87" t="n">
        <v>-3.41</v>
      </c>
      <c r="G276" s="88" t="n">
        <v>1.75</v>
      </c>
      <c r="H276" s="87" t="n">
        <v>-5.64</v>
      </c>
      <c r="I276" s="87" t="n">
        <v>-3.35</v>
      </c>
      <c r="J276" s="88" t="n">
        <v>0</v>
      </c>
      <c r="K276" s="88" t="n">
        <v>44.69</v>
      </c>
      <c r="L276" s="78" t="n">
        <v>39.3</v>
      </c>
      <c r="M276" s="18" t="n">
        <v>0</v>
      </c>
      <c r="N276" s="19" t="n">
        <v>21.6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89" t="inlineStr">
        <is>
          <t>📉 Weak</t>
        </is>
      </c>
      <c r="S276" s="89" t="inlineStr">
        <is>
          <t>🔴 Not Qualified</t>
        </is>
      </c>
      <c r="T276" s="89" t="inlineStr">
        <is>
          <t>🔴 Avoid</t>
        </is>
      </c>
      <c r="U276" s="68" t="inlineStr">
        <is>
          <t>FULL</t>
        </is>
      </c>
    </row>
    <row r="277" ht="16" customHeight="1">
      <c r="A277" s="90" t="n">
        <v>273</v>
      </c>
      <c r="B277" s="91" t="inlineStr">
        <is>
          <t>Edelweiss Large Cap Fund -Plan B - Growth option</t>
        </is>
      </c>
      <c r="C277" s="91" t="inlineStr">
        <is>
          <t>Edelweiss Mutual Fund</t>
        </is>
      </c>
      <c r="D277" s="91" t="inlineStr">
        <is>
          <t>Large Cap Fund</t>
        </is>
      </c>
      <c r="E277" s="91" t="inlineStr">
        <is>
          <t>Large Cap Fund</t>
        </is>
      </c>
      <c r="F277" s="92" t="n">
        <v>-2.5</v>
      </c>
      <c r="G277" s="92" t="n">
        <v>-1.61</v>
      </c>
      <c r="H277" s="92" t="n">
        <v>-9.15</v>
      </c>
      <c r="I277" s="92" t="n">
        <v>-6.56</v>
      </c>
      <c r="J277" s="92" t="n">
        <v>-0.2152316232582496</v>
      </c>
      <c r="K277" s="93" t="n">
        <v>31.68</v>
      </c>
      <c r="L277" s="78" t="n">
        <v>39.3</v>
      </c>
      <c r="M277" s="18" t="n">
        <v>0</v>
      </c>
      <c r="N277" s="19" t="n">
        <v>21.6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94" t="inlineStr">
        <is>
          <t>📉 Weak</t>
        </is>
      </c>
      <c r="S277" s="94" t="inlineStr">
        <is>
          <t>🔴 Not Qualified</t>
        </is>
      </c>
      <c r="T277" s="94" t="inlineStr">
        <is>
          <t>🔴 Avoid</t>
        </is>
      </c>
      <c r="U277" s="68" t="inlineStr">
        <is>
          <t>FULL</t>
        </is>
      </c>
    </row>
    <row r="278" ht="16" customHeight="1">
      <c r="A278" s="85" t="n">
        <v>274</v>
      </c>
      <c r="B278" s="86" t="inlineStr">
        <is>
          <t>Edelweiss Large Cap Fund - Regular Plan - Growth Option</t>
        </is>
      </c>
      <c r="C278" s="86" t="inlineStr">
        <is>
          <t>Edelweiss Mutual Fund</t>
        </is>
      </c>
      <c r="D278" s="86" t="inlineStr">
        <is>
          <t>Large Cap Fund</t>
        </is>
      </c>
      <c r="E278" s="86" t="inlineStr">
        <is>
          <t>Large Cap Fund</t>
        </is>
      </c>
      <c r="F278" s="87" t="n">
        <v>-2.5</v>
      </c>
      <c r="G278" s="87" t="n">
        <v>-1.61</v>
      </c>
      <c r="H278" s="87" t="n">
        <v>-9.15</v>
      </c>
      <c r="I278" s="87" t="n">
        <v>-6.56</v>
      </c>
      <c r="J278" s="87" t="n">
        <v>-0.2102209642690922</v>
      </c>
      <c r="K278" s="88" t="n">
        <v>31.7</v>
      </c>
      <c r="L278" s="78" t="n">
        <v>39.3</v>
      </c>
      <c r="M278" s="18" t="n">
        <v>0</v>
      </c>
      <c r="N278" s="19" t="n">
        <v>21.6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89" t="inlineStr">
        <is>
          <t>📉 Weak</t>
        </is>
      </c>
      <c r="S278" s="89" t="inlineStr">
        <is>
          <t>🔴 Not Qualified</t>
        </is>
      </c>
      <c r="T278" s="89" t="inlineStr">
        <is>
          <t>🔴 Avoid</t>
        </is>
      </c>
      <c r="U278" s="68" t="inlineStr">
        <is>
          <t>FULL</t>
        </is>
      </c>
    </row>
    <row r="279" ht="16" customHeight="1">
      <c r="A279" s="90" t="n">
        <v>275</v>
      </c>
      <c r="B279" s="91" t="inlineStr">
        <is>
          <t>Franklin Build India Fund Growth Plan</t>
        </is>
      </c>
      <c r="C279" s="91" t="inlineStr">
        <is>
          <t>Franklin Templeton Mutual Fund</t>
        </is>
      </c>
      <c r="D279" s="91" t="inlineStr">
        <is>
          <t>Sectoral/ Thematic</t>
        </is>
      </c>
      <c r="E279" s="91" t="inlineStr">
        <is>
          <t>Sectoral/ Thematic</t>
        </is>
      </c>
      <c r="F279" s="92" t="n">
        <v>-4.29</v>
      </c>
      <c r="G279" s="92" t="n">
        <v>-0.38</v>
      </c>
      <c r="H279" s="92" t="n">
        <v>-1.25</v>
      </c>
      <c r="I279" s="92" t="n">
        <v>-1.74</v>
      </c>
      <c r="J279" s="93" t="n">
        <v>0.7273547751552867</v>
      </c>
      <c r="K279" s="93" t="n">
        <v>77.84999999999999</v>
      </c>
      <c r="L279" s="78" t="n">
        <v>39.2</v>
      </c>
      <c r="M279" s="18" t="n">
        <v>0</v>
      </c>
      <c r="N279" s="19" t="n">
        <v>21.6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94" t="inlineStr">
        <is>
          <t>📉 Weak</t>
        </is>
      </c>
      <c r="S279" s="94" t="inlineStr">
        <is>
          <t>🔴 Not Qualified</t>
        </is>
      </c>
      <c r="T279" s="94" t="inlineStr">
        <is>
          <t>🔴 Avoid</t>
        </is>
      </c>
      <c r="U279" s="68" t="inlineStr">
        <is>
          <t>FULL</t>
        </is>
      </c>
    </row>
    <row r="280" ht="16" customHeight="1">
      <c r="A280" s="85" t="n">
        <v>276</v>
      </c>
      <c r="B280" s="86" t="inlineStr">
        <is>
          <t>Kotak Large Cap Fund - Payout of Income Distribution cumcapital withdrawal option</t>
        </is>
      </c>
      <c r="C280" s="86" t="inlineStr">
        <is>
          <t>Kotak Mahindra Mutual Fund</t>
        </is>
      </c>
      <c r="D280" s="86" t="inlineStr">
        <is>
          <t>Large Cap Fund</t>
        </is>
      </c>
      <c r="E280" s="86" t="inlineStr">
        <is>
          <t>Large Cap Fund</t>
        </is>
      </c>
      <c r="F280" s="87" t="n">
        <v>-2.29</v>
      </c>
      <c r="G280" s="87" t="n">
        <v>-1.76</v>
      </c>
      <c r="H280" s="87" t="n">
        <v>-9.369999999999999</v>
      </c>
      <c r="I280" s="87" t="n">
        <v>-6.19</v>
      </c>
      <c r="J280" s="88" t="n">
        <v>0.6777035892257643</v>
      </c>
      <c r="K280" s="88" t="n">
        <v>35.16</v>
      </c>
      <c r="L280" s="78" t="n">
        <v>39.1</v>
      </c>
      <c r="M280" s="18" t="n">
        <v>0</v>
      </c>
      <c r="N280" s="19" t="n">
        <v>21.5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89" t="inlineStr">
        <is>
          <t>📉 Weak</t>
        </is>
      </c>
      <c r="S280" s="89" t="inlineStr">
        <is>
          <t>🔴 Not Qualified</t>
        </is>
      </c>
      <c r="T280" s="89" t="inlineStr">
        <is>
          <t>🔴 Avoid</t>
        </is>
      </c>
      <c r="U280" s="68" t="inlineStr">
        <is>
          <t>FULL</t>
        </is>
      </c>
    </row>
    <row r="281" ht="16" customHeight="1">
      <c r="A281" s="90" t="n">
        <v>277</v>
      </c>
      <c r="B281" s="91" t="inlineStr">
        <is>
          <t>Kotak Large Cap Fund - Growth</t>
        </is>
      </c>
      <c r="C281" s="91" t="inlineStr">
        <is>
          <t>Kotak Mahindra Mutual Fund</t>
        </is>
      </c>
      <c r="D281" s="91" t="inlineStr">
        <is>
          <t>Large Cap Fund</t>
        </is>
      </c>
      <c r="E281" s="91" t="inlineStr">
        <is>
          <t>Large Cap Fund</t>
        </is>
      </c>
      <c r="F281" s="92" t="n">
        <v>-2.29</v>
      </c>
      <c r="G281" s="92" t="n">
        <v>-1.76</v>
      </c>
      <c r="H281" s="92" t="n">
        <v>-9.369999999999999</v>
      </c>
      <c r="I281" s="92" t="n">
        <v>-6.19</v>
      </c>
      <c r="J281" s="93" t="n">
        <v>0.6777035892257643</v>
      </c>
      <c r="K281" s="93" t="n">
        <v>35.16</v>
      </c>
      <c r="L281" s="78" t="n">
        <v>39.1</v>
      </c>
      <c r="M281" s="18" t="n">
        <v>0</v>
      </c>
      <c r="N281" s="19" t="n">
        <v>21.5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94" t="inlineStr">
        <is>
          <t>📉 Weak</t>
        </is>
      </c>
      <c r="S281" s="94" t="inlineStr">
        <is>
          <t>🔴 Not Qualified</t>
        </is>
      </c>
      <c r="T281" s="94" t="inlineStr">
        <is>
          <t>🔴 Avoid</t>
        </is>
      </c>
      <c r="U281" s="68" t="inlineStr">
        <is>
          <t>FULL</t>
        </is>
      </c>
    </row>
    <row r="282" ht="16" customHeight="1">
      <c r="A282" s="85" t="n">
        <v>278</v>
      </c>
      <c r="B282" s="86" t="inlineStr">
        <is>
          <t>Taurus Banking &amp; Financial Services Fund - Regular Plan - Growth</t>
        </is>
      </c>
      <c r="C282" s="86" t="inlineStr">
        <is>
          <t>Taurus Mutual Fund</t>
        </is>
      </c>
      <c r="D282" s="86" t="inlineStr">
        <is>
          <t>Sectoral/ Thematic</t>
        </is>
      </c>
      <c r="E282" s="86" t="inlineStr">
        <is>
          <t>Sectoral/ Thematic</t>
        </is>
      </c>
      <c r="F282" s="87" t="n">
        <v>-1.97</v>
      </c>
      <c r="G282" s="87" t="n">
        <v>-0.04</v>
      </c>
      <c r="H282" s="87" t="n">
        <v>-6.96</v>
      </c>
      <c r="I282" s="87" t="n">
        <v>-6.57</v>
      </c>
      <c r="J282" s="88" t="n">
        <v>2.698588111034894</v>
      </c>
      <c r="K282" s="88" t="n">
        <v>27.55</v>
      </c>
      <c r="L282" s="78" t="n">
        <v>39</v>
      </c>
      <c r="M282" s="18" t="n">
        <v>0</v>
      </c>
      <c r="N282" s="19" t="n">
        <v>21.5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89" t="inlineStr">
        <is>
          <t>📉 Weak</t>
        </is>
      </c>
      <c r="S282" s="89" t="inlineStr">
        <is>
          <t>🔴 Not Qualified</t>
        </is>
      </c>
      <c r="T282" s="89" t="inlineStr">
        <is>
          <t>🔴 Avoid</t>
        </is>
      </c>
      <c r="U282" s="68" t="inlineStr">
        <is>
          <t>FULL</t>
        </is>
      </c>
    </row>
    <row r="283" ht="16" customHeight="1">
      <c r="A283" s="90" t="n">
        <v>279</v>
      </c>
      <c r="B283" s="91" t="inlineStr">
        <is>
          <t>Taurus Banking &amp; Financial Services Fund - Regular Plan - Payout of Income Distribution cum Capital Withdrawal option</t>
        </is>
      </c>
      <c r="C283" s="91" t="inlineStr">
        <is>
          <t>Taurus Mutual Fund</t>
        </is>
      </c>
      <c r="D283" s="91" t="inlineStr">
        <is>
          <t>Sectoral/ Thematic</t>
        </is>
      </c>
      <c r="E283" s="91" t="inlineStr">
        <is>
          <t>Sectoral/ Thematic</t>
        </is>
      </c>
      <c r="F283" s="92" t="n">
        <v>-1.96</v>
      </c>
      <c r="G283" s="92" t="n">
        <v>-0.04</v>
      </c>
      <c r="H283" s="92" t="n">
        <v>-6.97</v>
      </c>
      <c r="I283" s="92" t="n">
        <v>-6.59</v>
      </c>
      <c r="J283" s="93" t="n">
        <v>2.698588111034894</v>
      </c>
      <c r="K283" s="93" t="n">
        <v>27.52</v>
      </c>
      <c r="L283" s="78" t="n">
        <v>38.9</v>
      </c>
      <c r="M283" s="18" t="n">
        <v>0</v>
      </c>
      <c r="N283" s="19" t="n">
        <v>21.4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94" t="inlineStr">
        <is>
          <t>📉 Weak</t>
        </is>
      </c>
      <c r="S283" s="94" t="inlineStr">
        <is>
          <t>🔴 Not Qualified</t>
        </is>
      </c>
      <c r="T283" s="94" t="inlineStr">
        <is>
          <t>🔴 Avoid</t>
        </is>
      </c>
      <c r="U283" s="68" t="inlineStr">
        <is>
          <t>FULL</t>
        </is>
      </c>
    </row>
    <row r="284" ht="16" customHeight="1">
      <c r="A284" s="85" t="n">
        <v>280</v>
      </c>
      <c r="B284" s="86" t="inlineStr">
        <is>
          <t>Mirae Asset Banking and Financial Services Fund Regular Growth</t>
        </is>
      </c>
      <c r="C284" s="86" t="inlineStr">
        <is>
          <t>Mirae Asset Mutual Fund</t>
        </is>
      </c>
      <c r="D284" s="86" t="inlineStr">
        <is>
          <t>Sectoral/ Thematic</t>
        </is>
      </c>
      <c r="E284" s="86" t="inlineStr">
        <is>
          <t>Sectoral/ Thematic</t>
        </is>
      </c>
      <c r="F284" s="87" t="n">
        <v>-1.9</v>
      </c>
      <c r="G284" s="87" t="n">
        <v>-1.9</v>
      </c>
      <c r="H284" s="87" t="n">
        <v>-7.47</v>
      </c>
      <c r="I284" s="87" t="n">
        <v>-2.11</v>
      </c>
      <c r="J284" s="88" t="n">
        <v>7.093417164641824</v>
      </c>
      <c r="K284" s="88" t="n">
        <v>42.01</v>
      </c>
      <c r="L284" s="78" t="n">
        <v>38.9</v>
      </c>
      <c r="M284" s="18" t="n">
        <v>0</v>
      </c>
      <c r="N284" s="19" t="n">
        <v>21.4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89" t="inlineStr">
        <is>
          <t>📉 Weak</t>
        </is>
      </c>
      <c r="S284" s="89" t="inlineStr">
        <is>
          <t>🔴 Not Qualified</t>
        </is>
      </c>
      <c r="T284" s="89" t="inlineStr">
        <is>
          <t>🔴 Avoid</t>
        </is>
      </c>
      <c r="U284" s="68" t="inlineStr">
        <is>
          <t>FULL</t>
        </is>
      </c>
    </row>
    <row r="285" ht="16" customHeight="1">
      <c r="A285" s="90" t="n">
        <v>281</v>
      </c>
      <c r="B285" s="91" t="inlineStr">
        <is>
          <t>Axis Business Cycles Fund - Regular Plan - Growth</t>
        </is>
      </c>
      <c r="C285" s="91" t="inlineStr">
        <is>
          <t>Axis Mutual Fund</t>
        </is>
      </c>
      <c r="D285" s="91" t="inlineStr">
        <is>
          <t>Sectoral/ Thematic</t>
        </is>
      </c>
      <c r="E285" s="91" t="inlineStr">
        <is>
          <t>Sectoral/ Thematic</t>
        </is>
      </c>
      <c r="F285" s="92" t="n">
        <v>-3.9</v>
      </c>
      <c r="G285" s="93" t="n">
        <v>2.27</v>
      </c>
      <c r="H285" s="92" t="n">
        <v>-4.25</v>
      </c>
      <c r="I285" s="92" t="n">
        <v>-4.37</v>
      </c>
      <c r="J285" s="93" t="n">
        <v>1.192885125388132</v>
      </c>
      <c r="K285" s="93" t="n">
        <v>42.46</v>
      </c>
      <c r="L285" s="78" t="n">
        <v>38.4</v>
      </c>
      <c r="M285" s="18" t="n">
        <v>0</v>
      </c>
      <c r="N285" s="19" t="n">
        <v>21.1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94" t="inlineStr">
        <is>
          <t>📉 Weak</t>
        </is>
      </c>
      <c r="S285" s="94" t="inlineStr">
        <is>
          <t>🔴 Not Qualified</t>
        </is>
      </c>
      <c r="T285" s="94" t="inlineStr">
        <is>
          <t>🔴 Avoid</t>
        </is>
      </c>
      <c r="U285" s="68" t="inlineStr">
        <is>
          <t>FULL</t>
        </is>
      </c>
    </row>
    <row r="286" ht="16" customHeight="1">
      <c r="A286" s="85" t="n">
        <v>282</v>
      </c>
      <c r="B286" s="86" t="inlineStr">
        <is>
          <t>UTI Banking and Financial Services Fund - Regular Plan - Growth Option</t>
        </is>
      </c>
      <c r="C286" s="86" t="inlineStr">
        <is>
          <t>UTI Mutual Fund</t>
        </is>
      </c>
      <c r="D286" s="86" t="inlineStr">
        <is>
          <t>Sectoral/ Thematic</t>
        </is>
      </c>
      <c r="E286" s="86" t="inlineStr">
        <is>
          <t>Sectoral/ Thematic</t>
        </is>
      </c>
      <c r="F286" s="87" t="n">
        <v>-2.24</v>
      </c>
      <c r="G286" s="87" t="n">
        <v>-1.3</v>
      </c>
      <c r="H286" s="87" t="n">
        <v>-7.04</v>
      </c>
      <c r="I286" s="87" t="n">
        <v>-4.41</v>
      </c>
      <c r="J286" s="88" t="n">
        <v>6.597373325987732</v>
      </c>
      <c r="K286" s="88" t="n">
        <v>39.74</v>
      </c>
      <c r="L286" s="78" t="n">
        <v>38</v>
      </c>
      <c r="M286" s="18" t="n">
        <v>0</v>
      </c>
      <c r="N286" s="19" t="n">
        <v>20.9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89" t="inlineStr">
        <is>
          <t>📉 Weak</t>
        </is>
      </c>
      <c r="S286" s="89" t="inlineStr">
        <is>
          <t>🔴 Not Qualified</t>
        </is>
      </c>
      <c r="T286" s="89" t="inlineStr">
        <is>
          <t>🔴 Avoid</t>
        </is>
      </c>
      <c r="U286" s="68" t="inlineStr">
        <is>
          <t>FULL</t>
        </is>
      </c>
    </row>
    <row r="287" ht="16" customHeight="1">
      <c r="A287" s="90" t="n">
        <v>283</v>
      </c>
      <c r="B287" s="91" t="inlineStr">
        <is>
          <t>Mirae Asset Great Consumer Fund - Regular Plan - Growth option</t>
        </is>
      </c>
      <c r="C287" s="91" t="inlineStr">
        <is>
          <t>Mirae Asset Mutual Fund</t>
        </is>
      </c>
      <c r="D287" s="91" t="inlineStr">
        <is>
          <t>Sectoral/ Thematic</t>
        </is>
      </c>
      <c r="E287" s="91" t="inlineStr">
        <is>
          <t>Sectoral/ Thematic</t>
        </is>
      </c>
      <c r="F287" s="92" t="n">
        <v>-2.51</v>
      </c>
      <c r="G287" s="93" t="n">
        <v>3.22</v>
      </c>
      <c r="H287" s="92" t="n">
        <v>-9.630000000000001</v>
      </c>
      <c r="I287" s="92" t="n">
        <v>-6.53</v>
      </c>
      <c r="J287" s="92" t="n">
        <v>-1.354168866596295</v>
      </c>
      <c r="K287" s="93" t="n">
        <v>32.49</v>
      </c>
      <c r="L287" s="78" t="n">
        <v>37.5</v>
      </c>
      <c r="M287" s="18" t="n">
        <v>0</v>
      </c>
      <c r="N287" s="19" t="n">
        <v>20.6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94" t="inlineStr">
        <is>
          <t>📉 Weak</t>
        </is>
      </c>
      <c r="S287" s="94" t="inlineStr">
        <is>
          <t>🔴 Not Qualified</t>
        </is>
      </c>
      <c r="T287" s="94" t="inlineStr">
        <is>
          <t>🔴 Avoid</t>
        </is>
      </c>
      <c r="U287" s="68" t="inlineStr">
        <is>
          <t>FULL</t>
        </is>
      </c>
    </row>
    <row r="288" ht="16" customHeight="1">
      <c r="A288" s="85" t="n">
        <v>284</v>
      </c>
      <c r="B288" s="86" t="inlineStr">
        <is>
          <t>Mirae Asset Focused Fund Regular Plan Growth</t>
        </is>
      </c>
      <c r="C288" s="86" t="inlineStr">
        <is>
          <t>Mirae Asset Mutual Fund</t>
        </is>
      </c>
      <c r="D288" s="86" t="inlineStr">
        <is>
          <t>Focused Fund</t>
        </is>
      </c>
      <c r="E288" s="86" t="inlineStr">
        <is>
          <t>Focused Fund</t>
        </is>
      </c>
      <c r="F288" s="87" t="n">
        <v>-1.68</v>
      </c>
      <c r="G288" s="88" t="n">
        <v>3.03</v>
      </c>
      <c r="H288" s="87" t="n">
        <v>-12.29</v>
      </c>
      <c r="I288" s="87" t="n">
        <v>-11.88</v>
      </c>
      <c r="J288" s="87" t="n">
        <v>-0.05501513332447638</v>
      </c>
      <c r="K288" s="88" t="n">
        <v>17.99</v>
      </c>
      <c r="L288" s="78" t="n">
        <v>37.3</v>
      </c>
      <c r="M288" s="18" t="n">
        <v>0</v>
      </c>
      <c r="N288" s="19" t="n">
        <v>20.5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89" t="inlineStr">
        <is>
          <t>📉 Weak</t>
        </is>
      </c>
      <c r="S288" s="89" t="inlineStr">
        <is>
          <t>🔴 Not Qualified</t>
        </is>
      </c>
      <c r="T288" s="89" t="inlineStr">
        <is>
          <t>🔴 Avoid</t>
        </is>
      </c>
      <c r="U288" s="68" t="inlineStr">
        <is>
          <t>FULL</t>
        </is>
      </c>
    </row>
    <row r="289" ht="16" customHeight="1">
      <c r="A289" s="90" t="n">
        <v>285</v>
      </c>
      <c r="B289" s="91" t="inlineStr">
        <is>
          <t>Nippon India Large Cap  Fund- Growth Plan -Growth Option</t>
        </is>
      </c>
      <c r="C289" s="91" t="inlineStr">
        <is>
          <t>Nippon India Mutual Fund</t>
        </is>
      </c>
      <c r="D289" s="91" t="inlineStr">
        <is>
          <t>Large Cap Fund</t>
        </is>
      </c>
      <c r="E289" s="91" t="inlineStr">
        <is>
          <t>Large Cap Fund</t>
        </is>
      </c>
      <c r="F289" s="92" t="n">
        <v>-3.12</v>
      </c>
      <c r="G289" s="92" t="n">
        <v>-1.36</v>
      </c>
      <c r="H289" s="92" t="n">
        <v>-9</v>
      </c>
      <c r="I289" s="92" t="n">
        <v>-5.76</v>
      </c>
      <c r="J289" s="93" t="n">
        <v>1.370607179793493</v>
      </c>
      <c r="K289" s="93" t="n">
        <v>43.45</v>
      </c>
      <c r="L289" s="78" t="n">
        <v>37.3</v>
      </c>
      <c r="M289" s="18" t="n">
        <v>0</v>
      </c>
      <c r="N289" s="19" t="n">
        <v>20.5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94" t="inlineStr">
        <is>
          <t>📉 Weak</t>
        </is>
      </c>
      <c r="S289" s="94" t="inlineStr">
        <is>
          <t>🔴 Not Qualified</t>
        </is>
      </c>
      <c r="T289" s="94" t="inlineStr">
        <is>
          <t>🔴 Avoid</t>
        </is>
      </c>
      <c r="U289" s="68" t="inlineStr">
        <is>
          <t>FULL</t>
        </is>
      </c>
    </row>
    <row r="290" ht="16" customHeight="1">
      <c r="A290" s="85" t="n">
        <v>286</v>
      </c>
      <c r="B290" s="86" t="inlineStr">
        <is>
          <t>Nippon India Large Cap Fund- Growth Plan Bonus Option</t>
        </is>
      </c>
      <c r="C290" s="86" t="inlineStr">
        <is>
          <t>Nippon India Mutual Fund</t>
        </is>
      </c>
      <c r="D290" s="86" t="inlineStr">
        <is>
          <t>Large Cap Fund</t>
        </is>
      </c>
      <c r="E290" s="86" t="inlineStr">
        <is>
          <t>Large Cap Fund</t>
        </is>
      </c>
      <c r="F290" s="87" t="n">
        <v>-3.12</v>
      </c>
      <c r="G290" s="87" t="n">
        <v>-1.36</v>
      </c>
      <c r="H290" s="87" t="n">
        <v>-9</v>
      </c>
      <c r="I290" s="87" t="n">
        <v>-5.76</v>
      </c>
      <c r="J290" s="88" t="n">
        <v>1.370607179793493</v>
      </c>
      <c r="K290" s="88" t="n">
        <v>43.45</v>
      </c>
      <c r="L290" s="78" t="n">
        <v>37.3</v>
      </c>
      <c r="M290" s="18" t="n">
        <v>0</v>
      </c>
      <c r="N290" s="19" t="n">
        <v>20.5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89" t="inlineStr">
        <is>
          <t>📉 Weak</t>
        </is>
      </c>
      <c r="S290" s="89" t="inlineStr">
        <is>
          <t>🔴 Not Qualified</t>
        </is>
      </c>
      <c r="T290" s="89" t="inlineStr">
        <is>
          <t>🔴 Avoid</t>
        </is>
      </c>
      <c r="U290" s="68" t="inlineStr">
        <is>
          <t>FULL</t>
        </is>
      </c>
    </row>
    <row r="291" ht="16" customHeight="1">
      <c r="A291" s="90" t="n">
        <v>287</v>
      </c>
      <c r="B291" s="91" t="inlineStr">
        <is>
          <t>ICICI Prudential India Opportunities Fund - Cumulative Option</t>
        </is>
      </c>
      <c r="C291" s="91" t="inlineStr">
        <is>
          <t>ICICI Prudential Mutual Fund</t>
        </is>
      </c>
      <c r="D291" s="91" t="inlineStr">
        <is>
          <t>Sectoral/ Thematic</t>
        </is>
      </c>
      <c r="E291" s="91" t="inlineStr">
        <is>
          <t>Sectoral/ Thematic</t>
        </is>
      </c>
      <c r="F291" s="92" t="n">
        <v>-2.66</v>
      </c>
      <c r="G291" s="92" t="n">
        <v>-1.14</v>
      </c>
      <c r="H291" s="92" t="n">
        <v>-7.26</v>
      </c>
      <c r="I291" s="92" t="n">
        <v>-2.88</v>
      </c>
      <c r="J291" s="93" t="n">
        <v>4.880884817015163</v>
      </c>
      <c r="K291" s="93" t="n">
        <v>63.09</v>
      </c>
      <c r="L291" s="78" t="n">
        <v>37.1</v>
      </c>
      <c r="M291" s="18" t="n">
        <v>0</v>
      </c>
      <c r="N291" s="19" t="n">
        <v>20.4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94" t="inlineStr">
        <is>
          <t>📉 Weak</t>
        </is>
      </c>
      <c r="S291" s="94" t="inlineStr">
        <is>
          <t>🔴 Not Qualified</t>
        </is>
      </c>
      <c r="T291" s="94" t="inlineStr">
        <is>
          <t>🔴 Avoid</t>
        </is>
      </c>
      <c r="U291" s="68" t="inlineStr">
        <is>
          <t>FULL</t>
        </is>
      </c>
    </row>
    <row r="292" ht="16" customHeight="1">
      <c r="A292" s="85" t="n">
        <v>288</v>
      </c>
      <c r="B292" s="86" t="inlineStr">
        <is>
          <t>Edelweiss Large &amp; Mid Cap Fund - Regular Plan - Growth Option</t>
        </is>
      </c>
      <c r="C292" s="86" t="inlineStr">
        <is>
          <t>Edelweiss Mutual Fund</t>
        </is>
      </c>
      <c r="D292" s="86" t="inlineStr">
        <is>
          <t>Large &amp; Mid Cap Fund</t>
        </is>
      </c>
      <c r="E292" s="86" t="inlineStr">
        <is>
          <t>Large &amp; Mid Cap Fund</t>
        </is>
      </c>
      <c r="F292" s="87" t="n">
        <v>-3.83</v>
      </c>
      <c r="G292" s="88" t="n">
        <v>0.73</v>
      </c>
      <c r="H292" s="87" t="n">
        <v>-5.24</v>
      </c>
      <c r="I292" s="87" t="n">
        <v>-2.95</v>
      </c>
      <c r="J292" s="88" t="n">
        <v>3.619496235023267</v>
      </c>
      <c r="K292" s="88" t="n">
        <v>49.79</v>
      </c>
      <c r="L292" s="78" t="n">
        <v>36.9</v>
      </c>
      <c r="M292" s="18" t="n">
        <v>0</v>
      </c>
      <c r="N292" s="19" t="n">
        <v>20.3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89" t="inlineStr">
        <is>
          <t>📉 Weak</t>
        </is>
      </c>
      <c r="S292" s="89" t="inlineStr">
        <is>
          <t>🔴 Not Qualified</t>
        </is>
      </c>
      <c r="T292" s="89" t="inlineStr">
        <is>
          <t>🔴 Avoid</t>
        </is>
      </c>
      <c r="U292" s="68" t="inlineStr">
        <is>
          <t>FULL</t>
        </is>
      </c>
    </row>
    <row r="293" ht="16" customHeight="1">
      <c r="A293" s="90" t="n">
        <v>289</v>
      </c>
      <c r="B293" s="91" t="inlineStr">
        <is>
          <t>ICICI PRUDENTIAL HOUSING OPPORTUNITIES FUND - Growth</t>
        </is>
      </c>
      <c r="C293" s="91" t="inlineStr">
        <is>
          <t>ICICI Prudential Mutual Fund</t>
        </is>
      </c>
      <c r="D293" s="91" t="inlineStr">
        <is>
          <t>Sectoral/ Thematic</t>
        </is>
      </c>
      <c r="E293" s="91" t="inlineStr">
        <is>
          <t>Sectoral/ Thematic</t>
        </is>
      </c>
      <c r="F293" s="92" t="n">
        <v>-3.72</v>
      </c>
      <c r="G293" s="93" t="n">
        <v>0.79</v>
      </c>
      <c r="H293" s="92" t="n">
        <v>-4.66</v>
      </c>
      <c r="I293" s="92" t="n">
        <v>-3.83</v>
      </c>
      <c r="J293" s="93" t="n">
        <v>1.479061879778931</v>
      </c>
      <c r="K293" s="93" t="n">
        <v>45.31</v>
      </c>
      <c r="L293" s="78" t="n">
        <v>36.4</v>
      </c>
      <c r="M293" s="18" t="n">
        <v>0</v>
      </c>
      <c r="N293" s="19" t="n">
        <v>20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94" t="inlineStr">
        <is>
          <t>📉 Weak</t>
        </is>
      </c>
      <c r="S293" s="94" t="inlineStr">
        <is>
          <t>🔴 Not Qualified</t>
        </is>
      </c>
      <c r="T293" s="94" t="inlineStr">
        <is>
          <t>🔴 Avoid</t>
        </is>
      </c>
      <c r="U293" s="68" t="inlineStr">
        <is>
          <t>FULL</t>
        </is>
      </c>
    </row>
    <row r="294" ht="16" customHeight="1">
      <c r="A294" s="85" t="n">
        <v>290</v>
      </c>
      <c r="B294" s="86" t="inlineStr">
        <is>
          <t>DSP Midcap Fund - Regular Plan - Growth</t>
        </is>
      </c>
      <c r="C294" s="86" t="inlineStr">
        <is>
          <t>DSP Mutual Fund</t>
        </is>
      </c>
      <c r="D294" s="86" t="inlineStr">
        <is>
          <t>Mid Cap Fund</t>
        </is>
      </c>
      <c r="E294" s="86" t="inlineStr">
        <is>
          <t>Mid Cap Fund</t>
        </is>
      </c>
      <c r="F294" s="87" t="n">
        <v>-3.4</v>
      </c>
      <c r="G294" s="88" t="n">
        <v>3.25</v>
      </c>
      <c r="H294" s="87" t="n">
        <v>-2.6</v>
      </c>
      <c r="I294" s="87" t="n">
        <v>-0.9399999999999999</v>
      </c>
      <c r="J294" s="88" t="n">
        <v>3.25696102442683</v>
      </c>
      <c r="K294" s="88" t="n">
        <v>59.61</v>
      </c>
      <c r="L294" s="78" t="n">
        <v>36.3</v>
      </c>
      <c r="M294" s="18" t="n">
        <v>0</v>
      </c>
      <c r="N294" s="19" t="n">
        <v>20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89" t="inlineStr">
        <is>
          <t>📉 Weak</t>
        </is>
      </c>
      <c r="S294" s="89" t="inlineStr">
        <is>
          <t>🔴 Not Qualified</t>
        </is>
      </c>
      <c r="T294" s="89" t="inlineStr">
        <is>
          <t>🔴 Avoid</t>
        </is>
      </c>
      <c r="U294" s="68" t="inlineStr">
        <is>
          <t>FULL</t>
        </is>
      </c>
    </row>
    <row r="295" ht="16" customHeight="1">
      <c r="A295" s="90" t="n">
        <v>291</v>
      </c>
      <c r="B295" s="91" t="inlineStr">
        <is>
          <t>Nippon India Quant Fund -Growth Plan - Growth Option</t>
        </is>
      </c>
      <c r="C295" s="91" t="inlineStr">
        <is>
          <t>Nippon India Mutual Fund</t>
        </is>
      </c>
      <c r="D295" s="91" t="inlineStr">
        <is>
          <t>Sectoral/ Thematic</t>
        </is>
      </c>
      <c r="E295" s="91" t="inlineStr">
        <is>
          <t>Sectoral/ Thematic</t>
        </is>
      </c>
      <c r="F295" s="92" t="n">
        <v>-2.98</v>
      </c>
      <c r="G295" s="92" t="n">
        <v>-1.89</v>
      </c>
      <c r="H295" s="92" t="n">
        <v>-6.36</v>
      </c>
      <c r="I295" s="92" t="n">
        <v>-2.97</v>
      </c>
      <c r="J295" s="93" t="n">
        <v>2.941731090942912</v>
      </c>
      <c r="K295" s="93" t="n">
        <v>51.6</v>
      </c>
      <c r="L295" s="78" t="n">
        <v>36.2</v>
      </c>
      <c r="M295" s="18" t="n">
        <v>0</v>
      </c>
      <c r="N295" s="19" t="n">
        <v>19.9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94" t="inlineStr">
        <is>
          <t>📉 Weak</t>
        </is>
      </c>
      <c r="S295" s="94" t="inlineStr">
        <is>
          <t>🔴 Not Qualified</t>
        </is>
      </c>
      <c r="T295" s="94" t="inlineStr">
        <is>
          <t>🔴 Avoid</t>
        </is>
      </c>
      <c r="U295" s="68" t="inlineStr">
        <is>
          <t>FULL</t>
        </is>
      </c>
    </row>
    <row r="296" ht="16" customHeight="1">
      <c r="A296" s="85" t="n">
        <v>292</v>
      </c>
      <c r="B296" s="86" t="inlineStr">
        <is>
          <t>Nippon India Quant Fund -Growth Plan -Bonus Option</t>
        </is>
      </c>
      <c r="C296" s="86" t="inlineStr">
        <is>
          <t>Nippon India Mutual Fund</t>
        </is>
      </c>
      <c r="D296" s="86" t="inlineStr">
        <is>
          <t>Sectoral/ Thematic</t>
        </is>
      </c>
      <c r="E296" s="86" t="inlineStr">
        <is>
          <t>Sectoral/ Thematic</t>
        </is>
      </c>
      <c r="F296" s="87" t="n">
        <v>-2.98</v>
      </c>
      <c r="G296" s="87" t="n">
        <v>-1.89</v>
      </c>
      <c r="H296" s="87" t="n">
        <v>-6.36</v>
      </c>
      <c r="I296" s="87" t="n">
        <v>-2.97</v>
      </c>
      <c r="J296" s="88" t="n">
        <v>2.941731090942912</v>
      </c>
      <c r="K296" s="88" t="n">
        <v>51.6</v>
      </c>
      <c r="L296" s="78" t="n">
        <v>36.2</v>
      </c>
      <c r="M296" s="18" t="n">
        <v>0</v>
      </c>
      <c r="N296" s="19" t="n">
        <v>19.9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89" t="inlineStr">
        <is>
          <t>📉 Weak</t>
        </is>
      </c>
      <c r="S296" s="89" t="inlineStr">
        <is>
          <t>🔴 Not Qualified</t>
        </is>
      </c>
      <c r="T296" s="89" t="inlineStr">
        <is>
          <t>🔴 Avoid</t>
        </is>
      </c>
      <c r="U296" s="68" t="inlineStr">
        <is>
          <t>FULL</t>
        </is>
      </c>
    </row>
    <row r="297" ht="16" customHeight="1">
      <c r="A297" s="90" t="n">
        <v>293</v>
      </c>
      <c r="B297" s="91" t="inlineStr">
        <is>
          <t>NIPPON INDIA GROWTH MID CAP FUND - INSTITUTIONAL Plan - IDCW Option</t>
        </is>
      </c>
      <c r="C297" s="91" t="inlineStr">
        <is>
          <t>Nippon India Mutual Fund</t>
        </is>
      </c>
      <c r="D297" s="91" t="inlineStr">
        <is>
          <t>Mid Cap Fund</t>
        </is>
      </c>
      <c r="E297" s="91" t="inlineStr">
        <is>
          <t>Mid Cap Fund</t>
        </is>
      </c>
      <c r="F297" s="92" t="n">
        <v>-3.3</v>
      </c>
      <c r="G297" s="93" t="n">
        <v>4.43</v>
      </c>
      <c r="H297" s="92" t="n">
        <v>-4.79</v>
      </c>
      <c r="I297" s="92" t="n">
        <v>-4.33</v>
      </c>
      <c r="J297" s="93" t="n">
        <v>0.2247474429344587</v>
      </c>
      <c r="K297" s="93" t="n">
        <v>58.24</v>
      </c>
      <c r="L297" s="78" t="n">
        <v>36.2</v>
      </c>
      <c r="M297" s="18" t="n">
        <v>0</v>
      </c>
      <c r="N297" s="19" t="n">
        <v>19.9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94" t="inlineStr">
        <is>
          <t>📉 Weak</t>
        </is>
      </c>
      <c r="S297" s="94" t="inlineStr">
        <is>
          <t>🔴 Not Qualified</t>
        </is>
      </c>
      <c r="T297" s="94" t="inlineStr">
        <is>
          <t>🔴 Avoid</t>
        </is>
      </c>
      <c r="U297" s="68" t="inlineStr">
        <is>
          <t>FULL</t>
        </is>
      </c>
    </row>
    <row r="298" ht="16" customHeight="1">
      <c r="A298" s="85" t="n">
        <v>294</v>
      </c>
      <c r="B298" s="86" t="inlineStr">
        <is>
          <t>BANDHAN MULTI CAP FUND - GROWTH - REGULAR PLAN</t>
        </is>
      </c>
      <c r="C298" s="86" t="inlineStr">
        <is>
          <t>Bandhan Mutual Fund</t>
        </is>
      </c>
      <c r="D298" s="86" t="inlineStr">
        <is>
          <t>Multi Cap Fund</t>
        </is>
      </c>
      <c r="E298" s="86" t="inlineStr">
        <is>
          <t>Multi Cap Fund</t>
        </is>
      </c>
      <c r="F298" s="87" t="n">
        <v>-2.85</v>
      </c>
      <c r="G298" s="88" t="n">
        <v>2.19</v>
      </c>
      <c r="H298" s="87" t="n">
        <v>-4.86</v>
      </c>
      <c r="I298" s="87" t="n">
        <v>-3.15</v>
      </c>
      <c r="J298" s="88" t="n">
        <v>1.557865278864545</v>
      </c>
      <c r="K298" s="88" t="n">
        <v>45.95</v>
      </c>
      <c r="L298" s="78" t="n">
        <v>36.1</v>
      </c>
      <c r="M298" s="18" t="n">
        <v>0</v>
      </c>
      <c r="N298" s="19" t="n">
        <v>19.9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89" t="inlineStr">
        <is>
          <t>📉 Weak</t>
        </is>
      </c>
      <c r="S298" s="89" t="inlineStr">
        <is>
          <t>🔴 Not Qualified</t>
        </is>
      </c>
      <c r="T298" s="89" t="inlineStr">
        <is>
          <t>🔴 Avoid</t>
        </is>
      </c>
      <c r="U298" s="68" t="inlineStr">
        <is>
          <t>FULL</t>
        </is>
      </c>
    </row>
    <row r="299" ht="16" customHeight="1">
      <c r="A299" s="90" t="n">
        <v>295</v>
      </c>
      <c r="B299" s="91" t="inlineStr">
        <is>
          <t>Edelweiss Small Cap Fund - Regular Plan - Growth</t>
        </is>
      </c>
      <c r="C299" s="91" t="inlineStr">
        <is>
          <t>Edelweiss Mutual Fund</t>
        </is>
      </c>
      <c r="D299" s="91" t="inlineStr">
        <is>
          <t>Small Cap Fund</t>
        </is>
      </c>
      <c r="E299" s="91" t="inlineStr">
        <is>
          <t>Small Cap Fund</t>
        </is>
      </c>
      <c r="F299" s="92" t="n">
        <v>-3.32</v>
      </c>
      <c r="G299" s="93" t="n">
        <v>7.88</v>
      </c>
      <c r="H299" s="93" t="n">
        <v>1.02</v>
      </c>
      <c r="I299" s="92" t="n">
        <v>-0.8</v>
      </c>
      <c r="J299" s="93" t="n">
        <v>3.339247142603097</v>
      </c>
      <c r="K299" s="93" t="n">
        <v>57.84</v>
      </c>
      <c r="L299" s="78" t="n">
        <v>36.1</v>
      </c>
      <c r="M299" s="18" t="n">
        <v>0</v>
      </c>
      <c r="N299" s="19" t="n">
        <v>19.9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94" t="inlineStr">
        <is>
          <t>📉 Weak</t>
        </is>
      </c>
      <c r="S299" s="94" t="inlineStr">
        <is>
          <t>🔴 Not Qualified</t>
        </is>
      </c>
      <c r="T299" s="94" t="inlineStr">
        <is>
          <t>🔴 Avoid</t>
        </is>
      </c>
      <c r="U299" s="68" t="inlineStr">
        <is>
          <t>FULL</t>
        </is>
      </c>
    </row>
    <row r="300" ht="16" customHeight="1">
      <c r="A300" s="85" t="n">
        <v>296</v>
      </c>
      <c r="B300" s="86" t="inlineStr">
        <is>
          <t>Edelweiss Flexi Cap Fund - Regular Plan - Growth Option</t>
        </is>
      </c>
      <c r="C300" s="86" t="inlineStr">
        <is>
          <t>Edelweiss Mutual Fund</t>
        </is>
      </c>
      <c r="D300" s="86" t="inlineStr">
        <is>
          <t>Flexi Cap Fund</t>
        </is>
      </c>
      <c r="E300" s="86" t="inlineStr">
        <is>
          <t>Flexi Cap Fund</t>
        </is>
      </c>
      <c r="F300" s="87" t="n">
        <v>-3.73</v>
      </c>
      <c r="G300" s="87" t="n">
        <v>-0.17</v>
      </c>
      <c r="H300" s="87" t="n">
        <v>-6.95</v>
      </c>
      <c r="I300" s="87" t="n">
        <v>-2.97</v>
      </c>
      <c r="J300" s="88" t="n">
        <v>2.122475488993114</v>
      </c>
      <c r="K300" s="88" t="n">
        <v>48.4</v>
      </c>
      <c r="L300" s="78" t="n">
        <v>36.1</v>
      </c>
      <c r="M300" s="18" t="n">
        <v>0</v>
      </c>
      <c r="N300" s="19" t="n">
        <v>19.8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89" t="inlineStr">
        <is>
          <t>📉 Weak</t>
        </is>
      </c>
      <c r="S300" s="89" t="inlineStr">
        <is>
          <t>🔴 Not Qualified</t>
        </is>
      </c>
      <c r="T300" s="89" t="inlineStr">
        <is>
          <t>🔴 Avoid</t>
        </is>
      </c>
      <c r="U300" s="68" t="inlineStr">
        <is>
          <t>FULL</t>
        </is>
      </c>
    </row>
    <row r="301" ht="16" customHeight="1">
      <c r="A301" s="90" t="n">
        <v>297</v>
      </c>
      <c r="B301" s="91" t="inlineStr">
        <is>
          <t>JM Focused Fund (Regular) - Growth Option</t>
        </is>
      </c>
      <c r="C301" s="91" t="inlineStr">
        <is>
          <t>JM Financial Mutual Fund</t>
        </is>
      </c>
      <c r="D301" s="91" t="inlineStr">
        <is>
          <t>Focused Fund</t>
        </is>
      </c>
      <c r="E301" s="91" t="inlineStr">
        <is>
          <t>Focused Fund</t>
        </is>
      </c>
      <c r="F301" s="92" t="n">
        <v>-5.03</v>
      </c>
      <c r="G301" s="93" t="n">
        <v>3.06</v>
      </c>
      <c r="H301" s="92" t="n">
        <v>-8.58</v>
      </c>
      <c r="I301" s="92" t="n">
        <v>-6.34</v>
      </c>
      <c r="J301" s="92" t="n">
        <v>-1.735052027694028</v>
      </c>
      <c r="K301" s="93" t="n">
        <v>42.1</v>
      </c>
      <c r="L301" s="78" t="n">
        <v>35.8</v>
      </c>
      <c r="M301" s="18" t="n">
        <v>0</v>
      </c>
      <c r="N301" s="19" t="n">
        <v>19.7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94" t="inlineStr">
        <is>
          <t>📉 Weak</t>
        </is>
      </c>
      <c r="S301" s="94" t="inlineStr">
        <is>
          <t>🔴 Not Qualified</t>
        </is>
      </c>
      <c r="T301" s="94" t="inlineStr">
        <is>
          <t>🔴 Avoid</t>
        </is>
      </c>
      <c r="U301" s="68" t="inlineStr">
        <is>
          <t>FULL</t>
        </is>
      </c>
    </row>
    <row r="302" ht="16" customHeight="1">
      <c r="A302" s="85" t="n">
        <v>298</v>
      </c>
      <c r="B302" s="86" t="inlineStr">
        <is>
          <t>HDFC Infrastructure Fund - Growth Plan</t>
        </is>
      </c>
      <c r="C302" s="86" t="inlineStr">
        <is>
          <t>HDFC Mutual Fund</t>
        </is>
      </c>
      <c r="D302" s="86" t="inlineStr">
        <is>
          <t>Sectoral/ Thematic</t>
        </is>
      </c>
      <c r="E302" s="86" t="inlineStr">
        <is>
          <t>Sectoral/ Thematic</t>
        </is>
      </c>
      <c r="F302" s="87" t="n">
        <v>-3.67</v>
      </c>
      <c r="G302" s="88" t="n">
        <v>1.3</v>
      </c>
      <c r="H302" s="87" t="n">
        <v>-3.6</v>
      </c>
      <c r="I302" s="87" t="n">
        <v>-5.91</v>
      </c>
      <c r="J302" s="87" t="n">
        <v>-1.015152674765418</v>
      </c>
      <c r="K302" s="88" t="n">
        <v>72.23999999999999</v>
      </c>
      <c r="L302" s="78" t="n">
        <v>35.8</v>
      </c>
      <c r="M302" s="18" t="n">
        <v>0</v>
      </c>
      <c r="N302" s="19" t="n">
        <v>19.7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89" t="inlineStr">
        <is>
          <t>📉 Weak</t>
        </is>
      </c>
      <c r="S302" s="89" t="inlineStr">
        <is>
          <t>🔴 Not Qualified</t>
        </is>
      </c>
      <c r="T302" s="89" t="inlineStr">
        <is>
          <t>🔴 Avoid</t>
        </is>
      </c>
      <c r="U302" s="68" t="inlineStr">
        <is>
          <t>FULL</t>
        </is>
      </c>
    </row>
    <row r="303" ht="16" customHeight="1">
      <c r="A303" s="90" t="n">
        <v>299</v>
      </c>
      <c r="B303" s="91" t="inlineStr">
        <is>
          <t>Baroda BNP Paribas MULTI CAP FUND - Regular Plan - Growth Option</t>
        </is>
      </c>
      <c r="C303" s="91" t="inlineStr">
        <is>
          <t>Baroda BNP Paribas Mutual Fund</t>
        </is>
      </c>
      <c r="D303" s="91" t="inlineStr">
        <is>
          <t>Multi Cap Fund</t>
        </is>
      </c>
      <c r="E303" s="91" t="inlineStr">
        <is>
          <t>Multi Cap Fund</t>
        </is>
      </c>
      <c r="F303" s="92" t="n">
        <v>-3.59</v>
      </c>
      <c r="G303" s="93" t="n">
        <v>4.18</v>
      </c>
      <c r="H303" s="92" t="n">
        <v>-3.59</v>
      </c>
      <c r="I303" s="92" t="n">
        <v>-2.54</v>
      </c>
      <c r="J303" s="93" t="n">
        <v>1.921538449927263</v>
      </c>
      <c r="K303" s="93" t="n">
        <v>52.05</v>
      </c>
      <c r="L303" s="78" t="n">
        <v>35.5</v>
      </c>
      <c r="M303" s="18" t="n">
        <v>0</v>
      </c>
      <c r="N303" s="19" t="n">
        <v>19.5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94" t="inlineStr">
        <is>
          <t>📉 Weak</t>
        </is>
      </c>
      <c r="S303" s="94" t="inlineStr">
        <is>
          <t>🔴 Not Qualified</t>
        </is>
      </c>
      <c r="T303" s="94" t="inlineStr">
        <is>
          <t>🔴 Avoid</t>
        </is>
      </c>
      <c r="U303" s="68" t="inlineStr">
        <is>
          <t>FULL</t>
        </is>
      </c>
    </row>
    <row r="304" ht="16" customHeight="1">
      <c r="A304" s="85" t="n">
        <v>300</v>
      </c>
      <c r="B304" s="86" t="inlineStr">
        <is>
          <t>Axis ESG Integration Strategy Fund - Regular Plan - Growth Option</t>
        </is>
      </c>
      <c r="C304" s="86" t="inlineStr">
        <is>
          <t>Axis Mutual Fund</t>
        </is>
      </c>
      <c r="D304" s="86" t="inlineStr">
        <is>
          <t>Sectoral/ Thematic</t>
        </is>
      </c>
      <c r="E304" s="86" t="inlineStr">
        <is>
          <t>Sectoral/ Thematic</t>
        </is>
      </c>
      <c r="F304" s="87" t="n">
        <v>-2.49</v>
      </c>
      <c r="G304" s="88" t="n">
        <v>0.5</v>
      </c>
      <c r="H304" s="87" t="n">
        <v>-8.34</v>
      </c>
      <c r="I304" s="87" t="n">
        <v>-6.37</v>
      </c>
      <c r="J304" s="87" t="n">
        <v>-0.4962312271540203</v>
      </c>
      <c r="K304" s="88" t="n">
        <v>27.55</v>
      </c>
      <c r="L304" s="78" t="n">
        <v>35.4</v>
      </c>
      <c r="M304" s="18" t="n">
        <v>0</v>
      </c>
      <c r="N304" s="19" t="n">
        <v>19.5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89" t="inlineStr">
        <is>
          <t>📉 Weak</t>
        </is>
      </c>
      <c r="S304" s="89" t="inlineStr">
        <is>
          <t>🔴 Not Qualified</t>
        </is>
      </c>
      <c r="T304" s="89" t="inlineStr">
        <is>
          <t>🔴 Avoid</t>
        </is>
      </c>
      <c r="U304" s="68" t="inlineStr">
        <is>
          <t>FULL</t>
        </is>
      </c>
    </row>
    <row r="305" ht="16" customHeight="1">
      <c r="A305" s="90" t="n">
        <v>301</v>
      </c>
      <c r="B305" s="91" t="inlineStr">
        <is>
          <t>Tata Large &amp; Mid Cap Fund- Regular Plan - Growth Option</t>
        </is>
      </c>
      <c r="C305" s="91" t="inlineStr">
        <is>
          <t>Tata Mutual Fund</t>
        </is>
      </c>
      <c r="D305" s="91" t="inlineStr">
        <is>
          <t>Large &amp; Mid Cap Fund</t>
        </is>
      </c>
      <c r="E305" s="91" t="inlineStr">
        <is>
          <t>Large &amp; Mid Cap Fund</t>
        </is>
      </c>
      <c r="F305" s="92" t="n">
        <v>-1.78</v>
      </c>
      <c r="G305" s="93" t="n">
        <v>1.38</v>
      </c>
      <c r="H305" s="92" t="n">
        <v>-9.15</v>
      </c>
      <c r="I305" s="92" t="n">
        <v>-10.69</v>
      </c>
      <c r="J305" s="92" t="n">
        <v>-2.475644067750948</v>
      </c>
      <c r="K305" s="93" t="n">
        <v>25.53</v>
      </c>
      <c r="L305" s="78" t="n">
        <v>35.3</v>
      </c>
      <c r="M305" s="18" t="n">
        <v>0</v>
      </c>
      <c r="N305" s="19" t="n">
        <v>19.4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94" t="inlineStr">
        <is>
          <t>📉 Weak</t>
        </is>
      </c>
      <c r="S305" s="94" t="inlineStr">
        <is>
          <t>🔴 Not Qualified</t>
        </is>
      </c>
      <c r="T305" s="94" t="inlineStr">
        <is>
          <t>🔴 Avoid</t>
        </is>
      </c>
      <c r="U305" s="68" t="inlineStr">
        <is>
          <t>FULL</t>
        </is>
      </c>
    </row>
    <row r="306" ht="16" customHeight="1">
      <c r="A306" s="85" t="n">
        <v>302</v>
      </c>
      <c r="B306" s="86" t="inlineStr">
        <is>
          <t>Nippon India Flexi Cap Fund - Regular Plan - Growth Plan - Growth Option</t>
        </is>
      </c>
      <c r="C306" s="86" t="inlineStr">
        <is>
          <t>Nippon India Mutual Fund</t>
        </is>
      </c>
      <c r="D306" s="86" t="inlineStr">
        <is>
          <t>Flexi Cap Fund</t>
        </is>
      </c>
      <c r="E306" s="86" t="inlineStr">
        <is>
          <t>Flexi Cap Fund</t>
        </is>
      </c>
      <c r="F306" s="87" t="n">
        <v>-3.33</v>
      </c>
      <c r="G306" s="88" t="n">
        <v>1.4</v>
      </c>
      <c r="H306" s="87" t="n">
        <v>-7.12</v>
      </c>
      <c r="I306" s="87" t="n">
        <v>-5.75</v>
      </c>
      <c r="J306" s="87" t="n">
        <v>-1.035359850095952</v>
      </c>
      <c r="K306" s="88" t="n">
        <v>38.98</v>
      </c>
      <c r="L306" s="78" t="n">
        <v>35.3</v>
      </c>
      <c r="M306" s="18" t="n">
        <v>0</v>
      </c>
      <c r="N306" s="19" t="n">
        <v>19.4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89" t="inlineStr">
        <is>
          <t>📉 Weak</t>
        </is>
      </c>
      <c r="S306" s="89" t="inlineStr">
        <is>
          <t>🔴 Not Qualified</t>
        </is>
      </c>
      <c r="T306" s="89" t="inlineStr">
        <is>
          <t>🔴 Avoid</t>
        </is>
      </c>
      <c r="U306" s="68" t="inlineStr">
        <is>
          <t>FULL</t>
        </is>
      </c>
    </row>
    <row r="307" ht="16" customHeight="1">
      <c r="A307" s="90" t="n">
        <v>303</v>
      </c>
      <c r="B307" s="91" t="inlineStr">
        <is>
          <t>ICICI Prudential Business Cycle Fund Growth</t>
        </is>
      </c>
      <c r="C307" s="91" t="inlineStr">
        <is>
          <t>ICICI Prudential Mutual Fund</t>
        </is>
      </c>
      <c r="D307" s="91" t="inlineStr">
        <is>
          <t>Sectoral/ Thematic</t>
        </is>
      </c>
      <c r="E307" s="91" t="inlineStr">
        <is>
          <t>Sectoral/ Thematic</t>
        </is>
      </c>
      <c r="F307" s="92" t="n">
        <v>-3.03</v>
      </c>
      <c r="G307" s="92" t="n">
        <v>-0.5</v>
      </c>
      <c r="H307" s="92" t="n">
        <v>-8</v>
      </c>
      <c r="I307" s="92" t="n">
        <v>-2.27</v>
      </c>
      <c r="J307" s="93" t="n">
        <v>3.985575922817297</v>
      </c>
      <c r="K307" s="93" t="n">
        <v>60.43</v>
      </c>
      <c r="L307" s="78" t="n">
        <v>34.8</v>
      </c>
      <c r="M307" s="18" t="n">
        <v>0</v>
      </c>
      <c r="N307" s="19" t="n">
        <v>19.2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94" t="inlineStr">
        <is>
          <t>📉 Weak</t>
        </is>
      </c>
      <c r="S307" s="94" t="inlineStr">
        <is>
          <t>🔴 Not Qualified</t>
        </is>
      </c>
      <c r="T307" s="94" t="inlineStr">
        <is>
          <t>🔴 Avoid</t>
        </is>
      </c>
      <c r="U307" s="68" t="inlineStr">
        <is>
          <t>FULL</t>
        </is>
      </c>
    </row>
    <row r="308" ht="16" customHeight="1">
      <c r="A308" s="85" t="n">
        <v>304</v>
      </c>
      <c r="B308" s="86" t="inlineStr">
        <is>
          <t>Aditya Birla Sun Life ESG Integration Strategy Fund-Regular Plan-Growth</t>
        </is>
      </c>
      <c r="C308" s="86" t="inlineStr">
        <is>
          <t>Aditya Birla Sun Life Mutual Fund</t>
        </is>
      </c>
      <c r="D308" s="86" t="inlineStr">
        <is>
          <t>Sectoral/ Thematic</t>
        </is>
      </c>
      <c r="E308" s="86" t="inlineStr">
        <is>
          <t>Sectoral/ Thematic</t>
        </is>
      </c>
      <c r="F308" s="87" t="n">
        <v>-2.54</v>
      </c>
      <c r="G308" s="88" t="n">
        <v>0.12</v>
      </c>
      <c r="H308" s="87" t="n">
        <v>-8.550000000000001</v>
      </c>
      <c r="I308" s="87" t="n">
        <v>-5.38</v>
      </c>
      <c r="J308" s="88" t="n">
        <v>2.391405889361642</v>
      </c>
      <c r="K308" s="88" t="n">
        <v>36.43</v>
      </c>
      <c r="L308" s="78" t="n">
        <v>34.7</v>
      </c>
      <c r="M308" s="18" t="n">
        <v>0</v>
      </c>
      <c r="N308" s="19" t="n">
        <v>19.1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89" t="inlineStr">
        <is>
          <t>📉 Weak</t>
        </is>
      </c>
      <c r="S308" s="89" t="inlineStr">
        <is>
          <t>🔴 Not Qualified</t>
        </is>
      </c>
      <c r="T308" s="89" t="inlineStr">
        <is>
          <t>🔴 Avoid</t>
        </is>
      </c>
      <c r="U308" s="68" t="inlineStr">
        <is>
          <t>FULL</t>
        </is>
      </c>
    </row>
    <row r="309" ht="16" customHeight="1">
      <c r="A309" s="90" t="n">
        <v>305</v>
      </c>
      <c r="B309" s="91" t="inlineStr">
        <is>
          <t>Aditya Birla Sun Life Banking and Financial Services Fund - Regular Plan - Growth</t>
        </is>
      </c>
      <c r="C309" s="91" t="inlineStr">
        <is>
          <t>Aditya Birla Sun Life Mutual Fund</t>
        </is>
      </c>
      <c r="D309" s="91" t="inlineStr">
        <is>
          <t>Sectoral/ Thematic</t>
        </is>
      </c>
      <c r="E309" s="91" t="inlineStr">
        <is>
          <t>Sectoral/ Thematic</t>
        </is>
      </c>
      <c r="F309" s="92" t="n">
        <v>-3.01</v>
      </c>
      <c r="G309" s="93" t="n">
        <v>0.07000000000000001</v>
      </c>
      <c r="H309" s="92" t="n">
        <v>-7.58</v>
      </c>
      <c r="I309" s="92" t="n">
        <v>-3.83</v>
      </c>
      <c r="J309" s="93" t="n">
        <v>5.56988206870368</v>
      </c>
      <c r="K309" s="93" t="n">
        <v>36.64</v>
      </c>
      <c r="L309" s="78" t="n">
        <v>34.4</v>
      </c>
      <c r="M309" s="18" t="n">
        <v>0</v>
      </c>
      <c r="N309" s="19" t="n">
        <v>18.9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94" t="inlineStr">
        <is>
          <t>📉 Weak</t>
        </is>
      </c>
      <c r="S309" s="94" t="inlineStr">
        <is>
          <t>🔴 Not Qualified</t>
        </is>
      </c>
      <c r="T309" s="94" t="inlineStr">
        <is>
          <t>🔴 Avoid</t>
        </is>
      </c>
      <c r="U309" s="68" t="inlineStr">
        <is>
          <t>FULL</t>
        </is>
      </c>
    </row>
    <row r="310" ht="16" customHeight="1">
      <c r="A310" s="85" t="n">
        <v>306</v>
      </c>
      <c r="B310" s="86" t="inlineStr">
        <is>
          <t>Kotak Large &amp; Midcap Fund - Growth-Regular</t>
        </is>
      </c>
      <c r="C310" s="86" t="inlineStr">
        <is>
          <t>Kotak Mahindra Mutual Fund</t>
        </is>
      </c>
      <c r="D310" s="86" t="inlineStr">
        <is>
          <t>Large &amp; Mid Cap Fund</t>
        </is>
      </c>
      <c r="E310" s="86" t="inlineStr">
        <is>
          <t>Large &amp; Mid Cap Fund</t>
        </is>
      </c>
      <c r="F310" s="87" t="n">
        <v>-3.03</v>
      </c>
      <c r="G310" s="87" t="n">
        <v>-1.65</v>
      </c>
      <c r="H310" s="87" t="n">
        <v>-5.87</v>
      </c>
      <c r="I310" s="87" t="n">
        <v>-3.01</v>
      </c>
      <c r="J310" s="88" t="n">
        <v>1.252160470777119</v>
      </c>
      <c r="K310" s="88" t="n">
        <v>48.95</v>
      </c>
      <c r="L310" s="78" t="n">
        <v>34.4</v>
      </c>
      <c r="M310" s="18" t="n">
        <v>0</v>
      </c>
      <c r="N310" s="19" t="n">
        <v>18.9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89" t="inlineStr">
        <is>
          <t>📉 Weak</t>
        </is>
      </c>
      <c r="S310" s="89" t="inlineStr">
        <is>
          <t>🔴 Not Qualified</t>
        </is>
      </c>
      <c r="T310" s="89" t="inlineStr">
        <is>
          <t>🔴 Avoid</t>
        </is>
      </c>
      <c r="U310" s="68" t="inlineStr">
        <is>
          <t>FULL</t>
        </is>
      </c>
    </row>
    <row r="311" ht="16" customHeight="1">
      <c r="A311" s="90" t="n">
        <v>307</v>
      </c>
      <c r="B311" s="91" t="inlineStr">
        <is>
          <t>HDFC Large and Mid Cap Fund - Growth Option</t>
        </is>
      </c>
      <c r="C311" s="91" t="inlineStr">
        <is>
          <t>HDFC Mutual Fund</t>
        </is>
      </c>
      <c r="D311" s="91" t="inlineStr">
        <is>
          <t>Large &amp; Mid Cap Fund</t>
        </is>
      </c>
      <c r="E311" s="91" t="inlineStr">
        <is>
          <t>Large &amp; Mid Cap Fund</t>
        </is>
      </c>
      <c r="F311" s="92" t="n">
        <v>-3.17</v>
      </c>
      <c r="G311" s="93" t="n">
        <v>1.06</v>
      </c>
      <c r="H311" s="92" t="n">
        <v>-6.25</v>
      </c>
      <c r="I311" s="92" t="n">
        <v>-4.54</v>
      </c>
      <c r="J311" s="93" t="n">
        <v>1.410058672697745</v>
      </c>
      <c r="K311" s="93" t="n">
        <v>52.41</v>
      </c>
      <c r="L311" s="78" t="n">
        <v>33.7</v>
      </c>
      <c r="M311" s="18" t="n">
        <v>0</v>
      </c>
      <c r="N311" s="19" t="n">
        <v>18.5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94" t="inlineStr">
        <is>
          <t>📉 Weak</t>
        </is>
      </c>
      <c r="S311" s="94" t="inlineStr">
        <is>
          <t>🔴 Not Qualified</t>
        </is>
      </c>
      <c r="T311" s="94" t="inlineStr">
        <is>
          <t>🔴 Avoid</t>
        </is>
      </c>
      <c r="U311" s="68" t="inlineStr">
        <is>
          <t>FULL</t>
        </is>
      </c>
    </row>
    <row r="312" ht="16" customHeight="1">
      <c r="A312" s="85" t="n">
        <v>308</v>
      </c>
      <c r="B312" s="86" t="inlineStr">
        <is>
          <t>Bandhan Value Fund - Regular Plan - Growth</t>
        </is>
      </c>
      <c r="C312" s="86" t="inlineStr">
        <is>
          <t>Bandhan Mutual Fund</t>
        </is>
      </c>
      <c r="D312" s="86" t="inlineStr">
        <is>
          <t>Value Fund</t>
        </is>
      </c>
      <c r="E312" s="86" t="inlineStr">
        <is>
          <t>Value Fund</t>
        </is>
      </c>
      <c r="F312" s="87" t="n">
        <v>-3.08</v>
      </c>
      <c r="G312" s="87" t="n">
        <v>-0.77</v>
      </c>
      <c r="H312" s="87" t="n">
        <v>-7.44</v>
      </c>
      <c r="I312" s="87" t="n">
        <v>-5.16</v>
      </c>
      <c r="J312" s="87" t="n">
        <v>-0.7981855004657756</v>
      </c>
      <c r="K312" s="88" t="n">
        <v>40.16</v>
      </c>
      <c r="L312" s="78" t="n">
        <v>33.5</v>
      </c>
      <c r="M312" s="18" t="n">
        <v>0</v>
      </c>
      <c r="N312" s="19" t="n">
        <v>18.4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89" t="inlineStr">
        <is>
          <t>📉 Weak</t>
        </is>
      </c>
      <c r="S312" s="89" t="inlineStr">
        <is>
          <t>🔴 Not Qualified</t>
        </is>
      </c>
      <c r="T312" s="89" t="inlineStr">
        <is>
          <t>🔴 Avoid</t>
        </is>
      </c>
      <c r="U312" s="68" t="inlineStr">
        <is>
          <t>FULL</t>
        </is>
      </c>
    </row>
    <row r="313" ht="16" customHeight="1">
      <c r="A313" s="90" t="n">
        <v>309</v>
      </c>
      <c r="B313" s="91" t="inlineStr">
        <is>
          <t>Invesco India PSU Equity Fund - Regular Plan - Growth</t>
        </is>
      </c>
      <c r="C313" s="91" t="inlineStr">
        <is>
          <t>Invesco Mutual Fund</t>
        </is>
      </c>
      <c r="D313" s="91" t="inlineStr">
        <is>
          <t>Sectoral/ Thematic</t>
        </is>
      </c>
      <c r="E313" s="91" t="inlineStr">
        <is>
          <t>Sectoral/ Thematic</t>
        </is>
      </c>
      <c r="F313" s="92" t="n">
        <v>-5.21</v>
      </c>
      <c r="G313" s="92" t="n">
        <v>-4.82</v>
      </c>
      <c r="H313" s="92" t="n">
        <v>-1.39</v>
      </c>
      <c r="I313" s="92" t="n">
        <v>-3.24</v>
      </c>
      <c r="J313" s="92" t="n">
        <v>-0.4711097218501048</v>
      </c>
      <c r="K313" s="93" t="n">
        <v>88.54000000000001</v>
      </c>
      <c r="L313" s="78" t="n">
        <v>33.4</v>
      </c>
      <c r="M313" s="18" t="n">
        <v>0</v>
      </c>
      <c r="N313" s="19" t="n">
        <v>18.4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94" t="inlineStr">
        <is>
          <t>📉 Weak</t>
        </is>
      </c>
      <c r="S313" s="94" t="inlineStr">
        <is>
          <t>🔴 Not Qualified</t>
        </is>
      </c>
      <c r="T313" s="94" t="inlineStr">
        <is>
          <t>🔴 Avoid</t>
        </is>
      </c>
      <c r="U313" s="68" t="inlineStr">
        <is>
          <t>FULL</t>
        </is>
      </c>
    </row>
    <row r="314" ht="16" customHeight="1">
      <c r="A314" s="85" t="n">
        <v>310</v>
      </c>
      <c r="B314" s="86" t="inlineStr">
        <is>
          <t>CANARA ROBECO FLEXICAP FUND - REGULAR PLAN - GROWTH OPTION</t>
        </is>
      </c>
      <c r="C314" s="86" t="inlineStr">
        <is>
          <t>Canara Robeco Mutual Fund</t>
        </is>
      </c>
      <c r="D314" s="86" t="inlineStr">
        <is>
          <t>Flexi Cap Fund</t>
        </is>
      </c>
      <c r="E314" s="86" t="inlineStr">
        <is>
          <t>Flexi Cap Fund</t>
        </is>
      </c>
      <c r="F314" s="87" t="n">
        <v>-3.02</v>
      </c>
      <c r="G314" s="88" t="n">
        <v>0.71</v>
      </c>
      <c r="H314" s="87" t="n">
        <v>-7.96</v>
      </c>
      <c r="I314" s="87" t="n">
        <v>-5.23</v>
      </c>
      <c r="J314" s="88" t="n">
        <v>1.597244057110125</v>
      </c>
      <c r="K314" s="88" t="n">
        <v>36.47</v>
      </c>
      <c r="L314" s="78" t="n">
        <v>33.4</v>
      </c>
      <c r="M314" s="18" t="n">
        <v>0</v>
      </c>
      <c r="N314" s="19" t="n">
        <v>18.4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89" t="inlineStr">
        <is>
          <t>📉 Weak</t>
        </is>
      </c>
      <c r="S314" s="89" t="inlineStr">
        <is>
          <t>🔴 Not Qualified</t>
        </is>
      </c>
      <c r="T314" s="89" t="inlineStr">
        <is>
          <t>🔴 Avoid</t>
        </is>
      </c>
      <c r="U314" s="68" t="inlineStr">
        <is>
          <t>FULL</t>
        </is>
      </c>
    </row>
    <row r="315" ht="16" customHeight="1">
      <c r="A315" s="90" t="n">
        <v>311</v>
      </c>
      <c r="B315" s="91" t="inlineStr">
        <is>
          <t>Tata Housing Opportunities Fund - Regular Plan - Growth</t>
        </is>
      </c>
      <c r="C315" s="91" t="inlineStr">
        <is>
          <t>Tata Mutual Fund</t>
        </is>
      </c>
      <c r="D315" s="91" t="inlineStr">
        <is>
          <t>Sectoral/ Thematic</t>
        </is>
      </c>
      <c r="E315" s="91" t="inlineStr">
        <is>
          <t>Sectoral/ Thematic</t>
        </is>
      </c>
      <c r="F315" s="92" t="n">
        <v>-3.28</v>
      </c>
      <c r="G315" s="93" t="n">
        <v>2.34</v>
      </c>
      <c r="H315" s="92" t="n">
        <v>-6.62</v>
      </c>
      <c r="I315" s="92" t="n">
        <v>-9.039999999999999</v>
      </c>
      <c r="J315" s="92" t="n">
        <v>-4.805462341581801</v>
      </c>
      <c r="K315" s="93" t="n">
        <v>25.88</v>
      </c>
      <c r="L315" s="78" t="n">
        <v>33.3</v>
      </c>
      <c r="M315" s="18" t="n">
        <v>0</v>
      </c>
      <c r="N315" s="19" t="n">
        <v>18.3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94" t="inlineStr">
        <is>
          <t>📉 Weak</t>
        </is>
      </c>
      <c r="S315" s="94" t="inlineStr">
        <is>
          <t>🔴 Not Qualified</t>
        </is>
      </c>
      <c r="T315" s="94" t="inlineStr">
        <is>
          <t>🔴 Avoid</t>
        </is>
      </c>
      <c r="U315" s="68" t="inlineStr">
        <is>
          <t>FULL</t>
        </is>
      </c>
    </row>
    <row r="316" ht="16" customHeight="1">
      <c r="A316" s="85" t="n">
        <v>312</v>
      </c>
      <c r="B316" s="86" t="inlineStr">
        <is>
          <t>UTI Large &amp; Mid Cap Fund - Regular Plan - Growth Option</t>
        </is>
      </c>
      <c r="C316" s="86" t="inlineStr">
        <is>
          <t>UTI Mutual Fund</t>
        </is>
      </c>
      <c r="D316" s="86" t="inlineStr">
        <is>
          <t>Large &amp; Mid Cap Fund</t>
        </is>
      </c>
      <c r="E316" s="86" t="inlineStr">
        <is>
          <t>Large &amp; Mid Cap Fund</t>
        </is>
      </c>
      <c r="F316" s="87" t="n">
        <v>-3.77</v>
      </c>
      <c r="G316" s="87" t="n">
        <v>-0.42</v>
      </c>
      <c r="H316" s="87" t="n">
        <v>-6.11</v>
      </c>
      <c r="I316" s="87" t="n">
        <v>-2.4</v>
      </c>
      <c r="J316" s="88" t="n">
        <v>4.091306073081813</v>
      </c>
      <c r="K316" s="88" t="n">
        <v>61.84</v>
      </c>
      <c r="L316" s="78" t="n">
        <v>33.1</v>
      </c>
      <c r="M316" s="18" t="n">
        <v>0</v>
      </c>
      <c r="N316" s="19" t="n">
        <v>18.2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89" t="inlineStr">
        <is>
          <t>📉 Weak</t>
        </is>
      </c>
      <c r="S316" s="89" t="inlineStr">
        <is>
          <t>🔴 Not Qualified</t>
        </is>
      </c>
      <c r="T316" s="89" t="inlineStr">
        <is>
          <t>🔴 Avoid</t>
        </is>
      </c>
      <c r="U316" s="68" t="inlineStr">
        <is>
          <t>FULL</t>
        </is>
      </c>
    </row>
    <row r="317" ht="16" customHeight="1">
      <c r="A317" s="90" t="n">
        <v>313</v>
      </c>
      <c r="B317" s="91" t="inlineStr">
        <is>
          <t>ICICI Prudential Large Cap Fund (erstwhile Bluechip Fund)  - Growth</t>
        </is>
      </c>
      <c r="C317" s="91" t="inlineStr">
        <is>
          <t>ICICI Prudential Mutual Fund</t>
        </is>
      </c>
      <c r="D317" s="91" t="inlineStr">
        <is>
          <t>Large Cap Fund</t>
        </is>
      </c>
      <c r="E317" s="91" t="inlineStr">
        <is>
          <t>Large Cap Fund</t>
        </is>
      </c>
      <c r="F317" s="92" t="n">
        <v>-2.69</v>
      </c>
      <c r="G317" s="92" t="n">
        <v>-1.83</v>
      </c>
      <c r="H317" s="92" t="n">
        <v>-10.22</v>
      </c>
      <c r="I317" s="92" t="n">
        <v>-5.73</v>
      </c>
      <c r="J317" s="93" t="n">
        <v>1.419919148064785</v>
      </c>
      <c r="K317" s="93" t="n">
        <v>43.36</v>
      </c>
      <c r="L317" s="78" t="n">
        <v>32.6</v>
      </c>
      <c r="M317" s="18" t="n">
        <v>0</v>
      </c>
      <c r="N317" s="19" t="n">
        <v>17.9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94" t="inlineStr">
        <is>
          <t>📉 Weak</t>
        </is>
      </c>
      <c r="S317" s="94" t="inlineStr">
        <is>
          <t>🔴 Not Qualified</t>
        </is>
      </c>
      <c r="T317" s="94" t="inlineStr">
        <is>
          <t>🔴 Avoid</t>
        </is>
      </c>
      <c r="U317" s="68" t="inlineStr">
        <is>
          <t>FULL</t>
        </is>
      </c>
    </row>
    <row r="318" ht="16" customHeight="1">
      <c r="A318" s="85" t="n">
        <v>314</v>
      </c>
      <c r="B318" s="86" t="inlineStr">
        <is>
          <t>Edelweiss Focused Fund - Regular Plan - Growth</t>
        </is>
      </c>
      <c r="C318" s="86" t="inlineStr">
        <is>
          <t>Edelweiss Mutual Fund</t>
        </is>
      </c>
      <c r="D318" s="86" t="inlineStr">
        <is>
          <t>Focused Fund</t>
        </is>
      </c>
      <c r="E318" s="86" t="inlineStr">
        <is>
          <t>Focused Fund</t>
        </is>
      </c>
      <c r="F318" s="87" t="n">
        <v>-4.1</v>
      </c>
      <c r="G318" s="87" t="n">
        <v>-0.78</v>
      </c>
      <c r="H318" s="87" t="n">
        <v>-6.6</v>
      </c>
      <c r="I318" s="87" t="n">
        <v>-5.02</v>
      </c>
      <c r="J318" s="88" t="n">
        <v>1.148405820358822</v>
      </c>
      <c r="K318" s="88" t="n">
        <v>41.53</v>
      </c>
      <c r="L318" s="78" t="n">
        <v>32.5</v>
      </c>
      <c r="M318" s="18" t="n">
        <v>0</v>
      </c>
      <c r="N318" s="19" t="n">
        <v>17.9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89" t="inlineStr">
        <is>
          <t>📉 Weak</t>
        </is>
      </c>
      <c r="S318" s="89" t="inlineStr">
        <is>
          <t>🔴 Not Qualified</t>
        </is>
      </c>
      <c r="T318" s="89" t="inlineStr">
        <is>
          <t>🔴 Avoid</t>
        </is>
      </c>
      <c r="U318" s="68" t="inlineStr">
        <is>
          <t>FULL</t>
        </is>
      </c>
    </row>
    <row r="319" ht="16" customHeight="1">
      <c r="A319" s="90" t="n">
        <v>315</v>
      </c>
      <c r="B319" s="91" t="inlineStr">
        <is>
          <t>HSBC Business Cycles Fund - Regular Growth</t>
        </is>
      </c>
      <c r="C319" s="91" t="inlineStr">
        <is>
          <t>HSBC Mutual Fund</t>
        </is>
      </c>
      <c r="D319" s="91" t="inlineStr">
        <is>
          <t>Sectoral/ Thematic</t>
        </is>
      </c>
      <c r="E319" s="91" t="inlineStr">
        <is>
          <t>Sectoral/ Thematic</t>
        </is>
      </c>
      <c r="F319" s="92" t="n">
        <v>-4.4</v>
      </c>
      <c r="G319" s="93" t="n">
        <v>3.53</v>
      </c>
      <c r="H319" s="92" t="n">
        <v>-4.56</v>
      </c>
      <c r="I319" s="92" t="n">
        <v>-9.59</v>
      </c>
      <c r="J319" s="93" t="n">
        <v>0.493780902103591</v>
      </c>
      <c r="K319" s="93" t="n">
        <v>50.25</v>
      </c>
      <c r="L319" s="78" t="n">
        <v>32.3</v>
      </c>
      <c r="M319" s="18" t="n">
        <v>0</v>
      </c>
      <c r="N319" s="19" t="n">
        <v>17.7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94" t="inlineStr">
        <is>
          <t>📉 Weak</t>
        </is>
      </c>
      <c r="S319" s="94" t="inlineStr">
        <is>
          <t>🔴 Not Qualified</t>
        </is>
      </c>
      <c r="T319" s="94" t="inlineStr">
        <is>
          <t>🔴 Avoid</t>
        </is>
      </c>
      <c r="U319" s="68" t="inlineStr">
        <is>
          <t>FULL</t>
        </is>
      </c>
    </row>
    <row r="320" ht="16" customHeight="1">
      <c r="A320" s="85" t="n">
        <v>316</v>
      </c>
      <c r="B320" s="86" t="inlineStr">
        <is>
          <t>Invesco India ESG Integration Strategy Fund - Regular Plan - Growth</t>
        </is>
      </c>
      <c r="C320" s="86" t="inlineStr">
        <is>
          <t>Invesco Mutual Fund</t>
        </is>
      </c>
      <c r="D320" s="86" t="inlineStr">
        <is>
          <t>Sectoral/ Thematic</t>
        </is>
      </c>
      <c r="E320" s="86" t="inlineStr">
        <is>
          <t>Sectoral/ Thematic</t>
        </is>
      </c>
      <c r="F320" s="87" t="n">
        <v>-1.94</v>
      </c>
      <c r="G320" s="88" t="n">
        <v>2.56</v>
      </c>
      <c r="H320" s="87" t="n">
        <v>-11.39</v>
      </c>
      <c r="I320" s="87" t="n">
        <v>-12.78</v>
      </c>
      <c r="J320" s="87" t="n">
        <v>-2.286131997551133</v>
      </c>
      <c r="K320" s="88" t="n">
        <v>27.18</v>
      </c>
      <c r="L320" s="78" t="n">
        <v>32.3</v>
      </c>
      <c r="M320" s="18" t="n">
        <v>0</v>
      </c>
      <c r="N320" s="19" t="n">
        <v>17.7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89" t="inlineStr">
        <is>
          <t>📉 Weak</t>
        </is>
      </c>
      <c r="S320" s="89" t="inlineStr">
        <is>
          <t>🔴 Not Qualified</t>
        </is>
      </c>
      <c r="T320" s="89" t="inlineStr">
        <is>
          <t>🔴 Avoid</t>
        </is>
      </c>
      <c r="U320" s="68" t="inlineStr">
        <is>
          <t>FULL</t>
        </is>
      </c>
    </row>
    <row r="321" ht="16" customHeight="1">
      <c r="A321" s="90" t="n">
        <v>317</v>
      </c>
      <c r="B321" s="91" t="inlineStr">
        <is>
          <t>Canara Robeco Value Fund - Regular Plan - Growth Option</t>
        </is>
      </c>
      <c r="C321" s="91" t="inlineStr">
        <is>
          <t>Canara Robeco Mutual Fund</t>
        </is>
      </c>
      <c r="D321" s="91" t="inlineStr">
        <is>
          <t>Value Fund</t>
        </is>
      </c>
      <c r="E321" s="91" t="inlineStr">
        <is>
          <t>Value Fund</t>
        </is>
      </c>
      <c r="F321" s="92" t="n">
        <v>-3.55</v>
      </c>
      <c r="G321" s="92" t="n">
        <v>-0.17</v>
      </c>
      <c r="H321" s="92" t="n">
        <v>-7.1</v>
      </c>
      <c r="I321" s="92" t="n">
        <v>-6.75</v>
      </c>
      <c r="J321" s="92" t="n">
        <v>-0.2302651101046549</v>
      </c>
      <c r="K321" s="93" t="n">
        <v>39.46</v>
      </c>
      <c r="L321" s="78" t="n">
        <v>32.1</v>
      </c>
      <c r="M321" s="18" t="n">
        <v>0</v>
      </c>
      <c r="N321" s="19" t="n">
        <v>17.7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94" t="inlineStr">
        <is>
          <t>📉 Weak</t>
        </is>
      </c>
      <c r="S321" s="94" t="inlineStr">
        <is>
          <t>🔴 Not Qualified</t>
        </is>
      </c>
      <c r="T321" s="94" t="inlineStr">
        <is>
          <t>🔴 Avoid</t>
        </is>
      </c>
      <c r="U321" s="68" t="inlineStr">
        <is>
          <t>FULL</t>
        </is>
      </c>
    </row>
    <row r="322" ht="16" customHeight="1">
      <c r="A322" s="85" t="n">
        <v>318</v>
      </c>
      <c r="B322" s="86" t="inlineStr">
        <is>
          <t>Kotak-Small Cap Fund - Payout of Income Distribution cum capital withdrawal option</t>
        </is>
      </c>
      <c r="C322" s="86" t="inlineStr">
        <is>
          <t>Kotak Mahindra Mutual Fund</t>
        </is>
      </c>
      <c r="D322" s="86" t="inlineStr">
        <is>
          <t>Small Cap Fund</t>
        </is>
      </c>
      <c r="E322" s="86" t="inlineStr">
        <is>
          <t>Small Cap Fund</t>
        </is>
      </c>
      <c r="F322" s="87" t="n">
        <v>-2.84</v>
      </c>
      <c r="G322" s="88" t="n">
        <v>7.98</v>
      </c>
      <c r="H322" s="88" t="n">
        <v>0.49</v>
      </c>
      <c r="I322" s="87" t="n">
        <v>-4.61</v>
      </c>
      <c r="J322" s="87" t="n">
        <v>-0.2753791684320328</v>
      </c>
      <c r="K322" s="88" t="n">
        <v>42.47</v>
      </c>
      <c r="L322" s="78" t="n">
        <v>32.1</v>
      </c>
      <c r="M322" s="18" t="n">
        <v>0</v>
      </c>
      <c r="N322" s="19" t="n">
        <v>17.6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89" t="inlineStr">
        <is>
          <t>📉 Weak</t>
        </is>
      </c>
      <c r="S322" s="89" t="inlineStr">
        <is>
          <t>🔴 Not Qualified</t>
        </is>
      </c>
      <c r="T322" s="89" t="inlineStr">
        <is>
          <t>🔴 Avoid</t>
        </is>
      </c>
      <c r="U322" s="68" t="inlineStr">
        <is>
          <t>FULL</t>
        </is>
      </c>
    </row>
    <row r="323" ht="16" customHeight="1">
      <c r="A323" s="90" t="n">
        <v>319</v>
      </c>
      <c r="B323" s="91" t="inlineStr">
        <is>
          <t>Kotak-Small Cap Fund - Growth</t>
        </is>
      </c>
      <c r="C323" s="91" t="inlineStr">
        <is>
          <t>Kotak Mahindra Mutual Fund</t>
        </is>
      </c>
      <c r="D323" s="91" t="inlineStr">
        <is>
          <t>Small Cap Fund</t>
        </is>
      </c>
      <c r="E323" s="91" t="inlineStr">
        <is>
          <t>Small Cap Fund</t>
        </is>
      </c>
      <c r="F323" s="92" t="n">
        <v>-2.84</v>
      </c>
      <c r="G323" s="93" t="n">
        <v>7.98</v>
      </c>
      <c r="H323" s="93" t="n">
        <v>0.49</v>
      </c>
      <c r="I323" s="92" t="n">
        <v>-4.61</v>
      </c>
      <c r="J323" s="92" t="n">
        <v>-0.2753791684320328</v>
      </c>
      <c r="K323" s="93" t="n">
        <v>42.47</v>
      </c>
      <c r="L323" s="78" t="n">
        <v>32.1</v>
      </c>
      <c r="M323" s="18" t="n">
        <v>0</v>
      </c>
      <c r="N323" s="19" t="n">
        <v>17.6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94" t="inlineStr">
        <is>
          <t>📉 Weak</t>
        </is>
      </c>
      <c r="S323" s="94" t="inlineStr">
        <is>
          <t>🔴 Not Qualified</t>
        </is>
      </c>
      <c r="T323" s="94" t="inlineStr">
        <is>
          <t>🔴 Avoid</t>
        </is>
      </c>
      <c r="U323" s="68" t="inlineStr">
        <is>
          <t>FULL</t>
        </is>
      </c>
    </row>
    <row r="324" ht="16" customHeight="1">
      <c r="A324" s="85" t="n">
        <v>320</v>
      </c>
      <c r="B324" s="86" t="inlineStr">
        <is>
          <t>Templeton India Value Fund - Growth Plan</t>
        </is>
      </c>
      <c r="C324" s="86" t="inlineStr">
        <is>
          <t>Franklin Templeton Mutual Fund</t>
        </is>
      </c>
      <c r="D324" s="86" t="inlineStr">
        <is>
          <t>Value Fund</t>
        </is>
      </c>
      <c r="E324" s="86" t="inlineStr">
        <is>
          <t>Value Fund</t>
        </is>
      </c>
      <c r="F324" s="87" t="n">
        <v>-2.57</v>
      </c>
      <c r="G324" s="87" t="n">
        <v>-1.68</v>
      </c>
      <c r="H324" s="87" t="n">
        <v>-8.34</v>
      </c>
      <c r="I324" s="87" t="n">
        <v>-5.67</v>
      </c>
      <c r="J324" s="87" t="n">
        <v>-1.668926579641161</v>
      </c>
      <c r="K324" s="88" t="n">
        <v>42.06</v>
      </c>
      <c r="L324" s="78" t="n">
        <v>31.9</v>
      </c>
      <c r="M324" s="18" t="n">
        <v>0</v>
      </c>
      <c r="N324" s="19" t="n">
        <v>17.5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89" t="inlineStr">
        <is>
          <t>📉 Weak</t>
        </is>
      </c>
      <c r="S324" s="89" t="inlineStr">
        <is>
          <t>🔴 Not Qualified</t>
        </is>
      </c>
      <c r="T324" s="89" t="inlineStr">
        <is>
          <t>🔴 Avoid</t>
        </is>
      </c>
      <c r="U324" s="68" t="inlineStr">
        <is>
          <t>FULL</t>
        </is>
      </c>
    </row>
    <row r="325" ht="16" customHeight="1">
      <c r="A325" s="90" t="n">
        <v>321</v>
      </c>
      <c r="B325" s="91" t="inlineStr">
        <is>
          <t>Franklin India Large Cap Fund-Growth</t>
        </is>
      </c>
      <c r="C325" s="91" t="inlineStr">
        <is>
          <t>Franklin Templeton Mutual Fund</t>
        </is>
      </c>
      <c r="D325" s="91" t="inlineStr">
        <is>
          <t>Large Cap Fund</t>
        </is>
      </c>
      <c r="E325" s="91" t="inlineStr">
        <is>
          <t>Large Cap Fund</t>
        </is>
      </c>
      <c r="F325" s="92" t="n">
        <v>-2.72</v>
      </c>
      <c r="G325" s="92" t="n">
        <v>-1.51</v>
      </c>
      <c r="H325" s="92" t="n">
        <v>-10.5</v>
      </c>
      <c r="I325" s="92" t="n">
        <v>-6.16</v>
      </c>
      <c r="J325" s="93" t="n">
        <v>1.301530097032599</v>
      </c>
      <c r="K325" s="93" t="n">
        <v>33.27</v>
      </c>
      <c r="L325" s="78" t="n">
        <v>31.5</v>
      </c>
      <c r="M325" s="18" t="n">
        <v>0</v>
      </c>
      <c r="N325" s="19" t="n">
        <v>17.3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94" t="inlineStr">
        <is>
          <t>📉 Weak</t>
        </is>
      </c>
      <c r="S325" s="94" t="inlineStr">
        <is>
          <t>🔴 Not Qualified</t>
        </is>
      </c>
      <c r="T325" s="94" t="inlineStr">
        <is>
          <t>🔴 Avoid</t>
        </is>
      </c>
      <c r="U325" s="68" t="inlineStr">
        <is>
          <t>FULL</t>
        </is>
      </c>
    </row>
    <row r="326" ht="16" customHeight="1">
      <c r="A326" s="85" t="n">
        <v>322</v>
      </c>
      <c r="B326" s="86" t="inlineStr">
        <is>
          <t>Baroda BNP Paribas Value Fund - Regular Plan - Growth option</t>
        </is>
      </c>
      <c r="C326" s="86" t="inlineStr">
        <is>
          <t>Baroda BNP Paribas Mutual Fund</t>
        </is>
      </c>
      <c r="D326" s="86" t="inlineStr">
        <is>
          <t>Value Fund</t>
        </is>
      </c>
      <c r="E326" s="86" t="inlineStr">
        <is>
          <t>Value Fund</t>
        </is>
      </c>
      <c r="F326" s="87" t="n">
        <v>-3.78</v>
      </c>
      <c r="G326" s="87" t="n">
        <v>-0.99</v>
      </c>
      <c r="H326" s="87" t="n">
        <v>-6.28</v>
      </c>
      <c r="I326" s="87" t="n">
        <v>-5.1</v>
      </c>
      <c r="J326" s="87" t="n">
        <v>-2.491026054008749</v>
      </c>
      <c r="K326" s="88" t="n">
        <v>31.94</v>
      </c>
      <c r="L326" s="78" t="n">
        <v>31.5</v>
      </c>
      <c r="M326" s="18" t="n">
        <v>0</v>
      </c>
      <c r="N326" s="19" t="n">
        <v>17.3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89" t="inlineStr">
        <is>
          <t>📉 Weak</t>
        </is>
      </c>
      <c r="S326" s="89" t="inlineStr">
        <is>
          <t>🔴 Not Qualified</t>
        </is>
      </c>
      <c r="T326" s="89" t="inlineStr">
        <is>
          <t>🔴 Avoid</t>
        </is>
      </c>
      <c r="U326" s="68" t="inlineStr">
        <is>
          <t>FULL</t>
        </is>
      </c>
    </row>
    <row r="327" ht="16" customHeight="1">
      <c r="A327" s="90" t="n">
        <v>323</v>
      </c>
      <c r="B327" s="91" t="inlineStr">
        <is>
          <t>Taurus ELSS Tax Saver Fund - Regular Plan - Payout of Income Distribution cum Capital Withdrawal option</t>
        </is>
      </c>
      <c r="C327" s="91" t="inlineStr">
        <is>
          <t>Taurus Mutual Fund</t>
        </is>
      </c>
      <c r="D327" s="91" t="inlineStr">
        <is>
          <t>Elss</t>
        </is>
      </c>
      <c r="E327" s="91" t="inlineStr">
        <is>
          <t>Elss</t>
        </is>
      </c>
      <c r="F327" s="92" t="n">
        <v>-3.4</v>
      </c>
      <c r="G327" s="93" t="n">
        <v>0.62</v>
      </c>
      <c r="H327" s="92" t="n">
        <v>-7.49</v>
      </c>
      <c r="I327" s="92" t="n">
        <v>-9.199999999999999</v>
      </c>
      <c r="J327" s="93" t="n">
        <v>0.3543721020663915</v>
      </c>
      <c r="K327" s="93" t="n">
        <v>36.21</v>
      </c>
      <c r="L327" s="78" t="n">
        <v>31.2</v>
      </c>
      <c r="M327" s="18" t="n">
        <v>0</v>
      </c>
      <c r="N327" s="19" t="n">
        <v>17.2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94" t="inlineStr">
        <is>
          <t>📉 Weak</t>
        </is>
      </c>
      <c r="S327" s="94" t="inlineStr">
        <is>
          <t>🔴 Not Qualified</t>
        </is>
      </c>
      <c r="T327" s="94" t="inlineStr">
        <is>
          <t>🔴 Avoid</t>
        </is>
      </c>
      <c r="U327" s="68" t="inlineStr">
        <is>
          <t>FULL</t>
        </is>
      </c>
    </row>
    <row r="328" ht="16" customHeight="1">
      <c r="A328" s="85" t="n">
        <v>324</v>
      </c>
      <c r="B328" s="86" t="inlineStr">
        <is>
          <t>Tata Banking And Financial Services Fund-Regular Plan-Growth</t>
        </is>
      </c>
      <c r="C328" s="86" t="inlineStr">
        <is>
          <t>Tata Mutual Fund</t>
        </is>
      </c>
      <c r="D328" s="86" t="inlineStr">
        <is>
          <t>Sectoral/ Thematic</t>
        </is>
      </c>
      <c r="E328" s="86" t="inlineStr">
        <is>
          <t>Sectoral/ Thematic</t>
        </is>
      </c>
      <c r="F328" s="87" t="n">
        <v>-2.59</v>
      </c>
      <c r="G328" s="87" t="n">
        <v>-1.74</v>
      </c>
      <c r="H328" s="87" t="n">
        <v>-8.390000000000001</v>
      </c>
      <c r="I328" s="87" t="n">
        <v>-5.42</v>
      </c>
      <c r="J328" s="88" t="n">
        <v>6.512910015640827</v>
      </c>
      <c r="K328" s="88" t="n">
        <v>38.33</v>
      </c>
      <c r="L328" s="78" t="n">
        <v>31.1</v>
      </c>
      <c r="M328" s="18" t="n">
        <v>0</v>
      </c>
      <c r="N328" s="19" t="n">
        <v>17.1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89" t="inlineStr">
        <is>
          <t>📉 Weak</t>
        </is>
      </c>
      <c r="S328" s="89" t="inlineStr">
        <is>
          <t>🔴 Not Qualified</t>
        </is>
      </c>
      <c r="T328" s="89" t="inlineStr">
        <is>
          <t>🔴 Avoid</t>
        </is>
      </c>
      <c r="U328" s="68" t="inlineStr">
        <is>
          <t>FULL</t>
        </is>
      </c>
    </row>
    <row r="329" ht="16" customHeight="1">
      <c r="A329" s="90" t="n">
        <v>325</v>
      </c>
      <c r="B329" s="91" t="inlineStr">
        <is>
          <t>Franklin India Flexi Cap Fund - Growth</t>
        </is>
      </c>
      <c r="C329" s="91" t="inlineStr">
        <is>
          <t>Franklin Templeton Mutual Fund</t>
        </is>
      </c>
      <c r="D329" s="91" t="inlineStr">
        <is>
          <t>Flexi Cap Fund</t>
        </is>
      </c>
      <c r="E329" s="91" t="inlineStr">
        <is>
          <t>Flexi Cap Fund</t>
        </is>
      </c>
      <c r="F329" s="92" t="n">
        <v>-2.33</v>
      </c>
      <c r="G329" s="92" t="n">
        <v>-0.85</v>
      </c>
      <c r="H329" s="92" t="n">
        <v>-9</v>
      </c>
      <c r="I329" s="92" t="n">
        <v>-8.18</v>
      </c>
      <c r="J329" s="93" t="n">
        <v>0.4290794541103038</v>
      </c>
      <c r="K329" s="93" t="n">
        <v>45.16</v>
      </c>
      <c r="L329" s="78" t="n">
        <v>30.2</v>
      </c>
      <c r="M329" s="18" t="n">
        <v>0</v>
      </c>
      <c r="N329" s="19" t="n">
        <v>16.6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94" t="inlineStr">
        <is>
          <t>📉 Weak</t>
        </is>
      </c>
      <c r="S329" s="94" t="inlineStr">
        <is>
          <t>🔴 Not Qualified</t>
        </is>
      </c>
      <c r="T329" s="94" t="inlineStr">
        <is>
          <t>🔴 Avoid</t>
        </is>
      </c>
      <c r="U329" s="68" t="inlineStr">
        <is>
          <t>FULL</t>
        </is>
      </c>
    </row>
    <row r="330" ht="16" customHeight="1">
      <c r="A330" s="85" t="n">
        <v>326</v>
      </c>
      <c r="B330" s="86" t="inlineStr">
        <is>
          <t>Taurus ELSS Tax Saver Fund - Regular Plan - Growth</t>
        </is>
      </c>
      <c r="C330" s="86" t="inlineStr">
        <is>
          <t>Taurus Mutual Fund</t>
        </is>
      </c>
      <c r="D330" s="86" t="inlineStr">
        <is>
          <t>Elss</t>
        </is>
      </c>
      <c r="E330" s="86" t="inlineStr">
        <is>
          <t>Elss</t>
        </is>
      </c>
      <c r="F330" s="87" t="n">
        <v>-3.4</v>
      </c>
      <c r="G330" s="88" t="n">
        <v>0.61</v>
      </c>
      <c r="H330" s="87" t="n">
        <v>-7.49</v>
      </c>
      <c r="I330" s="87" t="n">
        <v>-9.210000000000001</v>
      </c>
      <c r="J330" s="88" t="n">
        <v>0.3493896344167968</v>
      </c>
      <c r="K330" s="88" t="n">
        <v>36.2</v>
      </c>
      <c r="L330" s="78" t="n">
        <v>30.1</v>
      </c>
      <c r="M330" s="18" t="n">
        <v>0</v>
      </c>
      <c r="N330" s="19" t="n">
        <v>16.6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89" t="inlineStr">
        <is>
          <t>📉 Weak</t>
        </is>
      </c>
      <c r="S330" s="89" t="inlineStr">
        <is>
          <t>🔴 Not Qualified</t>
        </is>
      </c>
      <c r="T330" s="89" t="inlineStr">
        <is>
          <t>🔴 Avoid</t>
        </is>
      </c>
      <c r="U330" s="68" t="inlineStr">
        <is>
          <t>FULL</t>
        </is>
      </c>
    </row>
    <row r="331" ht="16" customHeight="1">
      <c r="A331" s="90" t="n">
        <v>327</v>
      </c>
      <c r="B331" s="91" t="inlineStr">
        <is>
          <t>Tata Mid Cap Fund Regular Plan- Growth Option</t>
        </is>
      </c>
      <c r="C331" s="91" t="inlineStr">
        <is>
          <t>Tata Mutual Fund</t>
        </is>
      </c>
      <c r="D331" s="91" t="inlineStr">
        <is>
          <t>Mid Cap Fund</t>
        </is>
      </c>
      <c r="E331" s="91" t="inlineStr">
        <is>
          <t>Mid Cap Fund</t>
        </is>
      </c>
      <c r="F331" s="92" t="n">
        <v>-4.13</v>
      </c>
      <c r="G331" s="93" t="n">
        <v>2.38</v>
      </c>
      <c r="H331" s="92" t="n">
        <v>-3.08</v>
      </c>
      <c r="I331" s="93" t="n">
        <v>0.88</v>
      </c>
      <c r="J331" s="93" t="n">
        <v>1.710373118969533</v>
      </c>
      <c r="K331" s="93" t="n">
        <v>60.45</v>
      </c>
      <c r="L331" s="78" t="n">
        <v>29.9</v>
      </c>
      <c r="M331" s="18" t="n">
        <v>0</v>
      </c>
      <c r="N331" s="19" t="n">
        <v>16.4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94" t="inlineStr">
        <is>
          <t>📉 Weak</t>
        </is>
      </c>
      <c r="S331" s="94" t="inlineStr">
        <is>
          <t>🔴 Not Qualified</t>
        </is>
      </c>
      <c r="T331" s="94" t="inlineStr">
        <is>
          <t>🔴 Avoid</t>
        </is>
      </c>
      <c r="U331" s="68" t="inlineStr">
        <is>
          <t>FULL</t>
        </is>
      </c>
    </row>
    <row r="332" ht="16" customHeight="1">
      <c r="A332" s="85" t="n">
        <v>328</v>
      </c>
      <c r="B332" s="86" t="inlineStr">
        <is>
          <t>SBI BANKING &amp; FINANCIAL SERVICES FUND - REGULAR PLAN - GROWTH</t>
        </is>
      </c>
      <c r="C332" s="86" t="inlineStr">
        <is>
          <t>SBI Mutual Fund</t>
        </is>
      </c>
      <c r="D332" s="86" t="inlineStr">
        <is>
          <t>Sectoral/ Thematic</t>
        </is>
      </c>
      <c r="E332" s="86" t="inlineStr">
        <is>
          <t>Sectoral/ Thematic</t>
        </is>
      </c>
      <c r="F332" s="87" t="n">
        <v>-3.3</v>
      </c>
      <c r="G332" s="87" t="n">
        <v>-2.22</v>
      </c>
      <c r="H332" s="87" t="n">
        <v>-8.800000000000001</v>
      </c>
      <c r="I332" s="87" t="n">
        <v>-1.9</v>
      </c>
      <c r="J332" s="88" t="n">
        <v>8.590975683985814</v>
      </c>
      <c r="K332" s="88" t="n">
        <v>54.24</v>
      </c>
      <c r="L332" s="78" t="n">
        <v>29.8</v>
      </c>
      <c r="M332" s="18" t="n">
        <v>0</v>
      </c>
      <c r="N332" s="19" t="n">
        <v>16.4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89" t="inlineStr">
        <is>
          <t>📉 Weak</t>
        </is>
      </c>
      <c r="S332" s="89" t="inlineStr">
        <is>
          <t>🔴 Not Qualified</t>
        </is>
      </c>
      <c r="T332" s="89" t="inlineStr">
        <is>
          <t>🔴 Avoid</t>
        </is>
      </c>
      <c r="U332" s="68" t="inlineStr">
        <is>
          <t>FULL</t>
        </is>
      </c>
    </row>
    <row r="333" ht="16" customHeight="1">
      <c r="A333" s="90" t="n">
        <v>329</v>
      </c>
      <c r="B333" s="91" t="inlineStr">
        <is>
          <t>Motilal Oswal Flexi Cap Fund Regular Plan-Growth Option</t>
        </is>
      </c>
      <c r="C333" s="91" t="inlineStr">
        <is>
          <t>Motilal Oswal Mutual Fund</t>
        </is>
      </c>
      <c r="D333" s="91" t="inlineStr">
        <is>
          <t>Flexi Cap Fund</t>
        </is>
      </c>
      <c r="E333" s="91" t="inlineStr">
        <is>
          <t>Flexi Cap Fund</t>
        </is>
      </c>
      <c r="F333" s="92" t="n">
        <v>-2.69</v>
      </c>
      <c r="G333" s="93" t="n">
        <v>3.1</v>
      </c>
      <c r="H333" s="92" t="n">
        <v>-10.06</v>
      </c>
      <c r="I333" s="92" t="n">
        <v>-9.94</v>
      </c>
      <c r="J333" s="93" t="n">
        <v>2.327904307671624</v>
      </c>
      <c r="K333" s="93" t="n">
        <v>58.22</v>
      </c>
      <c r="L333" s="78" t="n">
        <v>29.7</v>
      </c>
      <c r="M333" s="18" t="n">
        <v>0</v>
      </c>
      <c r="N333" s="19" t="n">
        <v>16.3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94" t="inlineStr">
        <is>
          <t>📉 Weak</t>
        </is>
      </c>
      <c r="S333" s="94" t="inlineStr">
        <is>
          <t>🔴 Not Qualified</t>
        </is>
      </c>
      <c r="T333" s="94" t="inlineStr">
        <is>
          <t>🔴 Avoid</t>
        </is>
      </c>
      <c r="U333" s="68" t="inlineStr">
        <is>
          <t>FULL</t>
        </is>
      </c>
    </row>
    <row r="334" ht="16" customHeight="1">
      <c r="A334" s="85" t="n">
        <v>330</v>
      </c>
      <c r="B334" s="86" t="inlineStr">
        <is>
          <t>Axis Small Cap Fund - Regular Plan - Growth</t>
        </is>
      </c>
      <c r="C334" s="86" t="inlineStr">
        <is>
          <t>Axis Mutual Fund</t>
        </is>
      </c>
      <c r="D334" s="86" t="inlineStr">
        <is>
          <t>Small Cap Fund</t>
        </is>
      </c>
      <c r="E334" s="86" t="inlineStr">
        <is>
          <t>Small Cap Fund</t>
        </is>
      </c>
      <c r="F334" s="87" t="n">
        <v>-3.26</v>
      </c>
      <c r="G334" s="88" t="n">
        <v>7.23</v>
      </c>
      <c r="H334" s="88" t="n">
        <v>0.31</v>
      </c>
      <c r="I334" s="87" t="n">
        <v>-1.83</v>
      </c>
      <c r="J334" s="88" t="n">
        <v>4.618354030256078</v>
      </c>
      <c r="K334" s="88" t="n">
        <v>50.6</v>
      </c>
      <c r="L334" s="78" t="n">
        <v>29.2</v>
      </c>
      <c r="M334" s="18" t="n">
        <v>0</v>
      </c>
      <c r="N334" s="19" t="n">
        <v>16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89" t="inlineStr">
        <is>
          <t>📉 Weak</t>
        </is>
      </c>
      <c r="S334" s="89" t="inlineStr">
        <is>
          <t>🔴 Not Qualified</t>
        </is>
      </c>
      <c r="T334" s="89" t="inlineStr">
        <is>
          <t>🔴 Avoid</t>
        </is>
      </c>
      <c r="U334" s="68" t="inlineStr">
        <is>
          <t>FULL</t>
        </is>
      </c>
    </row>
    <row r="335" ht="16" customHeight="1">
      <c r="A335" s="90" t="n">
        <v>331</v>
      </c>
      <c r="B335" s="91" t="inlineStr">
        <is>
          <t>ICICI Prudential Bharat Consumption Fund - Growth Option</t>
        </is>
      </c>
      <c r="C335" s="91" t="inlineStr">
        <is>
          <t>ICICI Prudential Mutual Fund</t>
        </is>
      </c>
      <c r="D335" s="91" t="inlineStr">
        <is>
          <t>Sectoral/ Thematic</t>
        </is>
      </c>
      <c r="E335" s="91" t="inlineStr">
        <is>
          <t>Sectoral/ Thematic</t>
        </is>
      </c>
      <c r="F335" s="92" t="n">
        <v>-3.65</v>
      </c>
      <c r="G335" s="93" t="n">
        <v>2.84</v>
      </c>
      <c r="H335" s="92" t="n">
        <v>-8.550000000000001</v>
      </c>
      <c r="I335" s="92" t="n">
        <v>-7.53</v>
      </c>
      <c r="J335" s="92" t="n">
        <v>-2.250319693617409</v>
      </c>
      <c r="K335" s="93" t="n">
        <v>36.39</v>
      </c>
      <c r="L335" s="78" t="n">
        <v>29.1</v>
      </c>
      <c r="M335" s="18" t="n">
        <v>0</v>
      </c>
      <c r="N335" s="19" t="n">
        <v>16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94" t="inlineStr">
        <is>
          <t>📉 Weak</t>
        </is>
      </c>
      <c r="S335" s="94" t="inlineStr">
        <is>
          <t>🔴 Not Qualified</t>
        </is>
      </c>
      <c r="T335" s="94" t="inlineStr">
        <is>
          <t>🔴 Avoid</t>
        </is>
      </c>
      <c r="U335" s="68" t="inlineStr">
        <is>
          <t>FULL</t>
        </is>
      </c>
    </row>
    <row r="336" ht="16" customHeight="1">
      <c r="A336" s="85" t="n">
        <v>332</v>
      </c>
      <c r="B336" s="86" t="inlineStr">
        <is>
          <t>Canara Robeco Focused Fund - Regular Plan - Growth Option</t>
        </is>
      </c>
      <c r="C336" s="86" t="inlineStr">
        <is>
          <t>Canara Robeco Mutual Fund</t>
        </is>
      </c>
      <c r="D336" s="86" t="inlineStr">
        <is>
          <t>Focused Fund</t>
        </is>
      </c>
      <c r="E336" s="86" t="inlineStr">
        <is>
          <t>Focused Fund</t>
        </is>
      </c>
      <c r="F336" s="87" t="n">
        <v>-2.74</v>
      </c>
      <c r="G336" s="87" t="n">
        <v>-0.49</v>
      </c>
      <c r="H336" s="87" t="n">
        <v>-9.869999999999999</v>
      </c>
      <c r="I336" s="87" t="n">
        <v>-6.68</v>
      </c>
      <c r="J336" s="88" t="n">
        <v>2.970869667105358</v>
      </c>
      <c r="K336" s="88" t="n">
        <v>40.3</v>
      </c>
      <c r="L336" s="78" t="n">
        <v>29</v>
      </c>
      <c r="M336" s="18" t="n">
        <v>0</v>
      </c>
      <c r="N336" s="19" t="n">
        <v>16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89" t="inlineStr">
        <is>
          <t>📉 Weak</t>
        </is>
      </c>
      <c r="S336" s="89" t="inlineStr">
        <is>
          <t>🔴 Not Qualified</t>
        </is>
      </c>
      <c r="T336" s="89" t="inlineStr">
        <is>
          <t>🔴 Avoid</t>
        </is>
      </c>
      <c r="U336" s="68" t="inlineStr">
        <is>
          <t>FULL</t>
        </is>
      </c>
    </row>
    <row r="337" ht="16" customHeight="1">
      <c r="A337" s="90" t="n">
        <v>333</v>
      </c>
      <c r="B337" s="91" t="inlineStr">
        <is>
          <t>UTI Small Cap Fund - Regular Plan - Growth Option</t>
        </is>
      </c>
      <c r="C337" s="91" t="inlineStr">
        <is>
          <t>UTI Mutual Fund</t>
        </is>
      </c>
      <c r="D337" s="91" t="inlineStr">
        <is>
          <t>Small Cap Fund</t>
        </is>
      </c>
      <c r="E337" s="91" t="inlineStr">
        <is>
          <t>Small Cap Fund</t>
        </is>
      </c>
      <c r="F337" s="92" t="n">
        <v>-4.24</v>
      </c>
      <c r="G337" s="93" t="n">
        <v>9.57</v>
      </c>
      <c r="H337" s="92" t="n">
        <v>-0.3</v>
      </c>
      <c r="I337" s="92" t="n">
        <v>-3.04</v>
      </c>
      <c r="J337" s="93" t="n">
        <v>4.947605975553349</v>
      </c>
      <c r="K337" s="93" t="n">
        <v>50.76</v>
      </c>
      <c r="L337" s="78" t="n">
        <v>28.5</v>
      </c>
      <c r="M337" s="18" t="n">
        <v>0</v>
      </c>
      <c r="N337" s="19" t="n">
        <v>15.7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94" t="inlineStr">
        <is>
          <t>📉 Weak</t>
        </is>
      </c>
      <c r="S337" s="94" t="inlineStr">
        <is>
          <t>🔴 Not Qualified</t>
        </is>
      </c>
      <c r="T337" s="94" t="inlineStr">
        <is>
          <t>🔴 Avoid</t>
        </is>
      </c>
      <c r="U337" s="68" t="inlineStr">
        <is>
          <t>FULL</t>
        </is>
      </c>
    </row>
    <row r="338" ht="16" customHeight="1">
      <c r="A338" s="85" t="n">
        <v>334</v>
      </c>
      <c r="B338" s="86" t="inlineStr">
        <is>
          <t>Aditya Birla Sun Life Large Cap Fund-Growth</t>
        </is>
      </c>
      <c r="C338" s="86" t="inlineStr">
        <is>
          <t>Aditya Birla Sun Life Mutual Fund</t>
        </is>
      </c>
      <c r="D338" s="86" t="inlineStr">
        <is>
          <t>Large Cap Fund</t>
        </is>
      </c>
      <c r="E338" s="86" t="inlineStr">
        <is>
          <t>Large Cap Fund</t>
        </is>
      </c>
      <c r="F338" s="87" t="n">
        <v>-2.83</v>
      </c>
      <c r="G338" s="87" t="n">
        <v>-0.82</v>
      </c>
      <c r="H338" s="87" t="n">
        <v>-10.61</v>
      </c>
      <c r="I338" s="87" t="n">
        <v>-7.27</v>
      </c>
      <c r="J338" s="88" t="n">
        <v>0.5286028948975341</v>
      </c>
      <c r="K338" s="88" t="n">
        <v>33.81</v>
      </c>
      <c r="L338" s="78" t="n">
        <v>28.1</v>
      </c>
      <c r="M338" s="18" t="n">
        <v>0</v>
      </c>
      <c r="N338" s="19" t="n">
        <v>15.5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89" t="inlineStr">
        <is>
          <t>📉 Weak</t>
        </is>
      </c>
      <c r="S338" s="89" t="inlineStr">
        <is>
          <t>🔴 Not Qualified</t>
        </is>
      </c>
      <c r="T338" s="89" t="inlineStr">
        <is>
          <t>🔴 Avoid</t>
        </is>
      </c>
      <c r="U338" s="68" t="inlineStr">
        <is>
          <t>FULL</t>
        </is>
      </c>
    </row>
    <row r="339" ht="16" customHeight="1">
      <c r="A339" s="90" t="n">
        <v>335</v>
      </c>
      <c r="B339" s="91" t="inlineStr">
        <is>
          <t>Nippon India Value Fund- Growth Plan</t>
        </is>
      </c>
      <c r="C339" s="91" t="inlineStr">
        <is>
          <t>Nippon India Mutual Fund</t>
        </is>
      </c>
      <c r="D339" s="91" t="inlineStr">
        <is>
          <t>Value Fund</t>
        </is>
      </c>
      <c r="E339" s="91" t="inlineStr">
        <is>
          <t>Value Fund</t>
        </is>
      </c>
      <c r="F339" s="92" t="n">
        <v>-4.21</v>
      </c>
      <c r="G339" s="92" t="n">
        <v>-0.22</v>
      </c>
      <c r="H339" s="92" t="n">
        <v>-7.18</v>
      </c>
      <c r="I339" s="92" t="n">
        <v>-5.2</v>
      </c>
      <c r="J339" s="93" t="n">
        <v>1.38047149229481</v>
      </c>
      <c r="K339" s="93" t="n">
        <v>59.86</v>
      </c>
      <c r="L339" s="78" t="n">
        <v>28.1</v>
      </c>
      <c r="M339" s="18" t="n">
        <v>0</v>
      </c>
      <c r="N339" s="19" t="n">
        <v>15.5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94" t="inlineStr">
        <is>
          <t>📉 Weak</t>
        </is>
      </c>
      <c r="S339" s="94" t="inlineStr">
        <is>
          <t>🔴 Not Qualified</t>
        </is>
      </c>
      <c r="T339" s="94" t="inlineStr">
        <is>
          <t>🔴 Avoid</t>
        </is>
      </c>
      <c r="U339" s="68" t="inlineStr">
        <is>
          <t>FULL</t>
        </is>
      </c>
    </row>
    <row r="340" ht="16" customHeight="1">
      <c r="A340" s="85" t="n">
        <v>336</v>
      </c>
      <c r="B340" s="86" t="inlineStr">
        <is>
          <t>Taurus Ethical Fund - Regular Plan - Payout of Income Distribution cum Capital Withdrawal option</t>
        </is>
      </c>
      <c r="C340" s="86" t="inlineStr">
        <is>
          <t>Taurus Mutual Fund</t>
        </is>
      </c>
      <c r="D340" s="86" t="inlineStr">
        <is>
          <t>Sectoral/ Thematic</t>
        </is>
      </c>
      <c r="E340" s="86" t="inlineStr">
        <is>
          <t>Sectoral/ Thematic</t>
        </is>
      </c>
      <c r="F340" s="87" t="n">
        <v>-4.09</v>
      </c>
      <c r="G340" s="88" t="n">
        <v>0.54</v>
      </c>
      <c r="H340" s="87" t="n">
        <v>-6.64</v>
      </c>
      <c r="I340" s="87" t="n">
        <v>-5.69</v>
      </c>
      <c r="J340" s="87" t="n">
        <v>-2.045929130025437</v>
      </c>
      <c r="K340" s="88" t="n">
        <v>42.03</v>
      </c>
      <c r="L340" s="78" t="n">
        <v>28</v>
      </c>
      <c r="M340" s="18" t="n">
        <v>0</v>
      </c>
      <c r="N340" s="19" t="n">
        <v>15.4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89" t="inlineStr">
        <is>
          <t>📉 Weak</t>
        </is>
      </c>
      <c r="S340" s="89" t="inlineStr">
        <is>
          <t>🔴 Not Qualified</t>
        </is>
      </c>
      <c r="T340" s="89" t="inlineStr">
        <is>
          <t>🔴 Avoid</t>
        </is>
      </c>
      <c r="U340" s="68" t="inlineStr">
        <is>
          <t>FULL</t>
        </is>
      </c>
    </row>
    <row r="341" ht="16" customHeight="1">
      <c r="A341" s="90" t="n">
        <v>337</v>
      </c>
      <c r="B341" s="91" t="inlineStr">
        <is>
          <t>Taurus Ethical Fund - Regular Plan - Growth</t>
        </is>
      </c>
      <c r="C341" s="91" t="inlineStr">
        <is>
          <t>Taurus Mutual Fund</t>
        </is>
      </c>
      <c r="D341" s="91" t="inlineStr">
        <is>
          <t>Sectoral/ Thematic</t>
        </is>
      </c>
      <c r="E341" s="91" t="inlineStr">
        <is>
          <t>Sectoral/ Thematic</t>
        </is>
      </c>
      <c r="F341" s="92" t="n">
        <v>-4.1</v>
      </c>
      <c r="G341" s="93" t="n">
        <v>0.55</v>
      </c>
      <c r="H341" s="92" t="n">
        <v>-6.64</v>
      </c>
      <c r="I341" s="92" t="n">
        <v>-5.69</v>
      </c>
      <c r="J341" s="92" t="n">
        <v>-2.045929130025437</v>
      </c>
      <c r="K341" s="93" t="n">
        <v>42.04</v>
      </c>
      <c r="L341" s="78" t="n">
        <v>28</v>
      </c>
      <c r="M341" s="18" t="n">
        <v>0</v>
      </c>
      <c r="N341" s="19" t="n">
        <v>15.4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94" t="inlineStr">
        <is>
          <t>📉 Weak</t>
        </is>
      </c>
      <c r="S341" s="94" t="inlineStr">
        <is>
          <t>🔴 Not Qualified</t>
        </is>
      </c>
      <c r="T341" s="94" t="inlineStr">
        <is>
          <t>🔴 Avoid</t>
        </is>
      </c>
      <c r="U341" s="68" t="inlineStr">
        <is>
          <t>FULL</t>
        </is>
      </c>
    </row>
    <row r="342" ht="16" customHeight="1">
      <c r="A342" s="85" t="n">
        <v>338</v>
      </c>
      <c r="B342" s="86" t="inlineStr">
        <is>
          <t>360 ONE ELSS Tax Saver Nifty 50 Index Fund - Regular Plan - Growth</t>
        </is>
      </c>
      <c r="C342" s="86" t="inlineStr">
        <is>
          <t>360 ONE Mutual Fund</t>
        </is>
      </c>
      <c r="D342" s="86" t="inlineStr">
        <is>
          <t>Elss</t>
        </is>
      </c>
      <c r="E342" s="86" t="inlineStr">
        <is>
          <t>Elss</t>
        </is>
      </c>
      <c r="F342" s="87" t="n">
        <v>-2.59</v>
      </c>
      <c r="G342" s="87" t="n">
        <v>-1.86</v>
      </c>
      <c r="H342" s="87" t="n">
        <v>-10.88</v>
      </c>
      <c r="I342" s="87" t="n">
        <v>-7.11</v>
      </c>
      <c r="J342" s="88" t="n">
        <v>0.4141424302373853</v>
      </c>
      <c r="K342" s="88" t="n">
        <v>26.87</v>
      </c>
      <c r="L342" s="78" t="n">
        <v>28</v>
      </c>
      <c r="M342" s="18" t="n">
        <v>0</v>
      </c>
      <c r="N342" s="19" t="n">
        <v>15.4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89" t="inlineStr">
        <is>
          <t>📉 Weak</t>
        </is>
      </c>
      <c r="S342" s="89" t="inlineStr">
        <is>
          <t>🔴 Not Qualified</t>
        </is>
      </c>
      <c r="T342" s="89" t="inlineStr">
        <is>
          <t>🔴 Avoid</t>
        </is>
      </c>
      <c r="U342" s="68" t="inlineStr">
        <is>
          <t>FULL</t>
        </is>
      </c>
    </row>
    <row r="343" ht="16" customHeight="1">
      <c r="A343" s="90" t="n">
        <v>339</v>
      </c>
      <c r="B343" s="91" t="inlineStr">
        <is>
          <t>Tata Small Cap Fund-Regular Plan-Growth</t>
        </is>
      </c>
      <c r="C343" s="91" t="inlineStr">
        <is>
          <t>Tata Mutual Fund</t>
        </is>
      </c>
      <c r="D343" s="91" t="inlineStr">
        <is>
          <t>Small Cap Fund</t>
        </is>
      </c>
      <c r="E343" s="91" t="inlineStr">
        <is>
          <t>Small Cap Fund</t>
        </is>
      </c>
      <c r="F343" s="92" t="n">
        <v>-1.95</v>
      </c>
      <c r="G343" s="93" t="n">
        <v>7.97</v>
      </c>
      <c r="H343" s="92" t="n">
        <v>-4.1</v>
      </c>
      <c r="I343" s="92" t="n">
        <v>-12.44</v>
      </c>
      <c r="J343" s="92" t="n">
        <v>-2.204294572818788</v>
      </c>
      <c r="K343" s="93" t="n">
        <v>34.24</v>
      </c>
      <c r="L343" s="78" t="n">
        <v>27.8</v>
      </c>
      <c r="M343" s="18" t="n">
        <v>0</v>
      </c>
      <c r="N343" s="19" t="n">
        <v>15.3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94" t="inlineStr">
        <is>
          <t>📉 Weak</t>
        </is>
      </c>
      <c r="S343" s="94" t="inlineStr">
        <is>
          <t>🔴 Not Qualified</t>
        </is>
      </c>
      <c r="T343" s="94" t="inlineStr">
        <is>
          <t>🔴 Avoid</t>
        </is>
      </c>
      <c r="U343" s="68" t="inlineStr">
        <is>
          <t>FULL</t>
        </is>
      </c>
    </row>
    <row r="344" ht="16" customHeight="1">
      <c r="A344" s="85" t="n">
        <v>340</v>
      </c>
      <c r="B344" s="86" t="inlineStr">
        <is>
          <t>PGIM India Midcap Fund - Regular Plan - Growth Option</t>
        </is>
      </c>
      <c r="C344" s="86" t="inlineStr">
        <is>
          <t>PGIM India Mutual Fund</t>
        </is>
      </c>
      <c r="D344" s="86" t="inlineStr">
        <is>
          <t>Mid Cap Fund</t>
        </is>
      </c>
      <c r="E344" s="86" t="inlineStr">
        <is>
          <t>Mid Cap Fund</t>
        </is>
      </c>
      <c r="F344" s="87" t="n">
        <v>-3.33</v>
      </c>
      <c r="G344" s="88" t="n">
        <v>3.17</v>
      </c>
      <c r="H344" s="87" t="n">
        <v>-3.8</v>
      </c>
      <c r="I344" s="87" t="n">
        <v>-5.16</v>
      </c>
      <c r="J344" s="88" t="n">
        <v>1.803732740995301</v>
      </c>
      <c r="K344" s="88" t="n">
        <v>36.61</v>
      </c>
      <c r="L344" s="78" t="n">
        <v>27.4</v>
      </c>
      <c r="M344" s="18" t="n">
        <v>0</v>
      </c>
      <c r="N344" s="19" t="n">
        <v>15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89" t="inlineStr">
        <is>
          <t>📉 Weak</t>
        </is>
      </c>
      <c r="S344" s="89" t="inlineStr">
        <is>
          <t>🔴 Not Qualified</t>
        </is>
      </c>
      <c r="T344" s="89" t="inlineStr">
        <is>
          <t>🔴 Avoid</t>
        </is>
      </c>
      <c r="U344" s="68" t="inlineStr">
        <is>
          <t>FULL</t>
        </is>
      </c>
    </row>
    <row r="345" ht="16" customHeight="1">
      <c r="A345" s="90" t="n">
        <v>341</v>
      </c>
      <c r="B345" s="91" t="inlineStr">
        <is>
          <t>UTI Value Fund - Regular Plan - Growth Option</t>
        </is>
      </c>
      <c r="C345" s="91" t="inlineStr">
        <is>
          <t>UTI Mutual Fund</t>
        </is>
      </c>
      <c r="D345" s="91" t="inlineStr">
        <is>
          <t>Value Fund</t>
        </is>
      </c>
      <c r="E345" s="91" t="inlineStr">
        <is>
          <t>Value Fund</t>
        </is>
      </c>
      <c r="F345" s="92" t="n">
        <v>-2.98</v>
      </c>
      <c r="G345" s="92" t="n">
        <v>-0.95</v>
      </c>
      <c r="H345" s="92" t="n">
        <v>-9.15</v>
      </c>
      <c r="I345" s="92" t="n">
        <v>-6.07</v>
      </c>
      <c r="J345" s="93" t="n">
        <v>1.720204482688681</v>
      </c>
      <c r="K345" s="93" t="n">
        <v>47.96</v>
      </c>
      <c r="L345" s="78" t="n">
        <v>26.9</v>
      </c>
      <c r="M345" s="18" t="n">
        <v>0</v>
      </c>
      <c r="N345" s="19" t="n">
        <v>14.8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94" t="inlineStr">
        <is>
          <t>📉 Weak</t>
        </is>
      </c>
      <c r="S345" s="94" t="inlineStr">
        <is>
          <t>🔴 Not Qualified</t>
        </is>
      </c>
      <c r="T345" s="94" t="inlineStr">
        <is>
          <t>🔴 Avoid</t>
        </is>
      </c>
      <c r="U345" s="68" t="inlineStr">
        <is>
          <t>FULL</t>
        </is>
      </c>
    </row>
    <row r="346" ht="16" customHeight="1">
      <c r="A346" s="85" t="n">
        <v>342</v>
      </c>
      <c r="B346" s="86" t="inlineStr">
        <is>
          <t>Nippon India Banking &amp; Financial Services Fund-Growth Plan-Growth Option</t>
        </is>
      </c>
      <c r="C346" s="86" t="inlineStr">
        <is>
          <t>Nippon India Mutual Fund</t>
        </is>
      </c>
      <c r="D346" s="86" t="inlineStr">
        <is>
          <t>Sectoral/ Thematic</t>
        </is>
      </c>
      <c r="E346" s="86" t="inlineStr">
        <is>
          <t>Sectoral/ Thematic</t>
        </is>
      </c>
      <c r="F346" s="87" t="n">
        <v>-3.56</v>
      </c>
      <c r="G346" s="87" t="n">
        <v>-0.67</v>
      </c>
      <c r="H346" s="87" t="n">
        <v>-8.27</v>
      </c>
      <c r="I346" s="87" t="n">
        <v>-5.06</v>
      </c>
      <c r="J346" s="88" t="n">
        <v>6.315568003938177</v>
      </c>
      <c r="K346" s="88" t="n">
        <v>40.8</v>
      </c>
      <c r="L346" s="78" t="n">
        <v>26.3</v>
      </c>
      <c r="M346" s="18" t="n">
        <v>0</v>
      </c>
      <c r="N346" s="19" t="n">
        <v>14.5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89" t="inlineStr">
        <is>
          <t>📉 Weak</t>
        </is>
      </c>
      <c r="S346" s="89" t="inlineStr">
        <is>
          <t>🔴 Not Qualified</t>
        </is>
      </c>
      <c r="T346" s="89" t="inlineStr">
        <is>
          <t>🔴 Avoid</t>
        </is>
      </c>
      <c r="U346" s="68" t="inlineStr">
        <is>
          <t>FULL</t>
        </is>
      </c>
    </row>
    <row r="347" ht="16" customHeight="1">
      <c r="A347" s="90" t="n">
        <v>343</v>
      </c>
      <c r="B347" s="91" t="inlineStr">
        <is>
          <t>Nippon India Banking &amp; Financial Services Fund-Growth Plan-Bonus Option</t>
        </is>
      </c>
      <c r="C347" s="91" t="inlineStr">
        <is>
          <t>Nippon India Mutual Fund</t>
        </is>
      </c>
      <c r="D347" s="91" t="inlineStr">
        <is>
          <t>Sectoral/ Thematic</t>
        </is>
      </c>
      <c r="E347" s="91" t="inlineStr">
        <is>
          <t>Sectoral/ Thematic</t>
        </is>
      </c>
      <c r="F347" s="92" t="n">
        <v>-3.56</v>
      </c>
      <c r="G347" s="92" t="n">
        <v>-0.67</v>
      </c>
      <c r="H347" s="92" t="n">
        <v>-8.27</v>
      </c>
      <c r="I347" s="92" t="n">
        <v>-5.06</v>
      </c>
      <c r="J347" s="93" t="n">
        <v>6.315568003938177</v>
      </c>
      <c r="K347" s="93" t="n">
        <v>40.8</v>
      </c>
      <c r="L347" s="78" t="n">
        <v>26.3</v>
      </c>
      <c r="M347" s="18" t="n">
        <v>0</v>
      </c>
      <c r="N347" s="19" t="n">
        <v>14.5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94" t="inlineStr">
        <is>
          <t>📉 Weak</t>
        </is>
      </c>
      <c r="S347" s="94" t="inlineStr">
        <is>
          <t>🔴 Not Qualified</t>
        </is>
      </c>
      <c r="T347" s="94" t="inlineStr">
        <is>
          <t>🔴 Avoid</t>
        </is>
      </c>
      <c r="U347" s="68" t="inlineStr">
        <is>
          <t>FULL</t>
        </is>
      </c>
    </row>
    <row r="348" ht="16" customHeight="1">
      <c r="A348" s="85" t="n">
        <v>344</v>
      </c>
      <c r="B348" s="86" t="inlineStr">
        <is>
          <t>ICICI Prudential Smallcap Fund - Growth</t>
        </is>
      </c>
      <c r="C348" s="86" t="inlineStr">
        <is>
          <t>ICICI Prudential Mutual Fund</t>
        </is>
      </c>
      <c r="D348" s="86" t="inlineStr">
        <is>
          <t>Small Cap Fund</t>
        </is>
      </c>
      <c r="E348" s="86" t="inlineStr">
        <is>
          <t>Small Cap Fund</t>
        </is>
      </c>
      <c r="F348" s="87" t="n">
        <v>-2.45</v>
      </c>
      <c r="G348" s="88" t="n">
        <v>5.27</v>
      </c>
      <c r="H348" s="87" t="n">
        <v>-2.19</v>
      </c>
      <c r="I348" s="87" t="n">
        <v>-4.26</v>
      </c>
      <c r="J348" s="87" t="n">
        <v>-0.425906983794222</v>
      </c>
      <c r="K348" s="88" t="n">
        <v>41.78</v>
      </c>
      <c r="L348" s="78" t="n">
        <v>26.1</v>
      </c>
      <c r="M348" s="18" t="n">
        <v>0</v>
      </c>
      <c r="N348" s="19" t="n">
        <v>14.4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89" t="inlineStr">
        <is>
          <t>📉 Weak</t>
        </is>
      </c>
      <c r="S348" s="89" t="inlineStr">
        <is>
          <t>🔴 Not Qualified</t>
        </is>
      </c>
      <c r="T348" s="89" t="inlineStr">
        <is>
          <t>🔴 Avoid</t>
        </is>
      </c>
      <c r="U348" s="68" t="inlineStr">
        <is>
          <t>FULL</t>
        </is>
      </c>
    </row>
    <row r="349" ht="16" customHeight="1">
      <c r="A349" s="90" t="n">
        <v>345</v>
      </c>
      <c r="B349" s="91" t="inlineStr">
        <is>
          <t>ICICI Prudential Technology Fund - Growth</t>
        </is>
      </c>
      <c r="C349" s="91" t="inlineStr">
        <is>
          <t>ICICI Prudential Mutual Fund</t>
        </is>
      </c>
      <c r="D349" s="91" t="inlineStr">
        <is>
          <t>Sectoral/ Thematic</t>
        </is>
      </c>
      <c r="E349" s="91" t="inlineStr">
        <is>
          <t>Sectoral/ Thematic</t>
        </is>
      </c>
      <c r="F349" s="92" t="n">
        <v>-2.04</v>
      </c>
      <c r="G349" s="93" t="n">
        <v>0.57</v>
      </c>
      <c r="H349" s="92" t="n">
        <v>-20.25</v>
      </c>
      <c r="I349" s="92" t="n">
        <v>-17.35</v>
      </c>
      <c r="J349" s="92" t="n">
        <v>-2.557709386529705</v>
      </c>
      <c r="K349" s="93" t="n">
        <v>24.7</v>
      </c>
      <c r="L349" s="78" t="n">
        <v>25.9</v>
      </c>
      <c r="M349" s="18" t="n">
        <v>0</v>
      </c>
      <c r="N349" s="19" t="n">
        <v>14.3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94" t="inlineStr">
        <is>
          <t>📉 Weak</t>
        </is>
      </c>
      <c r="S349" s="94" t="inlineStr">
        <is>
          <t>🔴 Not Qualified</t>
        </is>
      </c>
      <c r="T349" s="94" t="inlineStr">
        <is>
          <t>🔴 Avoid</t>
        </is>
      </c>
      <c r="U349" s="68" t="inlineStr">
        <is>
          <t>FULL</t>
        </is>
      </c>
    </row>
    <row r="350" ht="16" customHeight="1">
      <c r="A350" s="85" t="n">
        <v>346</v>
      </c>
      <c r="B350" s="86" t="inlineStr">
        <is>
          <t>DSP Quant Fund - Regular Plan - Growth</t>
        </is>
      </c>
      <c r="C350" s="86" t="inlineStr">
        <is>
          <t>DSP Mutual Fund</t>
        </is>
      </c>
      <c r="D350" s="86" t="inlineStr">
        <is>
          <t>Sectoral/ Thematic</t>
        </is>
      </c>
      <c r="E350" s="86" t="inlineStr">
        <is>
          <t>Sectoral/ Thematic</t>
        </is>
      </c>
      <c r="F350" s="87" t="n">
        <v>-3.22</v>
      </c>
      <c r="G350" s="87" t="n">
        <v>-1.78</v>
      </c>
      <c r="H350" s="87" t="n">
        <v>-9.32</v>
      </c>
      <c r="I350" s="87" t="n">
        <v>-4.93</v>
      </c>
      <c r="J350" s="88" t="n">
        <v>0.1448950271555338</v>
      </c>
      <c r="K350" s="88" t="n">
        <v>23.36</v>
      </c>
      <c r="L350" s="78" t="n">
        <v>25.7</v>
      </c>
      <c r="M350" s="18" t="n">
        <v>0</v>
      </c>
      <c r="N350" s="19" t="n">
        <v>14.2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89" t="inlineStr">
        <is>
          <t>📉 Weak</t>
        </is>
      </c>
      <c r="S350" s="89" t="inlineStr">
        <is>
          <t>🔴 Not Qualified</t>
        </is>
      </c>
      <c r="T350" s="89" t="inlineStr">
        <is>
          <t>🔴 Avoid</t>
        </is>
      </c>
      <c r="U350" s="68" t="inlineStr">
        <is>
          <t>FULL</t>
        </is>
      </c>
    </row>
    <row r="351" ht="16" customHeight="1">
      <c r="A351" s="90" t="n">
        <v>347</v>
      </c>
      <c r="B351" s="91" t="inlineStr">
        <is>
          <t>UTI Mid Cap Fund-Growth Option</t>
        </is>
      </c>
      <c r="C351" s="91" t="inlineStr">
        <is>
          <t>UTI Mutual Fund</t>
        </is>
      </c>
      <c r="D351" s="91" t="inlineStr">
        <is>
          <t>Mid Cap Fund</t>
        </is>
      </c>
      <c r="E351" s="91" t="inlineStr">
        <is>
          <t>Mid Cap Fund</t>
        </is>
      </c>
      <c r="F351" s="92" t="n">
        <v>-3.48</v>
      </c>
      <c r="G351" s="93" t="n">
        <v>2.65</v>
      </c>
      <c r="H351" s="92" t="n">
        <v>-3.66</v>
      </c>
      <c r="I351" s="92" t="n">
        <v>-4.5</v>
      </c>
      <c r="J351" s="93" t="n">
        <v>1.34594219799824</v>
      </c>
      <c r="K351" s="93" t="n">
        <v>45.44</v>
      </c>
      <c r="L351" s="78" t="n">
        <v>25.4</v>
      </c>
      <c r="M351" s="18" t="n">
        <v>0</v>
      </c>
      <c r="N351" s="19" t="n">
        <v>14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94" t="inlineStr">
        <is>
          <t>📉 Weak</t>
        </is>
      </c>
      <c r="S351" s="94" t="inlineStr">
        <is>
          <t>🔴 Not Qualified</t>
        </is>
      </c>
      <c r="T351" s="94" t="inlineStr">
        <is>
          <t>🔴 Avoid</t>
        </is>
      </c>
      <c r="U351" s="68" t="inlineStr">
        <is>
          <t>FULL</t>
        </is>
      </c>
    </row>
    <row r="352" ht="16" customHeight="1">
      <c r="A352" s="85" t="n">
        <v>348</v>
      </c>
      <c r="B352" s="86" t="inlineStr">
        <is>
          <t>UTI Focused Fund - Regular Plan - Growth Option</t>
        </is>
      </c>
      <c r="C352" s="86" t="inlineStr">
        <is>
          <t>UTI Mutual Fund</t>
        </is>
      </c>
      <c r="D352" s="86" t="inlineStr">
        <is>
          <t>Focused Fund</t>
        </is>
      </c>
      <c r="E352" s="86" t="inlineStr">
        <is>
          <t>Focused Fund</t>
        </is>
      </c>
      <c r="F352" s="87" t="n">
        <v>-3.47</v>
      </c>
      <c r="G352" s="87" t="n">
        <v>-0.7</v>
      </c>
      <c r="H352" s="87" t="n">
        <v>-9.81</v>
      </c>
      <c r="I352" s="87" t="n">
        <v>-7.89</v>
      </c>
      <c r="J352" s="87" t="n">
        <v>-1.597764253041478</v>
      </c>
      <c r="K352" s="88" t="n">
        <v>30.58</v>
      </c>
      <c r="L352" s="78" t="n">
        <v>25.2</v>
      </c>
      <c r="M352" s="18" t="n">
        <v>0</v>
      </c>
      <c r="N352" s="19" t="n">
        <v>13.8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89" t="inlineStr">
        <is>
          <t>📉 Weak</t>
        </is>
      </c>
      <c r="S352" s="89" t="inlineStr">
        <is>
          <t>🔴 Not Qualified</t>
        </is>
      </c>
      <c r="T352" s="89" t="inlineStr">
        <is>
          <t>🔴 Avoid</t>
        </is>
      </c>
      <c r="U352" s="68" t="inlineStr">
        <is>
          <t>FULL</t>
        </is>
      </c>
    </row>
    <row r="353" ht="16" customHeight="1">
      <c r="A353" s="90" t="n">
        <v>349</v>
      </c>
      <c r="B353" s="91" t="inlineStr">
        <is>
          <t>UTI India Consumer Fund - Regular Plan - Growth Option</t>
        </is>
      </c>
      <c r="C353" s="91" t="inlineStr">
        <is>
          <t>UTI Mutual Fund</t>
        </is>
      </c>
      <c r="D353" s="91" t="inlineStr">
        <is>
          <t>Sectoral/ Thematic</t>
        </is>
      </c>
      <c r="E353" s="91" t="inlineStr">
        <is>
          <t>Sectoral/ Thematic</t>
        </is>
      </c>
      <c r="F353" s="92" t="n">
        <v>-3.63</v>
      </c>
      <c r="G353" s="93" t="n">
        <v>2.05</v>
      </c>
      <c r="H353" s="92" t="n">
        <v>-10.49</v>
      </c>
      <c r="I353" s="92" t="n">
        <v>-6.87</v>
      </c>
      <c r="J353" s="92" t="n">
        <v>-2.373159428362126</v>
      </c>
      <c r="K353" s="93" t="n">
        <v>29.84</v>
      </c>
      <c r="L353" s="78" t="n">
        <v>25.1</v>
      </c>
      <c r="M353" s="18" t="n">
        <v>0</v>
      </c>
      <c r="N353" s="19" t="n">
        <v>13.8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94" t="inlineStr">
        <is>
          <t>📉 Weak</t>
        </is>
      </c>
      <c r="S353" s="94" t="inlineStr">
        <is>
          <t>🔴 Not Qualified</t>
        </is>
      </c>
      <c r="T353" s="94" t="inlineStr">
        <is>
          <t>🔴 Avoid</t>
        </is>
      </c>
      <c r="U353" s="68" t="inlineStr">
        <is>
          <t>FULL</t>
        </is>
      </c>
    </row>
    <row r="354" ht="16" customHeight="1">
      <c r="A354" s="85" t="n">
        <v>350</v>
      </c>
      <c r="B354" s="86" t="inlineStr">
        <is>
          <t>Aditya Birla Sun Life Digital India Fund - Growth - Regular Plan</t>
        </is>
      </c>
      <c r="C354" s="86" t="inlineStr">
        <is>
          <t>Aditya Birla Sun Life Mutual Fund</t>
        </is>
      </c>
      <c r="D354" s="86" t="inlineStr">
        <is>
          <t>Sectoral/ Thematic</t>
        </is>
      </c>
      <c r="E354" s="86" t="inlineStr">
        <is>
          <t>Sectoral/ Thematic</t>
        </is>
      </c>
      <c r="F354" s="87" t="n">
        <v>-2.59</v>
      </c>
      <c r="G354" s="88" t="n">
        <v>2.12</v>
      </c>
      <c r="H354" s="87" t="n">
        <v>-20.88</v>
      </c>
      <c r="I354" s="87" t="n">
        <v>-18.07</v>
      </c>
      <c r="J354" s="87" t="n">
        <v>-5.063178903019927</v>
      </c>
      <c r="K354" s="88" t="n">
        <v>16.59</v>
      </c>
      <c r="L354" s="78" t="n">
        <v>25</v>
      </c>
      <c r="M354" s="18" t="n">
        <v>0</v>
      </c>
      <c r="N354" s="19" t="n">
        <v>13.8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89" t="inlineStr">
        <is>
          <t>📉 Weak</t>
        </is>
      </c>
      <c r="S354" s="89" t="inlineStr">
        <is>
          <t>🔴 Not Qualified</t>
        </is>
      </c>
      <c r="T354" s="89" t="inlineStr">
        <is>
          <t>🔴 Avoid</t>
        </is>
      </c>
      <c r="U354" s="68" t="inlineStr">
        <is>
          <t>FULL</t>
        </is>
      </c>
    </row>
    <row r="355" ht="16" customHeight="1">
      <c r="A355" s="90" t="n">
        <v>351</v>
      </c>
      <c r="B355" s="91" t="inlineStr">
        <is>
          <t>ICICI Prudential Banking and Financial Services Fund -  Growth</t>
        </is>
      </c>
      <c r="C355" s="91" t="inlineStr">
        <is>
          <t>ICICI Prudential Mutual Fund</t>
        </is>
      </c>
      <c r="D355" s="91" t="inlineStr">
        <is>
          <t>Sectoral/ Thematic</t>
        </is>
      </c>
      <c r="E355" s="91" t="inlineStr">
        <is>
          <t>Sectoral/ Thematic</t>
        </is>
      </c>
      <c r="F355" s="92" t="n">
        <v>-2.83</v>
      </c>
      <c r="G355" s="92" t="n">
        <v>-1.34</v>
      </c>
      <c r="H355" s="92" t="n">
        <v>-10.2</v>
      </c>
      <c r="I355" s="92" t="n">
        <v>-7.09</v>
      </c>
      <c r="J355" s="93" t="n">
        <v>5.285326612971097</v>
      </c>
      <c r="K355" s="93" t="n">
        <v>31.97</v>
      </c>
      <c r="L355" s="78" t="n">
        <v>24.4</v>
      </c>
      <c r="M355" s="18" t="n">
        <v>0</v>
      </c>
      <c r="N355" s="19" t="n">
        <v>13.4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94" t="inlineStr">
        <is>
          <t>📉 Weak</t>
        </is>
      </c>
      <c r="S355" s="94" t="inlineStr">
        <is>
          <t>🔴 Not Qualified</t>
        </is>
      </c>
      <c r="T355" s="94" t="inlineStr">
        <is>
          <t>🔴 Avoid</t>
        </is>
      </c>
      <c r="U355" s="68" t="inlineStr">
        <is>
          <t>FULL</t>
        </is>
      </c>
    </row>
    <row r="356" ht="16" customHeight="1">
      <c r="A356" s="85" t="n">
        <v>352</v>
      </c>
      <c r="B356" s="86" t="inlineStr">
        <is>
          <t>Taurus Infrastructure Fund - Regular Plan - Growth</t>
        </is>
      </c>
      <c r="C356" s="86" t="inlineStr">
        <is>
          <t>Taurus Mutual Fund</t>
        </is>
      </c>
      <c r="D356" s="86" t="inlineStr">
        <is>
          <t>Sectoral/ Thematic</t>
        </is>
      </c>
      <c r="E356" s="86" t="inlineStr">
        <is>
          <t>Sectoral/ Thematic</t>
        </is>
      </c>
      <c r="F356" s="87" t="n">
        <v>-4.46</v>
      </c>
      <c r="G356" s="88" t="n">
        <v>1.62</v>
      </c>
      <c r="H356" s="87" t="n">
        <v>-6.89</v>
      </c>
      <c r="I356" s="87" t="n">
        <v>-9.210000000000001</v>
      </c>
      <c r="J356" s="87" t="n">
        <v>-4.067732227367838</v>
      </c>
      <c r="K356" s="88" t="n">
        <v>47.52</v>
      </c>
      <c r="L356" s="78" t="n">
        <v>24.4</v>
      </c>
      <c r="M356" s="18" t="n">
        <v>0</v>
      </c>
      <c r="N356" s="19" t="n">
        <v>13.4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89" t="inlineStr">
        <is>
          <t>📉 Weak</t>
        </is>
      </c>
      <c r="S356" s="89" t="inlineStr">
        <is>
          <t>🔴 Not Qualified</t>
        </is>
      </c>
      <c r="T356" s="89" t="inlineStr">
        <is>
          <t>🔴 Avoid</t>
        </is>
      </c>
      <c r="U356" s="68" t="inlineStr">
        <is>
          <t>FULL</t>
        </is>
      </c>
    </row>
    <row r="357" ht="16" customHeight="1">
      <c r="A357" s="90" t="n">
        <v>353</v>
      </c>
      <c r="B357" s="91" t="inlineStr">
        <is>
          <t>CANARA ROBECO LARGE CAP FUND - REGULAR PLAN - GROWTH OPTION</t>
        </is>
      </c>
      <c r="C357" s="91" t="inlineStr">
        <is>
          <t>Canara Robeco Mutual Fund</t>
        </is>
      </c>
      <c r="D357" s="91" t="inlineStr">
        <is>
          <t>Large Cap Fund</t>
        </is>
      </c>
      <c r="E357" s="91" t="inlineStr">
        <is>
          <t>Large Cap Fund</t>
        </is>
      </c>
      <c r="F357" s="92" t="n">
        <v>-2.92</v>
      </c>
      <c r="G357" s="92" t="n">
        <v>-1.14</v>
      </c>
      <c r="H357" s="92" t="n">
        <v>-10.14</v>
      </c>
      <c r="I357" s="92" t="n">
        <v>-7.83</v>
      </c>
      <c r="J357" s="93" t="n">
        <v>0.8265837961398015</v>
      </c>
      <c r="K357" s="93" t="n">
        <v>32.78</v>
      </c>
      <c r="L357" s="78" t="n">
        <v>24.3</v>
      </c>
      <c r="M357" s="18" t="n">
        <v>0</v>
      </c>
      <c r="N357" s="19" t="n">
        <v>13.4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94" t="inlineStr">
        <is>
          <t>📉 Weak</t>
        </is>
      </c>
      <c r="S357" s="94" t="inlineStr">
        <is>
          <t>🔴 Not Qualified</t>
        </is>
      </c>
      <c r="T357" s="94" t="inlineStr">
        <is>
          <t>🔴 Avoid</t>
        </is>
      </c>
      <c r="U357" s="68" t="inlineStr">
        <is>
          <t>FULL</t>
        </is>
      </c>
    </row>
    <row r="358" ht="16" customHeight="1">
      <c r="A358" s="85" t="n">
        <v>354</v>
      </c>
      <c r="B358" s="86" t="inlineStr">
        <is>
          <t>HDFC Housing Opportunities Fund  - Growth Option</t>
        </is>
      </c>
      <c r="C358" s="86" t="inlineStr">
        <is>
          <t>HDFC Mutual Fund</t>
        </is>
      </c>
      <c r="D358" s="86" t="inlineStr">
        <is>
          <t>Sectoral/ Thematic</t>
        </is>
      </c>
      <c r="E358" s="86" t="inlineStr">
        <is>
          <t>Sectoral/ Thematic</t>
        </is>
      </c>
      <c r="F358" s="87" t="n">
        <v>-3.76</v>
      </c>
      <c r="G358" s="87" t="n">
        <v>-1.1</v>
      </c>
      <c r="H358" s="87" t="n">
        <v>-6.89</v>
      </c>
      <c r="I358" s="87" t="n">
        <v>-7.79</v>
      </c>
      <c r="J358" s="87" t="n">
        <v>-5.501322760580396</v>
      </c>
      <c r="K358" s="88" t="n">
        <v>42.97</v>
      </c>
      <c r="L358" s="78" t="n">
        <v>24.1</v>
      </c>
      <c r="M358" s="18" t="n">
        <v>0</v>
      </c>
      <c r="N358" s="19" t="n">
        <v>13.2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89" t="inlineStr">
        <is>
          <t>📉 Weak</t>
        </is>
      </c>
      <c r="S358" s="89" t="inlineStr">
        <is>
          <t>🔴 Not Qualified</t>
        </is>
      </c>
      <c r="T358" s="89" t="inlineStr">
        <is>
          <t>🔴 Avoid</t>
        </is>
      </c>
      <c r="U358" s="68" t="inlineStr">
        <is>
          <t>FULL</t>
        </is>
      </c>
    </row>
    <row r="359" ht="16" customHeight="1">
      <c r="A359" s="90" t="n">
        <v>355</v>
      </c>
      <c r="B359" s="91" t="inlineStr">
        <is>
          <t>Taurus Infrastructure Fund - Regular Plan - Payout of Income Distribution cum Capital Withdrawal option</t>
        </is>
      </c>
      <c r="C359" s="91" t="inlineStr">
        <is>
          <t>Taurus Mutual Fund</t>
        </is>
      </c>
      <c r="D359" s="91" t="inlineStr">
        <is>
          <t>Sectoral/ Thematic</t>
        </is>
      </c>
      <c r="E359" s="91" t="inlineStr">
        <is>
          <t>Sectoral/ Thematic</t>
        </is>
      </c>
      <c r="F359" s="92" t="n">
        <v>-4.48</v>
      </c>
      <c r="G359" s="93" t="n">
        <v>1.62</v>
      </c>
      <c r="H359" s="92" t="n">
        <v>-6.91</v>
      </c>
      <c r="I359" s="92" t="n">
        <v>-9.23</v>
      </c>
      <c r="J359" s="92" t="n">
        <v>-4.072944379596432</v>
      </c>
      <c r="K359" s="93" t="n">
        <v>47.49</v>
      </c>
      <c r="L359" s="78" t="n">
        <v>24</v>
      </c>
      <c r="M359" s="18" t="n">
        <v>0</v>
      </c>
      <c r="N359" s="19" t="n">
        <v>13.2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94" t="inlineStr">
        <is>
          <t>📉 Weak</t>
        </is>
      </c>
      <c r="S359" s="94" t="inlineStr">
        <is>
          <t>🔴 Not Qualified</t>
        </is>
      </c>
      <c r="T359" s="94" t="inlineStr">
        <is>
          <t>🔴 Avoid</t>
        </is>
      </c>
      <c r="U359" s="68" t="inlineStr">
        <is>
          <t>FULL</t>
        </is>
      </c>
    </row>
    <row r="360" ht="16" customHeight="1">
      <c r="A360" s="85" t="n">
        <v>356</v>
      </c>
      <c r="B360" s="86" t="inlineStr">
        <is>
          <t>Franklin India Small Cap Fund-Growth</t>
        </is>
      </c>
      <c r="C360" s="86" t="inlineStr">
        <is>
          <t>Franklin Templeton Mutual Fund</t>
        </is>
      </c>
      <c r="D360" s="86" t="inlineStr">
        <is>
          <t>Small Cap Fund</t>
        </is>
      </c>
      <c r="E360" s="86" t="inlineStr">
        <is>
          <t>Small Cap Fund</t>
        </is>
      </c>
      <c r="F360" s="87" t="n">
        <v>-4.04</v>
      </c>
      <c r="G360" s="88" t="n">
        <v>7.69</v>
      </c>
      <c r="H360" s="88" t="n">
        <v>1.04</v>
      </c>
      <c r="I360" s="87" t="n">
        <v>-5.4</v>
      </c>
      <c r="J360" s="87" t="n">
        <v>-1.806313848598196</v>
      </c>
      <c r="K360" s="88" t="n">
        <v>54.01</v>
      </c>
      <c r="L360" s="78" t="n">
        <v>23.9</v>
      </c>
      <c r="M360" s="18" t="n">
        <v>0</v>
      </c>
      <c r="N360" s="19" t="n">
        <v>13.1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89" t="inlineStr">
        <is>
          <t>📉 Weak</t>
        </is>
      </c>
      <c r="S360" s="89" t="inlineStr">
        <is>
          <t>🔴 Not Qualified</t>
        </is>
      </c>
      <c r="T360" s="89" t="inlineStr">
        <is>
          <t>🔴 Avoid</t>
        </is>
      </c>
      <c r="U360" s="68" t="inlineStr">
        <is>
          <t>FULL</t>
        </is>
      </c>
    </row>
    <row r="361" ht="16" customHeight="1">
      <c r="A361" s="90" t="n">
        <v>357</v>
      </c>
      <c r="B361" s="91" t="inlineStr">
        <is>
          <t>Nippon India Consumption Fund-Growth Plan-Growth Option</t>
        </is>
      </c>
      <c r="C361" s="91" t="inlineStr">
        <is>
          <t>Nippon India Mutual Fund</t>
        </is>
      </c>
      <c r="D361" s="91" t="inlineStr">
        <is>
          <t>Sectoral/ Thematic</t>
        </is>
      </c>
      <c r="E361" s="91" t="inlineStr">
        <is>
          <t>Sectoral/ Thematic</t>
        </is>
      </c>
      <c r="F361" s="92" t="n">
        <v>-3.54</v>
      </c>
      <c r="G361" s="93" t="n">
        <v>2.8</v>
      </c>
      <c r="H361" s="92" t="n">
        <v>-10.18</v>
      </c>
      <c r="I361" s="92" t="n">
        <v>-10.24</v>
      </c>
      <c r="J361" s="92" t="n">
        <v>-4.323461601080069</v>
      </c>
      <c r="K361" s="93" t="n">
        <v>31.26</v>
      </c>
      <c r="L361" s="78" t="n">
        <v>23.7</v>
      </c>
      <c r="M361" s="18" t="n">
        <v>0</v>
      </c>
      <c r="N361" s="19" t="n">
        <v>13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94" t="inlineStr">
        <is>
          <t>📉 Weak</t>
        </is>
      </c>
      <c r="S361" s="94" t="inlineStr">
        <is>
          <t>🔴 Not Qualified</t>
        </is>
      </c>
      <c r="T361" s="94" t="inlineStr">
        <is>
          <t>🔴 Avoid</t>
        </is>
      </c>
      <c r="U361" s="68" t="inlineStr">
        <is>
          <t>FULL</t>
        </is>
      </c>
    </row>
    <row r="362" ht="16" customHeight="1">
      <c r="A362" s="85" t="n">
        <v>358</v>
      </c>
      <c r="B362" s="86" t="inlineStr">
        <is>
          <t>Nippon India Consumption Fund-Growth Plan-Bonus Option</t>
        </is>
      </c>
      <c r="C362" s="86" t="inlineStr">
        <is>
          <t>Nippon India Mutual Fund</t>
        </is>
      </c>
      <c r="D362" s="86" t="inlineStr">
        <is>
          <t>Sectoral/ Thematic</t>
        </is>
      </c>
      <c r="E362" s="86" t="inlineStr">
        <is>
          <t>Sectoral/ Thematic</t>
        </is>
      </c>
      <c r="F362" s="87" t="n">
        <v>-3.54</v>
      </c>
      <c r="G362" s="88" t="n">
        <v>2.8</v>
      </c>
      <c r="H362" s="87" t="n">
        <v>-10.18</v>
      </c>
      <c r="I362" s="87" t="n">
        <v>-10.24</v>
      </c>
      <c r="J362" s="87" t="n">
        <v>-4.323461601080069</v>
      </c>
      <c r="K362" s="88" t="n">
        <v>31.26</v>
      </c>
      <c r="L362" s="78" t="n">
        <v>23.7</v>
      </c>
      <c r="M362" s="18" t="n">
        <v>0</v>
      </c>
      <c r="N362" s="19" t="n">
        <v>13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89" t="inlineStr">
        <is>
          <t>📉 Weak</t>
        </is>
      </c>
      <c r="S362" s="89" t="inlineStr">
        <is>
          <t>🔴 Not Qualified</t>
        </is>
      </c>
      <c r="T362" s="89" t="inlineStr">
        <is>
          <t>🔴 Avoid</t>
        </is>
      </c>
      <c r="U362" s="68" t="inlineStr">
        <is>
          <t>FULL</t>
        </is>
      </c>
    </row>
    <row r="363" ht="16" customHeight="1">
      <c r="A363" s="90" t="n">
        <v>359</v>
      </c>
      <c r="B363" s="91" t="inlineStr">
        <is>
          <t>Nippon India Multi Cap Fund-Growth Plan-Growth Option</t>
        </is>
      </c>
      <c r="C363" s="91" t="inlineStr">
        <is>
          <t>Nippon India Mutual Fund</t>
        </is>
      </c>
      <c r="D363" s="91" t="inlineStr">
        <is>
          <t>Multi Cap Fund</t>
        </is>
      </c>
      <c r="E363" s="91" t="inlineStr">
        <is>
          <t>Multi Cap Fund</t>
        </is>
      </c>
      <c r="F363" s="92" t="n">
        <v>-3.58</v>
      </c>
      <c r="G363" s="93" t="n">
        <v>1.43</v>
      </c>
      <c r="H363" s="92" t="n">
        <v>-4.66</v>
      </c>
      <c r="I363" s="92" t="n">
        <v>-4.41</v>
      </c>
      <c r="J363" s="93" t="n">
        <v>1.82828683622247</v>
      </c>
      <c r="K363" s="93" t="n">
        <v>57.88</v>
      </c>
      <c r="L363" s="78" t="n">
        <v>23.6</v>
      </c>
      <c r="M363" s="18" t="n">
        <v>0</v>
      </c>
      <c r="N363" s="19" t="n">
        <v>13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94" t="inlineStr">
        <is>
          <t>📉 Weak</t>
        </is>
      </c>
      <c r="S363" s="94" t="inlineStr">
        <is>
          <t>🔴 Not Qualified</t>
        </is>
      </c>
      <c r="T363" s="94" t="inlineStr">
        <is>
          <t>🔴 Avoid</t>
        </is>
      </c>
      <c r="U363" s="68" t="inlineStr">
        <is>
          <t>FULL</t>
        </is>
      </c>
    </row>
    <row r="364" ht="16" customHeight="1">
      <c r="A364" s="85" t="n">
        <v>360</v>
      </c>
      <c r="B364" s="86" t="inlineStr">
        <is>
          <t>Nippon India Multi Cap Fund-Growth Plan-Bonus Option</t>
        </is>
      </c>
      <c r="C364" s="86" t="inlineStr">
        <is>
          <t>Nippon India Mutual Fund</t>
        </is>
      </c>
      <c r="D364" s="86" t="inlineStr">
        <is>
          <t>Multi Cap Fund</t>
        </is>
      </c>
      <c r="E364" s="86" t="inlineStr">
        <is>
          <t>Multi Cap Fund</t>
        </is>
      </c>
      <c r="F364" s="87" t="n">
        <v>-3.58</v>
      </c>
      <c r="G364" s="88" t="n">
        <v>1.43</v>
      </c>
      <c r="H364" s="87" t="n">
        <v>-4.66</v>
      </c>
      <c r="I364" s="87" t="n">
        <v>-4.41</v>
      </c>
      <c r="J364" s="88" t="n">
        <v>1.82828683622247</v>
      </c>
      <c r="K364" s="88" t="n">
        <v>57.88</v>
      </c>
      <c r="L364" s="78" t="n">
        <v>23.6</v>
      </c>
      <c r="M364" s="18" t="n">
        <v>0</v>
      </c>
      <c r="N364" s="19" t="n">
        <v>13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89" t="inlineStr">
        <is>
          <t>📉 Weak</t>
        </is>
      </c>
      <c r="S364" s="89" t="inlineStr">
        <is>
          <t>🔴 Not Qualified</t>
        </is>
      </c>
      <c r="T364" s="89" t="inlineStr">
        <is>
          <t>🔴 Avoid</t>
        </is>
      </c>
      <c r="U364" s="68" t="inlineStr">
        <is>
          <t>FULL</t>
        </is>
      </c>
    </row>
    <row r="365" ht="16" customHeight="1">
      <c r="A365" s="90" t="n">
        <v>361</v>
      </c>
      <c r="B365" s="91" t="inlineStr">
        <is>
          <t>ICICI Prudential Value Fund (erstwhile Value Discovery Fund) - Growth</t>
        </is>
      </c>
      <c r="C365" s="91" t="inlineStr">
        <is>
          <t>ICICI Prudential Mutual Fund</t>
        </is>
      </c>
      <c r="D365" s="91" t="inlineStr">
        <is>
          <t>Value Fund</t>
        </is>
      </c>
      <c r="E365" s="91" t="inlineStr">
        <is>
          <t>Value Fund</t>
        </is>
      </c>
      <c r="F365" s="92" t="n">
        <v>-2.84</v>
      </c>
      <c r="G365" s="92" t="n">
        <v>-2.87</v>
      </c>
      <c r="H365" s="92" t="n">
        <v>-10.12</v>
      </c>
      <c r="I365" s="92" t="n">
        <v>-4.61</v>
      </c>
      <c r="J365" s="93" t="n">
        <v>3.788245962632963</v>
      </c>
      <c r="K365" s="93" t="n">
        <v>53.69</v>
      </c>
      <c r="L365" s="78" t="n">
        <v>23.5</v>
      </c>
      <c r="M365" s="18" t="n">
        <v>0</v>
      </c>
      <c r="N365" s="19" t="n">
        <v>12.9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94" t="inlineStr">
        <is>
          <t>📉 Weak</t>
        </is>
      </c>
      <c r="S365" s="94" t="inlineStr">
        <is>
          <t>🔴 Not Qualified</t>
        </is>
      </c>
      <c r="T365" s="94" t="inlineStr">
        <is>
          <t>🔴 Avoid</t>
        </is>
      </c>
      <c r="U365" s="68" t="inlineStr">
        <is>
          <t>FULL</t>
        </is>
      </c>
    </row>
    <row r="366" ht="16" customHeight="1">
      <c r="A366" s="85" t="n">
        <v>362</v>
      </c>
      <c r="B366" s="86" t="inlineStr">
        <is>
          <t>Invesco India Multicap Fund - Regular Plan - Growth Option</t>
        </is>
      </c>
      <c r="C366" s="86" t="inlineStr">
        <is>
          <t>Invesco Mutual Fund</t>
        </is>
      </c>
      <c r="D366" s="86" t="inlineStr">
        <is>
          <t>Multi Cap Fund</t>
        </is>
      </c>
      <c r="E366" s="86" t="inlineStr">
        <is>
          <t>Multi Cap Fund</t>
        </is>
      </c>
      <c r="F366" s="87" t="n">
        <v>-3.54</v>
      </c>
      <c r="G366" s="88" t="n">
        <v>4.81</v>
      </c>
      <c r="H366" s="87" t="n">
        <v>-6.68</v>
      </c>
      <c r="I366" s="87" t="n">
        <v>-10.07</v>
      </c>
      <c r="J366" s="88" t="n">
        <v>0.2845950283491883</v>
      </c>
      <c r="K366" s="88" t="n">
        <v>43.1</v>
      </c>
      <c r="L366" s="78" t="n">
        <v>23.4</v>
      </c>
      <c r="M366" s="18" t="n">
        <v>0</v>
      </c>
      <c r="N366" s="19" t="n">
        <v>12.9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89" t="inlineStr">
        <is>
          <t>📉 Weak</t>
        </is>
      </c>
      <c r="S366" s="89" t="inlineStr">
        <is>
          <t>🔴 Not Qualified</t>
        </is>
      </c>
      <c r="T366" s="89" t="inlineStr">
        <is>
          <t>🔴 Avoid</t>
        </is>
      </c>
      <c r="U366" s="68" t="inlineStr">
        <is>
          <t>FULL</t>
        </is>
      </c>
    </row>
    <row r="367" ht="16" customHeight="1">
      <c r="A367" s="90" t="n">
        <v>363</v>
      </c>
      <c r="B367" s="91" t="inlineStr">
        <is>
          <t>DSP Large Cap Fund - Regular Plan - Growth</t>
        </is>
      </c>
      <c r="C367" s="91" t="inlineStr">
        <is>
          <t>DSP Mutual Fund</t>
        </is>
      </c>
      <c r="D367" s="91" t="inlineStr">
        <is>
          <t>Large Cap Fund</t>
        </is>
      </c>
      <c r="E367" s="91" t="inlineStr">
        <is>
          <t>Large Cap Fund</t>
        </is>
      </c>
      <c r="F367" s="92" t="n">
        <v>-2.66</v>
      </c>
      <c r="G367" s="92" t="n">
        <v>-1.92</v>
      </c>
      <c r="H367" s="92" t="n">
        <v>-9.960000000000001</v>
      </c>
      <c r="I367" s="92" t="n">
        <v>-7.93</v>
      </c>
      <c r="J367" s="93" t="n">
        <v>2.107786186950511</v>
      </c>
      <c r="K367" s="93" t="n">
        <v>41.27</v>
      </c>
      <c r="L367" s="78" t="n">
        <v>23.2</v>
      </c>
      <c r="M367" s="18" t="n">
        <v>0</v>
      </c>
      <c r="N367" s="19" t="n">
        <v>12.8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94" t="inlineStr">
        <is>
          <t>📉 Weak</t>
        </is>
      </c>
      <c r="S367" s="94" t="inlineStr">
        <is>
          <t>🔴 Not Qualified</t>
        </is>
      </c>
      <c r="T367" s="94" t="inlineStr">
        <is>
          <t>🔴 Avoid</t>
        </is>
      </c>
      <c r="U367" s="68" t="inlineStr">
        <is>
          <t>FULL</t>
        </is>
      </c>
    </row>
    <row r="368" ht="16" customHeight="1">
      <c r="A368" s="85" t="n">
        <v>364</v>
      </c>
      <c r="B368" s="86" t="inlineStr">
        <is>
          <t>NIPPON INDIA GROWTH MID CAP FUND - IDCW Option</t>
        </is>
      </c>
      <c r="C368" s="86" t="inlineStr">
        <is>
          <t>Nippon India Mutual Fund</t>
        </is>
      </c>
      <c r="D368" s="86" t="inlineStr">
        <is>
          <t>Mid Cap Fund</t>
        </is>
      </c>
      <c r="E368" s="86" t="inlineStr">
        <is>
          <t>Mid Cap Fund</t>
        </is>
      </c>
      <c r="F368" s="87" t="n">
        <v>-3.36</v>
      </c>
      <c r="G368" s="88" t="n">
        <v>3.73</v>
      </c>
      <c r="H368" s="87" t="n">
        <v>-6.63</v>
      </c>
      <c r="I368" s="87" t="n">
        <v>-6.34</v>
      </c>
      <c r="J368" s="87" t="n">
        <v>-1.379515312486923</v>
      </c>
      <c r="K368" s="88" t="n">
        <v>40.4</v>
      </c>
      <c r="L368" s="78" t="n">
        <v>22.8</v>
      </c>
      <c r="M368" s="18" t="n">
        <v>0</v>
      </c>
      <c r="N368" s="19" t="n">
        <v>12.5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89" t="inlineStr">
        <is>
          <t>📉 Weak</t>
        </is>
      </c>
      <c r="S368" s="89" t="inlineStr">
        <is>
          <t>🔴 Not Qualified</t>
        </is>
      </c>
      <c r="T368" s="89" t="inlineStr">
        <is>
          <t>🔴 Avoid</t>
        </is>
      </c>
      <c r="U368" s="68" t="inlineStr">
        <is>
          <t>FULL</t>
        </is>
      </c>
    </row>
    <row r="369" ht="16" customHeight="1">
      <c r="A369" s="90" t="n">
        <v>365</v>
      </c>
      <c r="B369" s="91" t="inlineStr">
        <is>
          <t>Mahindra Manulife Flexi Cap Fund - Regular Plan -Growth</t>
        </is>
      </c>
      <c r="C369" s="91" t="inlineStr">
        <is>
          <t>Mahindra Manulife Mutual Fund</t>
        </is>
      </c>
      <c r="D369" s="91" t="inlineStr">
        <is>
          <t>Flexi Cap Fund</t>
        </is>
      </c>
      <c r="E369" s="91" t="inlineStr">
        <is>
          <t>Flexi Cap Fund</t>
        </is>
      </c>
      <c r="F369" s="92" t="n">
        <v>-3.04</v>
      </c>
      <c r="G369" s="92" t="n">
        <v>-0.33</v>
      </c>
      <c r="H369" s="92" t="n">
        <v>-9.369999999999999</v>
      </c>
      <c r="I369" s="92" t="n">
        <v>-6.98</v>
      </c>
      <c r="J369" s="92" t="n">
        <v>-0.3305463042964196</v>
      </c>
      <c r="K369" s="93" t="n">
        <v>34.96</v>
      </c>
      <c r="L369" s="78" t="n">
        <v>22.6</v>
      </c>
      <c r="M369" s="18" t="n">
        <v>0</v>
      </c>
      <c r="N369" s="19" t="n">
        <v>12.4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94" t="inlineStr">
        <is>
          <t>📉 Weak</t>
        </is>
      </c>
      <c r="S369" s="94" t="inlineStr">
        <is>
          <t>🔴 Not Qualified</t>
        </is>
      </c>
      <c r="T369" s="94" t="inlineStr">
        <is>
          <t>🔴 Avoid</t>
        </is>
      </c>
      <c r="U369" s="68" t="inlineStr">
        <is>
          <t>FULL</t>
        </is>
      </c>
    </row>
    <row r="370" ht="16" customHeight="1">
      <c r="A370" s="85" t="n">
        <v>366</v>
      </c>
      <c r="B370" s="86" t="inlineStr">
        <is>
          <t>Invesco India Contra Fund - Regular Plan - Growth</t>
        </is>
      </c>
      <c r="C370" s="86" t="inlineStr">
        <is>
          <t>Invesco Mutual Fund</t>
        </is>
      </c>
      <c r="D370" s="86" t="inlineStr">
        <is>
          <t>Contra Fund</t>
        </is>
      </c>
      <c r="E370" s="86" t="inlineStr">
        <is>
          <t>Contra Fund</t>
        </is>
      </c>
      <c r="F370" s="87" t="n">
        <v>-2.55</v>
      </c>
      <c r="G370" s="88" t="n">
        <v>1.81</v>
      </c>
      <c r="H370" s="87" t="n">
        <v>-8.48</v>
      </c>
      <c r="I370" s="87" t="n">
        <v>-6.88</v>
      </c>
      <c r="J370" s="88" t="n">
        <v>2.195890328329742</v>
      </c>
      <c r="K370" s="88" t="n">
        <v>52.19</v>
      </c>
      <c r="L370" s="78" t="n">
        <v>22.5</v>
      </c>
      <c r="M370" s="18" t="n">
        <v>0</v>
      </c>
      <c r="N370" s="19" t="n">
        <v>12.4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89" t="inlineStr">
        <is>
          <t>📉 Weak</t>
        </is>
      </c>
      <c r="S370" s="89" t="inlineStr">
        <is>
          <t>🔴 Not Qualified</t>
        </is>
      </c>
      <c r="T370" s="89" t="inlineStr">
        <is>
          <t>🔴 Avoid</t>
        </is>
      </c>
      <c r="U370" s="68" t="inlineStr">
        <is>
          <t>FULL</t>
        </is>
      </c>
    </row>
    <row r="371" ht="16" customHeight="1">
      <c r="A371" s="90" t="n">
        <v>367</v>
      </c>
      <c r="B371" s="91" t="inlineStr">
        <is>
          <t>Sundaram Large and Midcap Fund Regular Plan - Growth</t>
        </is>
      </c>
      <c r="C371" s="91" t="inlineStr">
        <is>
          <t>Sundaram Mutual Fund</t>
        </is>
      </c>
      <c r="D371" s="91" t="inlineStr">
        <is>
          <t>Large &amp; Mid Cap Fund</t>
        </is>
      </c>
      <c r="E371" s="91" t="inlineStr">
        <is>
          <t>Large &amp; Mid Cap Fund</t>
        </is>
      </c>
      <c r="F371" s="92" t="n">
        <v>-3.81</v>
      </c>
      <c r="G371" s="93" t="n">
        <v>0.28</v>
      </c>
      <c r="H371" s="92" t="n">
        <v>-6.74</v>
      </c>
      <c r="I371" s="92" t="n">
        <v>-3.62</v>
      </c>
      <c r="J371" s="93" t="n">
        <v>1.419919148064785</v>
      </c>
      <c r="K371" s="93" t="n">
        <v>41.31</v>
      </c>
      <c r="L371" s="78" t="n">
        <v>22.4</v>
      </c>
      <c r="M371" s="18" t="n">
        <v>0</v>
      </c>
      <c r="N371" s="19" t="n">
        <v>12.3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94" t="inlineStr">
        <is>
          <t>📉 Weak</t>
        </is>
      </c>
      <c r="S371" s="94" t="inlineStr">
        <is>
          <t>🔴 Not Qualified</t>
        </is>
      </c>
      <c r="T371" s="94" t="inlineStr">
        <is>
          <t>🔴 Avoid</t>
        </is>
      </c>
      <c r="U371" s="68" t="inlineStr">
        <is>
          <t>FULL</t>
        </is>
      </c>
    </row>
    <row r="372" ht="16" customHeight="1">
      <c r="A372" s="85" t="n">
        <v>368</v>
      </c>
      <c r="B372" s="86" t="inlineStr">
        <is>
          <t>Groww ELSS Tax Saver Fund (formerly known as Indiabulls Tax Savings Fund)-Regular Plan-Growth Option</t>
        </is>
      </c>
      <c r="C372" s="86" t="inlineStr">
        <is>
          <t>Groww Mutual Fund</t>
        </is>
      </c>
      <c r="D372" s="86" t="inlineStr">
        <is>
          <t>Elss</t>
        </is>
      </c>
      <c r="E372" s="86" t="inlineStr">
        <is>
          <t>Elss</t>
        </is>
      </c>
      <c r="F372" s="87" t="n">
        <v>-3.17</v>
      </c>
      <c r="G372" s="87" t="n">
        <v>-0.88</v>
      </c>
      <c r="H372" s="87" t="n">
        <v>-9.98</v>
      </c>
      <c r="I372" s="87" t="n">
        <v>-9.16</v>
      </c>
      <c r="J372" s="87" t="n">
        <v>-3.392546871372293</v>
      </c>
      <c r="K372" s="88" t="n">
        <v>29.04</v>
      </c>
      <c r="L372" s="78" t="n">
        <v>22</v>
      </c>
      <c r="M372" s="18" t="n">
        <v>0</v>
      </c>
      <c r="N372" s="19" t="n">
        <v>12.1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89" t="inlineStr">
        <is>
          <t>📉 Weak</t>
        </is>
      </c>
      <c r="S372" s="89" t="inlineStr">
        <is>
          <t>🔴 Not Qualified</t>
        </is>
      </c>
      <c r="T372" s="89" t="inlineStr">
        <is>
          <t>🔴 Avoid</t>
        </is>
      </c>
      <c r="U372" s="68" t="inlineStr">
        <is>
          <t>FULL</t>
        </is>
      </c>
    </row>
    <row r="373" ht="16" customHeight="1">
      <c r="A373" s="90" t="n">
        <v>369</v>
      </c>
      <c r="B373" s="91" t="inlineStr">
        <is>
          <t>NAVI ELSS TAX SAVER NIFTY 50 INDEX FUND - REGULAR PLAN GROWTH</t>
        </is>
      </c>
      <c r="C373" s="91" t="inlineStr">
        <is>
          <t>Navi Mutual Fund</t>
        </is>
      </c>
      <c r="D373" s="91" t="inlineStr">
        <is>
          <t>Elss</t>
        </is>
      </c>
      <c r="E373" s="91" t="inlineStr">
        <is>
          <t>Elss</t>
        </is>
      </c>
      <c r="F373" s="92" t="n">
        <v>-2.64</v>
      </c>
      <c r="G373" s="92" t="n">
        <v>-2.06</v>
      </c>
      <c r="H373" s="92" t="n">
        <v>-11.23</v>
      </c>
      <c r="I373" s="92" t="n">
        <v>-7.73</v>
      </c>
      <c r="J373" s="92" t="n">
        <v>-0.2102209642690922</v>
      </c>
      <c r="K373" s="93" t="n">
        <v>24.32</v>
      </c>
      <c r="L373" s="78" t="n">
        <v>21.9</v>
      </c>
      <c r="M373" s="18" t="n">
        <v>0</v>
      </c>
      <c r="N373" s="19" t="n">
        <v>12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94" t="inlineStr">
        <is>
          <t>📉 Weak</t>
        </is>
      </c>
      <c r="S373" s="94" t="inlineStr">
        <is>
          <t>🔴 Not Qualified</t>
        </is>
      </c>
      <c r="T373" s="94" t="inlineStr">
        <is>
          <t>🔴 Avoid</t>
        </is>
      </c>
      <c r="U373" s="68" t="inlineStr">
        <is>
          <t>FULL</t>
        </is>
      </c>
    </row>
    <row r="374" ht="16" customHeight="1">
      <c r="A374" s="85" t="n">
        <v>370</v>
      </c>
      <c r="B374" s="86" t="inlineStr">
        <is>
          <t>LIC MF ELSS Tax Saver-Regular Plan-Growth</t>
        </is>
      </c>
      <c r="C374" s="86" t="inlineStr">
        <is>
          <t>LIC Mutual Fund</t>
        </is>
      </c>
      <c r="D374" s="86" t="inlineStr">
        <is>
          <t>Elss</t>
        </is>
      </c>
      <c r="E374" s="86" t="inlineStr">
        <is>
          <t>Elss</t>
        </is>
      </c>
      <c r="F374" s="87" t="n">
        <v>-3.17</v>
      </c>
      <c r="G374" s="87" t="n">
        <v>-0.55</v>
      </c>
      <c r="H374" s="87" t="n">
        <v>-9.76</v>
      </c>
      <c r="I374" s="87" t="n">
        <v>-9.99</v>
      </c>
      <c r="J374" s="87" t="n">
        <v>-0.2854072865962176</v>
      </c>
      <c r="K374" s="88" t="n">
        <v>29.47</v>
      </c>
      <c r="L374" s="78" t="n">
        <v>21.9</v>
      </c>
      <c r="M374" s="18" t="n">
        <v>0</v>
      </c>
      <c r="N374" s="19" t="n">
        <v>12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89" t="inlineStr">
        <is>
          <t>📉 Weak</t>
        </is>
      </c>
      <c r="S374" s="89" t="inlineStr">
        <is>
          <t>🔴 Not Qualified</t>
        </is>
      </c>
      <c r="T374" s="89" t="inlineStr">
        <is>
          <t>🔴 Avoid</t>
        </is>
      </c>
      <c r="U374" s="68" t="inlineStr">
        <is>
          <t>FULL</t>
        </is>
      </c>
    </row>
    <row r="375" ht="16" customHeight="1">
      <c r="A375" s="90" t="n">
        <v>371</v>
      </c>
      <c r="B375" s="91" t="inlineStr">
        <is>
          <t>SBI MIDCAP FUND - REGULAR PLAN - GROWTH</t>
        </is>
      </c>
      <c r="C375" s="91" t="inlineStr">
        <is>
          <t>SBI Mutual Fund</t>
        </is>
      </c>
      <c r="D375" s="91" t="inlineStr">
        <is>
          <t>Mid Cap Fund</t>
        </is>
      </c>
      <c r="E375" s="91" t="inlineStr">
        <is>
          <t>Mid Cap Fund</t>
        </is>
      </c>
      <c r="F375" s="92" t="n">
        <v>-4.43</v>
      </c>
      <c r="G375" s="93" t="n">
        <v>1.8</v>
      </c>
      <c r="H375" s="92" t="n">
        <v>-2.66</v>
      </c>
      <c r="I375" s="92" t="n">
        <v>-4.64</v>
      </c>
      <c r="J375" s="93" t="n">
        <v>0.8117056695302605</v>
      </c>
      <c r="K375" s="93" t="n">
        <v>38.92</v>
      </c>
      <c r="L375" s="78" t="n">
        <v>21.5</v>
      </c>
      <c r="M375" s="18" t="n">
        <v>0</v>
      </c>
      <c r="N375" s="19" t="n">
        <v>11.8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94" t="inlineStr">
        <is>
          <t>📉 Weak</t>
        </is>
      </c>
      <c r="S375" s="94" t="inlineStr">
        <is>
          <t>🔴 Not Qualified</t>
        </is>
      </c>
      <c r="T375" s="94" t="inlineStr">
        <is>
          <t>🔴 Avoid</t>
        </is>
      </c>
      <c r="U375" s="68" t="inlineStr">
        <is>
          <t>FULL</t>
        </is>
      </c>
    </row>
    <row r="376" ht="16" customHeight="1">
      <c r="A376" s="85" t="n">
        <v>372</v>
      </c>
      <c r="B376" s="86" t="inlineStr">
        <is>
          <t>BARODA BNP PARIBAS India Consumption Fund - Regular Plan - Growth Option</t>
        </is>
      </c>
      <c r="C376" s="86" t="inlineStr">
        <is>
          <t>Baroda BNP Paribas Mutual Fund</t>
        </is>
      </c>
      <c r="D376" s="86" t="inlineStr">
        <is>
          <t>Sectoral/ Thematic</t>
        </is>
      </c>
      <c r="E376" s="86" t="inlineStr">
        <is>
          <t>Sectoral/ Thematic</t>
        </is>
      </c>
      <c r="F376" s="87" t="n">
        <v>-3.41</v>
      </c>
      <c r="G376" s="88" t="n">
        <v>0.82</v>
      </c>
      <c r="H376" s="87" t="n">
        <v>-11.13</v>
      </c>
      <c r="I376" s="87" t="n">
        <v>-8.210000000000001</v>
      </c>
      <c r="J376" s="87" t="n">
        <v>-2.204294572818788</v>
      </c>
      <c r="K376" s="88" t="n">
        <v>30.62</v>
      </c>
      <c r="L376" s="78" t="n">
        <v>21.4</v>
      </c>
      <c r="M376" s="18" t="n">
        <v>0</v>
      </c>
      <c r="N376" s="19" t="n">
        <v>11.8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89" t="inlineStr">
        <is>
          <t>📉 Weak</t>
        </is>
      </c>
      <c r="S376" s="89" t="inlineStr">
        <is>
          <t>🔴 Not Qualified</t>
        </is>
      </c>
      <c r="T376" s="89" t="inlineStr">
        <is>
          <t>🔴 Avoid</t>
        </is>
      </c>
      <c r="U376" s="68" t="inlineStr">
        <is>
          <t>FULL</t>
        </is>
      </c>
    </row>
    <row r="377" ht="16" customHeight="1">
      <c r="A377" s="90" t="n">
        <v>373</v>
      </c>
      <c r="B377" s="91" t="inlineStr">
        <is>
          <t>Groww ELSS Tax Saver Fund (formerly known as Indiabulls Tax Savings Fund)- Regular Plan- - Income Distribution cum capital withdrawal Option (Payout)</t>
        </is>
      </c>
      <c r="C377" s="91" t="inlineStr">
        <is>
          <t>Groww Mutual Fund</t>
        </is>
      </c>
      <c r="D377" s="91" t="inlineStr">
        <is>
          <t>Elss</t>
        </is>
      </c>
      <c r="E377" s="91" t="inlineStr">
        <is>
          <t>Elss</t>
        </is>
      </c>
      <c r="F377" s="92" t="n">
        <v>-3.22</v>
      </c>
      <c r="G377" s="92" t="n">
        <v>-0.93</v>
      </c>
      <c r="H377" s="92" t="n">
        <v>-9.98</v>
      </c>
      <c r="I377" s="92" t="n">
        <v>-9.16</v>
      </c>
      <c r="J377" s="92" t="n">
        <v>-3.392546871372293</v>
      </c>
      <c r="K377" s="93" t="n">
        <v>28.95</v>
      </c>
      <c r="L377" s="78" t="n">
        <v>21</v>
      </c>
      <c r="M377" s="18" t="n">
        <v>0</v>
      </c>
      <c r="N377" s="19" t="n">
        <v>11.5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94" t="inlineStr">
        <is>
          <t>📉 Weak</t>
        </is>
      </c>
      <c r="S377" s="94" t="inlineStr">
        <is>
          <t>🔴 Not Qualified</t>
        </is>
      </c>
      <c r="T377" s="94" t="inlineStr">
        <is>
          <t>🔴 Avoid</t>
        </is>
      </c>
      <c r="U377" s="68" t="inlineStr">
        <is>
          <t>FULL</t>
        </is>
      </c>
    </row>
    <row r="378" ht="16" customHeight="1">
      <c r="A378" s="85" t="n">
        <v>374</v>
      </c>
      <c r="B378" s="86" t="inlineStr">
        <is>
          <t>JM Value Fund (Regular) - Growth Option</t>
        </is>
      </c>
      <c r="C378" s="86" t="inlineStr">
        <is>
          <t>JM Financial Mutual Fund</t>
        </is>
      </c>
      <c r="D378" s="86" t="inlineStr">
        <is>
          <t>Value Fund</t>
        </is>
      </c>
      <c r="E378" s="86" t="inlineStr">
        <is>
          <t>Value Fund</t>
        </is>
      </c>
      <c r="F378" s="87" t="n">
        <v>-4.64</v>
      </c>
      <c r="G378" s="88" t="n">
        <v>2.16</v>
      </c>
      <c r="H378" s="87" t="n">
        <v>-7.68</v>
      </c>
      <c r="I378" s="87" t="n">
        <v>-10.93</v>
      </c>
      <c r="J378" s="87" t="n">
        <v>-4.496073379153676</v>
      </c>
      <c r="K378" s="88" t="n">
        <v>47.79</v>
      </c>
      <c r="L378" s="78" t="n">
        <v>20.9</v>
      </c>
      <c r="M378" s="18" t="n">
        <v>0</v>
      </c>
      <c r="N378" s="19" t="n">
        <v>11.5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89" t="inlineStr">
        <is>
          <t>📉 Weak</t>
        </is>
      </c>
      <c r="S378" s="89" t="inlineStr">
        <is>
          <t>🔴 Not Qualified</t>
        </is>
      </c>
      <c r="T378" s="89" t="inlineStr">
        <is>
          <t>🔴 Avoid</t>
        </is>
      </c>
      <c r="U378" s="68" t="inlineStr">
        <is>
          <t>FULL</t>
        </is>
      </c>
    </row>
    <row r="379" ht="16" customHeight="1">
      <c r="A379" s="90" t="n">
        <v>375</v>
      </c>
      <c r="B379" s="91" t="inlineStr">
        <is>
          <t>Franklin India Technology Fund-Growth</t>
        </is>
      </c>
      <c r="C379" s="91" t="inlineStr">
        <is>
          <t>Franklin Templeton Mutual Fund</t>
        </is>
      </c>
      <c r="D379" s="91" t="inlineStr">
        <is>
          <t>Sectoral/ Thematic</t>
        </is>
      </c>
      <c r="E379" s="91" t="inlineStr">
        <is>
          <t>Sectoral/ Thematic</t>
        </is>
      </c>
      <c r="F379" s="92" t="n">
        <v>-2.57</v>
      </c>
      <c r="G379" s="92" t="n">
        <v>-0.8</v>
      </c>
      <c r="H379" s="92" t="n">
        <v>-20.75</v>
      </c>
      <c r="I379" s="92" t="n">
        <v>-16.24</v>
      </c>
      <c r="J379" s="92" t="n">
        <v>-4.000000000000004</v>
      </c>
      <c r="K379" s="93" t="n">
        <v>37.3</v>
      </c>
      <c r="L379" s="78" t="n">
        <v>20.4</v>
      </c>
      <c r="M379" s="18" t="n">
        <v>0</v>
      </c>
      <c r="N379" s="19" t="n">
        <v>11.2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94" t="inlineStr">
        <is>
          <t>📉 Weak</t>
        </is>
      </c>
      <c r="S379" s="94" t="inlineStr">
        <is>
          <t>🔴 Not Qualified</t>
        </is>
      </c>
      <c r="T379" s="94" t="inlineStr">
        <is>
          <t>🔴 Avoid</t>
        </is>
      </c>
      <c r="U379" s="68" t="inlineStr">
        <is>
          <t>FULL</t>
        </is>
      </c>
    </row>
    <row r="380" ht="16" customHeight="1">
      <c r="A380" s="85" t="n">
        <v>376</v>
      </c>
      <c r="B380" s="86" t="inlineStr">
        <is>
          <t>LIC MF Banking and Financial Services Fund-Regular Plan-Growth</t>
        </is>
      </c>
      <c r="C380" s="86" t="inlineStr">
        <is>
          <t>LIC Mutual Fund</t>
        </is>
      </c>
      <c r="D380" s="86" t="inlineStr">
        <is>
          <t>Sectoral/ Thematic</t>
        </is>
      </c>
      <c r="E380" s="86" t="inlineStr">
        <is>
          <t>Sectoral/ Thematic</t>
        </is>
      </c>
      <c r="F380" s="87" t="n">
        <v>-3.71</v>
      </c>
      <c r="G380" s="87" t="n">
        <v>-2.1</v>
      </c>
      <c r="H380" s="87" t="n">
        <v>-9.5</v>
      </c>
      <c r="I380" s="87" t="n">
        <v>-5.45</v>
      </c>
      <c r="J380" s="88" t="n">
        <v>1.887192521925929</v>
      </c>
      <c r="K380" s="88" t="n">
        <v>22.75</v>
      </c>
      <c r="L380" s="78" t="n">
        <v>20.4</v>
      </c>
      <c r="M380" s="18" t="n">
        <v>0</v>
      </c>
      <c r="N380" s="19" t="n">
        <v>11.2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89" t="inlineStr">
        <is>
          <t>📉 Weak</t>
        </is>
      </c>
      <c r="S380" s="89" t="inlineStr">
        <is>
          <t>🔴 Not Qualified</t>
        </is>
      </c>
      <c r="T380" s="89" t="inlineStr">
        <is>
          <t>🔴 Avoid</t>
        </is>
      </c>
      <c r="U380" s="68" t="inlineStr">
        <is>
          <t>FULL</t>
        </is>
      </c>
    </row>
    <row r="381" ht="16" customHeight="1">
      <c r="A381" s="90" t="n">
        <v>377</v>
      </c>
      <c r="B381" s="91" t="inlineStr">
        <is>
          <t>Franklin India Large &amp; Mid Cap Fund - Growth Plan</t>
        </is>
      </c>
      <c r="C381" s="91" t="inlineStr">
        <is>
          <t>Franklin Templeton Mutual Fund</t>
        </is>
      </c>
      <c r="D381" s="91" t="inlineStr">
        <is>
          <t>Large &amp; Mid Cap Fund</t>
        </is>
      </c>
      <c r="E381" s="91" t="inlineStr">
        <is>
          <t>Large &amp; Mid Cap Fund</t>
        </is>
      </c>
      <c r="F381" s="92" t="n">
        <v>-3.45</v>
      </c>
      <c r="G381" s="93" t="n">
        <v>1.18</v>
      </c>
      <c r="H381" s="92" t="n">
        <v>-9.289999999999999</v>
      </c>
      <c r="I381" s="92" t="n">
        <v>-6.75</v>
      </c>
      <c r="J381" s="93" t="n">
        <v>2.425582741813082</v>
      </c>
      <c r="K381" s="93" t="n">
        <v>42.74</v>
      </c>
      <c r="L381" s="78" t="n">
        <v>20.1</v>
      </c>
      <c r="M381" s="18" t="n">
        <v>0</v>
      </c>
      <c r="N381" s="19" t="n">
        <v>11.1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94" t="inlineStr">
        <is>
          <t>📉 Weak</t>
        </is>
      </c>
      <c r="S381" s="94" t="inlineStr">
        <is>
          <t>🔴 Not Qualified</t>
        </is>
      </c>
      <c r="T381" s="94" t="inlineStr">
        <is>
          <t>🔴 Avoid</t>
        </is>
      </c>
      <c r="U381" s="68" t="inlineStr">
        <is>
          <t>FULL</t>
        </is>
      </c>
    </row>
    <row r="382" ht="16" customHeight="1">
      <c r="A382" s="85" t="n">
        <v>378</v>
      </c>
      <c r="B382" s="86" t="inlineStr">
        <is>
          <t>CANARA ROBECO CONSUMPTION FUND - REGULAR PLAN - GROWTH OPTION</t>
        </is>
      </c>
      <c r="C382" s="86" t="inlineStr">
        <is>
          <t>Canara Robeco Mutual Fund</t>
        </is>
      </c>
      <c r="D382" s="86" t="inlineStr">
        <is>
          <t>Sectoral/ Thematic</t>
        </is>
      </c>
      <c r="E382" s="86" t="inlineStr">
        <is>
          <t>Sectoral/ Thematic</t>
        </is>
      </c>
      <c r="F382" s="87" t="n">
        <v>-3.38</v>
      </c>
      <c r="G382" s="88" t="n">
        <v>1.19</v>
      </c>
      <c r="H382" s="87" t="n">
        <v>-10.89</v>
      </c>
      <c r="I382" s="87" t="n">
        <v>-10.45</v>
      </c>
      <c r="J382" s="87" t="n">
        <v>-1.847058118464939</v>
      </c>
      <c r="K382" s="88" t="n">
        <v>31.62</v>
      </c>
      <c r="L382" s="78" t="n">
        <v>20.1</v>
      </c>
      <c r="M382" s="18" t="n">
        <v>0</v>
      </c>
      <c r="N382" s="19" t="n">
        <v>11.1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89" t="inlineStr">
        <is>
          <t>📉 Weak</t>
        </is>
      </c>
      <c r="S382" s="89" t="inlineStr">
        <is>
          <t>🔴 Not Qualified</t>
        </is>
      </c>
      <c r="T382" s="89" t="inlineStr">
        <is>
          <t>🔴 Avoid</t>
        </is>
      </c>
      <c r="U382" s="68" t="inlineStr">
        <is>
          <t>FULL</t>
        </is>
      </c>
    </row>
    <row r="383" ht="16" customHeight="1">
      <c r="A383" s="90" t="n">
        <v>379</v>
      </c>
      <c r="B383" s="91" t="inlineStr">
        <is>
          <t>Kotak ESG Exclusionary Strategy Fund - Regular Plan - Growth Option</t>
        </is>
      </c>
      <c r="C383" s="91" t="inlineStr">
        <is>
          <t>Kotak Mahindra Mutual Fund</t>
        </is>
      </c>
      <c r="D383" s="91" t="inlineStr">
        <is>
          <t>Sectoral/ Thematic</t>
        </is>
      </c>
      <c r="E383" s="91" t="inlineStr">
        <is>
          <t>Sectoral/ Thematic</t>
        </is>
      </c>
      <c r="F383" s="92" t="n">
        <v>-3.19</v>
      </c>
      <c r="G383" s="92" t="n">
        <v>-2.46</v>
      </c>
      <c r="H383" s="92" t="n">
        <v>-10.8</v>
      </c>
      <c r="I383" s="92" t="n">
        <v>-7.41</v>
      </c>
      <c r="J383" s="92" t="n">
        <v>-1.704527062534567</v>
      </c>
      <c r="K383" s="93" t="n">
        <v>29</v>
      </c>
      <c r="L383" s="78" t="n">
        <v>20</v>
      </c>
      <c r="M383" s="18" t="n">
        <v>0</v>
      </c>
      <c r="N383" s="19" t="n">
        <v>11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94" t="inlineStr">
        <is>
          <t>📉 Weak</t>
        </is>
      </c>
      <c r="S383" s="94" t="inlineStr">
        <is>
          <t>🔴 Not Qualified</t>
        </is>
      </c>
      <c r="T383" s="94" t="inlineStr">
        <is>
          <t>🔴 Avoid</t>
        </is>
      </c>
      <c r="U383" s="68" t="inlineStr">
        <is>
          <t>FULL</t>
        </is>
      </c>
    </row>
    <row r="384" ht="16" customHeight="1">
      <c r="A384" s="85" t="n">
        <v>380</v>
      </c>
      <c r="B384" s="86" t="inlineStr">
        <is>
          <t>Kotak ESG Exclusionary Strategy Fund - Regular Plan - Payout of Income Distribution cum capital withdrawal option</t>
        </is>
      </c>
      <c r="C384" s="86" t="inlineStr">
        <is>
          <t>Kotak Mahindra Mutual Fund</t>
        </is>
      </c>
      <c r="D384" s="86" t="inlineStr">
        <is>
          <t>Sectoral/ Thematic</t>
        </is>
      </c>
      <c r="E384" s="86" t="inlineStr">
        <is>
          <t>Sectoral/ Thematic</t>
        </is>
      </c>
      <c r="F384" s="87" t="n">
        <v>-3.19</v>
      </c>
      <c r="G384" s="87" t="n">
        <v>-2.46</v>
      </c>
      <c r="H384" s="87" t="n">
        <v>-10.8</v>
      </c>
      <c r="I384" s="87" t="n">
        <v>-7.41</v>
      </c>
      <c r="J384" s="87" t="n">
        <v>-1.704527062534567</v>
      </c>
      <c r="K384" s="88" t="n">
        <v>29</v>
      </c>
      <c r="L384" s="78" t="n">
        <v>20</v>
      </c>
      <c r="M384" s="18" t="n">
        <v>0</v>
      </c>
      <c r="N384" s="19" t="n">
        <v>11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89" t="inlineStr">
        <is>
          <t>📉 Weak</t>
        </is>
      </c>
      <c r="S384" s="89" t="inlineStr">
        <is>
          <t>🔴 Not Qualified</t>
        </is>
      </c>
      <c r="T384" s="89" t="inlineStr">
        <is>
          <t>🔴 Avoid</t>
        </is>
      </c>
      <c r="U384" s="68" t="inlineStr">
        <is>
          <t>FULL</t>
        </is>
      </c>
    </row>
    <row r="385" ht="16" customHeight="1">
      <c r="A385" s="90" t="n">
        <v>381</v>
      </c>
      <c r="B385" s="91" t="inlineStr">
        <is>
          <t>Sundaram ELSS Tax Saver Fund Regular Growth</t>
        </is>
      </c>
      <c r="C385" s="91" t="inlineStr">
        <is>
          <t>Sundaram Mutual Fund</t>
        </is>
      </c>
      <c r="D385" s="91" t="inlineStr">
        <is>
          <t>Elss</t>
        </is>
      </c>
      <c r="E385" s="91" t="inlineStr">
        <is>
          <t>Elss</t>
        </is>
      </c>
      <c r="F385" s="92" t="n">
        <v>-3.99</v>
      </c>
      <c r="G385" s="92" t="n">
        <v>-1.64</v>
      </c>
      <c r="H385" s="92" t="n">
        <v>-10.36</v>
      </c>
      <c r="I385" s="92" t="n">
        <v>-7.1</v>
      </c>
      <c r="J385" s="92" t="n">
        <v>-0.1400981374405696</v>
      </c>
      <c r="K385" s="93" t="n">
        <v>33.3</v>
      </c>
      <c r="L385" s="78" t="n">
        <v>19.9</v>
      </c>
      <c r="M385" s="18" t="n">
        <v>0</v>
      </c>
      <c r="N385" s="19" t="n">
        <v>10.9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94" t="inlineStr">
        <is>
          <t>📉 Weak</t>
        </is>
      </c>
      <c r="S385" s="94" t="inlineStr">
        <is>
          <t>🔴 Not Qualified</t>
        </is>
      </c>
      <c r="T385" s="94" t="inlineStr">
        <is>
          <t>🔴 Avoid</t>
        </is>
      </c>
      <c r="U385" s="68" t="inlineStr">
        <is>
          <t>FULL</t>
        </is>
      </c>
    </row>
    <row r="386" ht="16" customHeight="1">
      <c r="A386" s="85" t="n">
        <v>382</v>
      </c>
      <c r="B386" s="86" t="inlineStr">
        <is>
          <t>UTI Large Cap Fund - Regular Plan - Growth Option</t>
        </is>
      </c>
      <c r="C386" s="86" t="inlineStr">
        <is>
          <t>UTI Mutual Fund</t>
        </is>
      </c>
      <c r="D386" s="86" t="inlineStr">
        <is>
          <t>Large Cap Fund</t>
        </is>
      </c>
      <c r="E386" s="86" t="inlineStr">
        <is>
          <t>Large Cap Fund</t>
        </is>
      </c>
      <c r="F386" s="87" t="n">
        <v>-2.91</v>
      </c>
      <c r="G386" s="87" t="n">
        <v>-1.13</v>
      </c>
      <c r="H386" s="87" t="n">
        <v>-11.28</v>
      </c>
      <c r="I386" s="87" t="n">
        <v>-8.539999999999999</v>
      </c>
      <c r="J386" s="87" t="n">
        <v>-0.9898995051515036</v>
      </c>
      <c r="K386" s="88" t="n">
        <v>25.82</v>
      </c>
      <c r="L386" s="78" t="n">
        <v>19.8</v>
      </c>
      <c r="M386" s="18" t="n">
        <v>0</v>
      </c>
      <c r="N386" s="19" t="n">
        <v>10.9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89" t="inlineStr">
        <is>
          <t>📉 Weak</t>
        </is>
      </c>
      <c r="S386" s="89" t="inlineStr">
        <is>
          <t>🔴 Not Qualified</t>
        </is>
      </c>
      <c r="T386" s="89" t="inlineStr">
        <is>
          <t>🔴 Avoid</t>
        </is>
      </c>
      <c r="U386" s="68" t="inlineStr">
        <is>
          <t>FULL</t>
        </is>
      </c>
    </row>
    <row r="387" ht="16" customHeight="1">
      <c r="A387" s="90" t="n">
        <v>383</v>
      </c>
      <c r="B387" s="91" t="inlineStr">
        <is>
          <t>BARODA BNP PARIBAS Focused Fund - Regular Plan-Growth Option</t>
        </is>
      </c>
      <c r="C387" s="91" t="inlineStr">
        <is>
          <t>Baroda BNP Paribas Mutual Fund</t>
        </is>
      </c>
      <c r="D387" s="91" t="inlineStr">
        <is>
          <t>Focused Fund</t>
        </is>
      </c>
      <c r="E387" s="91" t="inlineStr">
        <is>
          <t>Focused Fund</t>
        </is>
      </c>
      <c r="F387" s="92" t="n">
        <v>-3.57</v>
      </c>
      <c r="G387" s="92" t="n">
        <v>-0.34</v>
      </c>
      <c r="H387" s="92" t="n">
        <v>-9.98</v>
      </c>
      <c r="I387" s="92" t="n">
        <v>-9.050000000000001</v>
      </c>
      <c r="J387" s="92" t="n">
        <v>-4.192902141855903</v>
      </c>
      <c r="K387" s="93" t="n">
        <v>28.81</v>
      </c>
      <c r="L387" s="78" t="n">
        <v>19.5</v>
      </c>
      <c r="M387" s="18" t="n">
        <v>0</v>
      </c>
      <c r="N387" s="19" t="n">
        <v>10.7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94" t="inlineStr">
        <is>
          <t>📉 Weak</t>
        </is>
      </c>
      <c r="S387" s="94" t="inlineStr">
        <is>
          <t>🔴 Not Qualified</t>
        </is>
      </c>
      <c r="T387" s="94" t="inlineStr">
        <is>
          <t>🔴 Avoid</t>
        </is>
      </c>
      <c r="U387" s="68" t="inlineStr">
        <is>
          <t>FULL</t>
        </is>
      </c>
    </row>
    <row r="388" ht="16" customHeight="1">
      <c r="A388" s="85" t="n">
        <v>384</v>
      </c>
      <c r="B388" s="86" t="inlineStr">
        <is>
          <t>Quantum ELSS Tax Saver Fund - Regular Plan Growth Option</t>
        </is>
      </c>
      <c r="C388" s="86" t="inlineStr">
        <is>
          <t>Quantum Mutual Fund</t>
        </is>
      </c>
      <c r="D388" s="86" t="inlineStr">
        <is>
          <t>Elss</t>
        </is>
      </c>
      <c r="E388" s="86" t="inlineStr">
        <is>
          <t>Elss</t>
        </is>
      </c>
      <c r="F388" s="87" t="n">
        <v>-3.14</v>
      </c>
      <c r="G388" s="87" t="n">
        <v>-1.5</v>
      </c>
      <c r="H388" s="87" t="n">
        <v>-10</v>
      </c>
      <c r="I388" s="87" t="n">
        <v>-9.359999999999999</v>
      </c>
      <c r="J388" s="87" t="n">
        <v>-1.08084108727976</v>
      </c>
      <c r="K388" s="88" t="n">
        <v>38.89</v>
      </c>
      <c r="L388" s="78" t="n">
        <v>19.3</v>
      </c>
      <c r="M388" s="18" t="n">
        <v>0</v>
      </c>
      <c r="N388" s="19" t="n">
        <v>10.6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89" t="inlineStr">
        <is>
          <t>📉 Weak</t>
        </is>
      </c>
      <c r="S388" s="89" t="inlineStr">
        <is>
          <t>🔴 Not Qualified</t>
        </is>
      </c>
      <c r="T388" s="89" t="inlineStr">
        <is>
          <t>🔴 Avoid</t>
        </is>
      </c>
      <c r="U388" s="68" t="inlineStr">
        <is>
          <t>FULL</t>
        </is>
      </c>
    </row>
    <row r="389" ht="16" customHeight="1">
      <c r="A389" s="90" t="n">
        <v>385</v>
      </c>
      <c r="B389" s="91" t="inlineStr">
        <is>
          <t>CANARA ROBECO LARGE AND MID CAP FUND - REGULAR PLAN - GROWTH OPTION</t>
        </is>
      </c>
      <c r="C389" s="91" t="inlineStr">
        <is>
          <t>Canara Robeco Mutual Fund</t>
        </is>
      </c>
      <c r="D389" s="91" t="inlineStr">
        <is>
          <t>Large &amp; Mid Cap Fund</t>
        </is>
      </c>
      <c r="E389" s="91" t="inlineStr">
        <is>
          <t>Large &amp; Mid Cap Fund</t>
        </is>
      </c>
      <c r="F389" s="92" t="n">
        <v>-4.21</v>
      </c>
      <c r="G389" s="93" t="n">
        <v>1.73</v>
      </c>
      <c r="H389" s="92" t="n">
        <v>-7.03</v>
      </c>
      <c r="I389" s="92" t="n">
        <v>-8.789999999999999</v>
      </c>
      <c r="J389" s="93" t="n">
        <v>0.498756211208895</v>
      </c>
      <c r="K389" s="93" t="n">
        <v>39.75</v>
      </c>
      <c r="L389" s="78" t="n">
        <v>19.1</v>
      </c>
      <c r="M389" s="18" t="n">
        <v>0</v>
      </c>
      <c r="N389" s="19" t="n">
        <v>10.5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94" t="inlineStr">
        <is>
          <t>📉 Weak</t>
        </is>
      </c>
      <c r="S389" s="94" t="inlineStr">
        <is>
          <t>🔴 Not Qualified</t>
        </is>
      </c>
      <c r="T389" s="94" t="inlineStr">
        <is>
          <t>🔴 Avoid</t>
        </is>
      </c>
      <c r="U389" s="68" t="inlineStr">
        <is>
          <t>FULL</t>
        </is>
      </c>
    </row>
    <row r="390" ht="16" customHeight="1">
      <c r="A390" s="85" t="n">
        <v>386</v>
      </c>
      <c r="B390" s="86" t="inlineStr">
        <is>
          <t>Mahindra Manulife Consumption Fund- Regular Plan - Growth</t>
        </is>
      </c>
      <c r="C390" s="86" t="inlineStr">
        <is>
          <t>Mahindra Manulife Mutual Fund</t>
        </is>
      </c>
      <c r="D390" s="86" t="inlineStr">
        <is>
          <t>Sectoral/ Thematic</t>
        </is>
      </c>
      <c r="E390" s="86" t="inlineStr">
        <is>
          <t>Sectoral/ Thematic</t>
        </is>
      </c>
      <c r="F390" s="87" t="n">
        <v>-3.79</v>
      </c>
      <c r="G390" s="88" t="n">
        <v>0.61</v>
      </c>
      <c r="H390" s="87" t="n">
        <v>-10.88</v>
      </c>
      <c r="I390" s="87" t="n">
        <v>-8.44</v>
      </c>
      <c r="J390" s="87" t="n">
        <v>-4.057308772371826</v>
      </c>
      <c r="K390" s="88" t="n">
        <v>28.25</v>
      </c>
      <c r="L390" s="78" t="n">
        <v>18.6</v>
      </c>
      <c r="M390" s="18" t="n">
        <v>0</v>
      </c>
      <c r="N390" s="19" t="n">
        <v>10.2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89" t="inlineStr">
        <is>
          <t>📉 Weak</t>
        </is>
      </c>
      <c r="S390" s="89" t="inlineStr">
        <is>
          <t>🔴 Not Qualified</t>
        </is>
      </c>
      <c r="T390" s="89" t="inlineStr">
        <is>
          <t>🔴 Avoid</t>
        </is>
      </c>
      <c r="U390" s="68" t="inlineStr">
        <is>
          <t>FULL</t>
        </is>
      </c>
    </row>
    <row r="391" ht="16" customHeight="1">
      <c r="A391" s="90" t="n">
        <v>387</v>
      </c>
      <c r="B391" s="91" t="inlineStr">
        <is>
          <t>TATA Small Cap Fund Regular Plan - Reinvestment of Income Distribution cum capital withdrawal option</t>
        </is>
      </c>
      <c r="C391" s="91" t="inlineStr">
        <is>
          <t>Tata Mutual Fund</t>
        </is>
      </c>
      <c r="D391" s="91" t="inlineStr">
        <is>
          <t>Small Cap Fund</t>
        </is>
      </c>
      <c r="E391" s="91" t="inlineStr">
        <is>
          <t>Small Cap Fund</t>
        </is>
      </c>
      <c r="F391" s="92" t="n">
        <v>-1.95</v>
      </c>
      <c r="G391" s="93" t="n">
        <v>3.82</v>
      </c>
      <c r="H391" s="92" t="n">
        <v>-7.78</v>
      </c>
      <c r="I391" s="92" t="n">
        <v>-15.81</v>
      </c>
      <c r="J391" s="92" t="n">
        <v>-4.104223242105187</v>
      </c>
      <c r="K391" s="93" t="n">
        <v>29.08</v>
      </c>
      <c r="L391" s="78" t="n">
        <v>18.3</v>
      </c>
      <c r="M391" s="18" t="n">
        <v>0</v>
      </c>
      <c r="N391" s="19" t="n">
        <v>10.1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94" t="inlineStr">
        <is>
          <t>📉 Weak</t>
        </is>
      </c>
      <c r="S391" s="94" t="inlineStr">
        <is>
          <t>🔴 Not Qualified</t>
        </is>
      </c>
      <c r="T391" s="94" t="inlineStr">
        <is>
          <t>🔴 Avoid</t>
        </is>
      </c>
      <c r="U391" s="68" t="inlineStr">
        <is>
          <t>FULL</t>
        </is>
      </c>
    </row>
    <row r="392" ht="16" customHeight="1">
      <c r="A392" s="85" t="n">
        <v>388</v>
      </c>
      <c r="B392" s="86" t="inlineStr">
        <is>
          <t>TATA SmallCap Fund Regular Plan - Payout of Income Distribution cum capital withdrawal option</t>
        </is>
      </c>
      <c r="C392" s="86" t="inlineStr">
        <is>
          <t>Tata Mutual Fund</t>
        </is>
      </c>
      <c r="D392" s="86" t="inlineStr">
        <is>
          <t>Small Cap Fund</t>
        </is>
      </c>
      <c r="E392" s="86" t="inlineStr">
        <is>
          <t>Small Cap Fund</t>
        </is>
      </c>
      <c r="F392" s="87" t="n">
        <v>-1.95</v>
      </c>
      <c r="G392" s="88" t="n">
        <v>3.82</v>
      </c>
      <c r="H392" s="87" t="n">
        <v>-7.78</v>
      </c>
      <c r="I392" s="87" t="n">
        <v>-15.81</v>
      </c>
      <c r="J392" s="87" t="n">
        <v>-4.104223242105187</v>
      </c>
      <c r="K392" s="88" t="n">
        <v>29.08</v>
      </c>
      <c r="L392" s="78" t="n">
        <v>18.3</v>
      </c>
      <c r="M392" s="18" t="n">
        <v>0</v>
      </c>
      <c r="N392" s="19" t="n">
        <v>10.1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89" t="inlineStr">
        <is>
          <t>📉 Weak</t>
        </is>
      </c>
      <c r="S392" s="89" t="inlineStr">
        <is>
          <t>🔴 Not Qualified</t>
        </is>
      </c>
      <c r="T392" s="89" t="inlineStr">
        <is>
          <t>🔴 Avoid</t>
        </is>
      </c>
      <c r="U392" s="68" t="inlineStr">
        <is>
          <t>FULL</t>
        </is>
      </c>
    </row>
    <row r="393" ht="16" customHeight="1">
      <c r="A393" s="90" t="n">
        <v>389</v>
      </c>
      <c r="B393" s="91" t="inlineStr">
        <is>
          <t>Franklin India Mid Cap Fund-Growth</t>
        </is>
      </c>
      <c r="C393" s="91" t="inlineStr">
        <is>
          <t>Franklin Templeton Mutual Fund</t>
        </is>
      </c>
      <c r="D393" s="91" t="inlineStr">
        <is>
          <t>Mid Cap Fund</t>
        </is>
      </c>
      <c r="E393" s="91" t="inlineStr">
        <is>
          <t>Mid Cap Fund</t>
        </is>
      </c>
      <c r="F393" s="92" t="n">
        <v>-3.63</v>
      </c>
      <c r="G393" s="93" t="n">
        <v>1.69</v>
      </c>
      <c r="H393" s="92" t="n">
        <v>-6.53</v>
      </c>
      <c r="I393" s="92" t="n">
        <v>-6.07</v>
      </c>
      <c r="J393" s="93" t="n">
        <v>2.176318195558413</v>
      </c>
      <c r="K393" s="93" t="n">
        <v>59.2</v>
      </c>
      <c r="L393" s="78" t="n">
        <v>16.8</v>
      </c>
      <c r="M393" s="18" t="n">
        <v>0</v>
      </c>
      <c r="N393" s="19" t="n">
        <v>9.199999999999999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94" t="inlineStr">
        <is>
          <t>📉 Weak</t>
        </is>
      </c>
      <c r="S393" s="94" t="inlineStr">
        <is>
          <t>🔴 Not Qualified</t>
        </is>
      </c>
      <c r="T393" s="94" t="inlineStr">
        <is>
          <t>🔴 Avoid</t>
        </is>
      </c>
      <c r="U393" s="68" t="inlineStr">
        <is>
          <t>FULL</t>
        </is>
      </c>
    </row>
    <row r="394" ht="16" customHeight="1">
      <c r="A394" s="85" t="n">
        <v>390</v>
      </c>
      <c r="B394" s="86" t="inlineStr">
        <is>
          <t>ICICI Prudential Large &amp; Mid Cap Fund - Growth</t>
        </is>
      </c>
      <c r="C394" s="86" t="inlineStr">
        <is>
          <t>ICICI Prudential Mutual Fund</t>
        </is>
      </c>
      <c r="D394" s="86" t="inlineStr">
        <is>
          <t>Large &amp; Mid Cap Fund</t>
        </is>
      </c>
      <c r="E394" s="86" t="inlineStr">
        <is>
          <t>Large &amp; Mid Cap Fund</t>
        </is>
      </c>
      <c r="F394" s="87" t="n">
        <v>-3.85</v>
      </c>
      <c r="G394" s="87" t="n">
        <v>-0.47</v>
      </c>
      <c r="H394" s="87" t="n">
        <v>-7.09</v>
      </c>
      <c r="I394" s="87" t="n">
        <v>-3.75</v>
      </c>
      <c r="J394" s="88" t="n">
        <v>3.624321469431102</v>
      </c>
      <c r="K394" s="88" t="n">
        <v>57.78</v>
      </c>
      <c r="L394" s="78" t="n">
        <v>16.6</v>
      </c>
      <c r="M394" s="18" t="n">
        <v>0</v>
      </c>
      <c r="N394" s="19" t="n">
        <v>9.1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89" t="inlineStr">
        <is>
          <t>📉 Weak</t>
        </is>
      </c>
      <c r="S394" s="89" t="inlineStr">
        <is>
          <t>🔴 Not Qualified</t>
        </is>
      </c>
      <c r="T394" s="89" t="inlineStr">
        <is>
          <t>🔴 Avoid</t>
        </is>
      </c>
      <c r="U394" s="68" t="inlineStr">
        <is>
          <t>FULL</t>
        </is>
      </c>
    </row>
    <row r="395" ht="16" customHeight="1">
      <c r="A395" s="90" t="n">
        <v>391</v>
      </c>
      <c r="B395" s="91" t="inlineStr">
        <is>
          <t>CANARA ROBECO SMALL CAP FUND - REGULAR PLAN - GROWTH OPTION</t>
        </is>
      </c>
      <c r="C395" s="91" t="inlineStr">
        <is>
          <t>Canara Robeco Mutual Fund</t>
        </is>
      </c>
      <c r="D395" s="91" t="inlineStr">
        <is>
          <t>Small Cap Fund</t>
        </is>
      </c>
      <c r="E395" s="91" t="inlineStr">
        <is>
          <t>Small Cap Fund</t>
        </is>
      </c>
      <c r="F395" s="92" t="n">
        <v>-4.42</v>
      </c>
      <c r="G395" s="93" t="n">
        <v>6.01</v>
      </c>
      <c r="H395" s="92" t="n">
        <v>-1.13</v>
      </c>
      <c r="I395" s="92" t="n">
        <v>-4.06</v>
      </c>
      <c r="J395" s="93" t="n">
        <v>0.5087060905671015</v>
      </c>
      <c r="K395" s="93" t="n">
        <v>43.18</v>
      </c>
      <c r="L395" s="78" t="n">
        <v>16.5</v>
      </c>
      <c r="M395" s="18" t="n">
        <v>0</v>
      </c>
      <c r="N395" s="19" t="n">
        <v>9.1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94" t="inlineStr">
        <is>
          <t>📉 Weak</t>
        </is>
      </c>
      <c r="S395" s="94" t="inlineStr">
        <is>
          <t>🔴 Not Qualified</t>
        </is>
      </c>
      <c r="T395" s="94" t="inlineStr">
        <is>
          <t>🔴 Avoid</t>
        </is>
      </c>
      <c r="U395" s="68" t="inlineStr">
        <is>
          <t>FULL</t>
        </is>
      </c>
    </row>
    <row r="396" ht="16" customHeight="1">
      <c r="A396" s="85" t="n">
        <v>392</v>
      </c>
      <c r="B396" s="86" t="inlineStr">
        <is>
          <t>Quantum Value Fund - Regular Plan Growth Option</t>
        </is>
      </c>
      <c r="C396" s="86" t="inlineStr">
        <is>
          <t>Quantum Mutual Fund</t>
        </is>
      </c>
      <c r="D396" s="86" t="inlineStr">
        <is>
          <t>Value Fund</t>
        </is>
      </c>
      <c r="E396" s="86" t="inlineStr">
        <is>
          <t>Value Fund</t>
        </is>
      </c>
      <c r="F396" s="87" t="n">
        <v>-3.16</v>
      </c>
      <c r="G396" s="87" t="n">
        <v>-1.52</v>
      </c>
      <c r="H396" s="87" t="n">
        <v>-10.16</v>
      </c>
      <c r="I396" s="87" t="n">
        <v>-9.48</v>
      </c>
      <c r="J396" s="87" t="n">
        <v>-1.08084108727976</v>
      </c>
      <c r="K396" s="88" t="n">
        <v>39.37</v>
      </c>
      <c r="L396" s="78" t="n">
        <v>15.9</v>
      </c>
      <c r="M396" s="18" t="n">
        <v>0</v>
      </c>
      <c r="N396" s="19" t="n">
        <v>8.699999999999999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89" t="inlineStr">
        <is>
          <t>📉 Weak</t>
        </is>
      </c>
      <c r="S396" s="89" t="inlineStr">
        <is>
          <t>🔴 Not Qualified</t>
        </is>
      </c>
      <c r="T396" s="89" t="inlineStr">
        <is>
          <t>🔴 Avoid</t>
        </is>
      </c>
      <c r="U396" s="68" t="inlineStr">
        <is>
          <t>FULL</t>
        </is>
      </c>
    </row>
    <row r="397" ht="16" customHeight="1">
      <c r="A397" s="90" t="n">
        <v>393</v>
      </c>
      <c r="B397" s="91" t="inlineStr">
        <is>
          <t>Tata Ethical Fund-Regular Plan - Growth Option</t>
        </is>
      </c>
      <c r="C397" s="91" t="inlineStr">
        <is>
          <t>Tata Mutual Fund</t>
        </is>
      </c>
      <c r="D397" s="91" t="inlineStr">
        <is>
          <t>Sectoral/ Thematic</t>
        </is>
      </c>
      <c r="E397" s="91" t="inlineStr">
        <is>
          <t>Sectoral/ Thematic</t>
        </is>
      </c>
      <c r="F397" s="92" t="n">
        <v>-3.87</v>
      </c>
      <c r="G397" s="92" t="n">
        <v>-1.34</v>
      </c>
      <c r="H397" s="92" t="n">
        <v>-9.92</v>
      </c>
      <c r="I397" s="92" t="n">
        <v>-9.23</v>
      </c>
      <c r="J397" s="92" t="n">
        <v>-5.210760104324075</v>
      </c>
      <c r="K397" s="93" t="n">
        <v>17.83</v>
      </c>
      <c r="L397" s="78" t="n">
        <v>15.6</v>
      </c>
      <c r="M397" s="18" t="n">
        <v>0</v>
      </c>
      <c r="N397" s="19" t="n">
        <v>8.6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94" t="inlineStr">
        <is>
          <t>📉 Weak</t>
        </is>
      </c>
      <c r="S397" s="94" t="inlineStr">
        <is>
          <t>🔴 Not Qualified</t>
        </is>
      </c>
      <c r="T397" s="94" t="inlineStr">
        <is>
          <t>🔴 Avoid</t>
        </is>
      </c>
      <c r="U397" s="68" t="inlineStr">
        <is>
          <t>FULL</t>
        </is>
      </c>
    </row>
    <row r="398" ht="16" customHeight="1">
      <c r="A398" s="85" t="n">
        <v>394</v>
      </c>
      <c r="B398" s="86" t="inlineStr">
        <is>
          <t>ICICI Prudential FMCG Fund - Growth</t>
        </is>
      </c>
      <c r="C398" s="86" t="inlineStr">
        <is>
          <t>ICICI Prudential Mutual Fund</t>
        </is>
      </c>
      <c r="D398" s="86" t="inlineStr">
        <is>
          <t>Sectoral/ Thematic</t>
        </is>
      </c>
      <c r="E398" s="86" t="inlineStr">
        <is>
          <t>Sectoral/ Thematic</t>
        </is>
      </c>
      <c r="F398" s="87" t="n">
        <v>-3.76</v>
      </c>
      <c r="G398" s="88" t="n">
        <v>0.29</v>
      </c>
      <c r="H398" s="87" t="n">
        <v>-11.01</v>
      </c>
      <c r="I398" s="87" t="n">
        <v>-14.62</v>
      </c>
      <c r="J398" s="87" t="n">
        <v>-8.484973911384364</v>
      </c>
      <c r="K398" s="87" t="n">
        <v>-2.54</v>
      </c>
      <c r="L398" s="78" t="n">
        <v>15.5</v>
      </c>
      <c r="M398" s="18" t="n">
        <v>0</v>
      </c>
      <c r="N398" s="19" t="n">
        <v>8.5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89" t="inlineStr">
        <is>
          <t>📉 Weak</t>
        </is>
      </c>
      <c r="S398" s="89" t="inlineStr">
        <is>
          <t>🔴 Not Qualified</t>
        </is>
      </c>
      <c r="T398" s="89" t="inlineStr">
        <is>
          <t>🔴 Avoid</t>
        </is>
      </c>
      <c r="U398" s="68" t="inlineStr">
        <is>
          <t>FULL</t>
        </is>
      </c>
    </row>
    <row r="399" ht="16" customHeight="1">
      <c r="A399" s="90" t="n">
        <v>395</v>
      </c>
      <c r="B399" s="91" t="inlineStr">
        <is>
          <t>Sundaram Consumption Fund(Formerly Known as Sundaram Rural and Consumption Fund Regular Plan - Growth)</t>
        </is>
      </c>
      <c r="C399" s="91" t="inlineStr">
        <is>
          <t>Sundaram Mutual Fund</t>
        </is>
      </c>
      <c r="D399" s="91" t="inlineStr">
        <is>
          <t>Sectoral/ Thematic</t>
        </is>
      </c>
      <c r="E399" s="91" t="inlineStr">
        <is>
          <t>Sectoral/ Thematic</t>
        </is>
      </c>
      <c r="F399" s="92" t="n">
        <v>-3.98</v>
      </c>
      <c r="G399" s="93" t="n">
        <v>1.27</v>
      </c>
      <c r="H399" s="92" t="n">
        <v>-12.09</v>
      </c>
      <c r="I399" s="92" t="n">
        <v>-11.95</v>
      </c>
      <c r="J399" s="92" t="n">
        <v>-2.173623188835216</v>
      </c>
      <c r="K399" s="93" t="n">
        <v>30.73</v>
      </c>
      <c r="L399" s="78" t="n">
        <v>15.5</v>
      </c>
      <c r="M399" s="18" t="n">
        <v>0</v>
      </c>
      <c r="N399" s="19" t="n">
        <v>8.5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94" t="inlineStr">
        <is>
          <t>📉 Weak</t>
        </is>
      </c>
      <c r="S399" s="94" t="inlineStr">
        <is>
          <t>🔴 Not Qualified</t>
        </is>
      </c>
      <c r="T399" s="94" t="inlineStr">
        <is>
          <t>🔴 Avoid</t>
        </is>
      </c>
      <c r="U399" s="68" t="inlineStr">
        <is>
          <t>FULL</t>
        </is>
      </c>
    </row>
    <row r="400" ht="16" customHeight="1">
      <c r="A400" s="85" t="n">
        <v>396</v>
      </c>
      <c r="B400" s="86" t="inlineStr">
        <is>
          <t>Tata Value Fund - Regular Plan -Growth Option</t>
        </is>
      </c>
      <c r="C400" s="86" t="inlineStr">
        <is>
          <t>Tata Mutual Fund</t>
        </is>
      </c>
      <c r="D400" s="86" t="inlineStr">
        <is>
          <t>Value Fund</t>
        </is>
      </c>
      <c r="E400" s="86" t="inlineStr">
        <is>
          <t>Value Fund</t>
        </is>
      </c>
      <c r="F400" s="87" t="n">
        <v>-3.96</v>
      </c>
      <c r="G400" s="87" t="n">
        <v>-2.96</v>
      </c>
      <c r="H400" s="87" t="n">
        <v>-8.35</v>
      </c>
      <c r="I400" s="87" t="n">
        <v>-6.32</v>
      </c>
      <c r="J400" s="87" t="n">
        <v>-1.096006147375428</v>
      </c>
      <c r="K400" s="88" t="n">
        <v>46.53</v>
      </c>
      <c r="L400" s="78" t="n">
        <v>15.1</v>
      </c>
      <c r="M400" s="18" t="n">
        <v>0</v>
      </c>
      <c r="N400" s="19" t="n">
        <v>8.300000000000001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89" t="inlineStr">
        <is>
          <t>📉 Weak</t>
        </is>
      </c>
      <c r="S400" s="89" t="inlineStr">
        <is>
          <t>🔴 Not Qualified</t>
        </is>
      </c>
      <c r="T400" s="89" t="inlineStr">
        <is>
          <t>🔴 Avoid</t>
        </is>
      </c>
      <c r="U400" s="68" t="inlineStr">
        <is>
          <t>FULL</t>
        </is>
      </c>
    </row>
    <row r="401" ht="16" customHeight="1">
      <c r="A401" s="90" t="n">
        <v>397</v>
      </c>
      <c r="B401" s="91" t="inlineStr">
        <is>
          <t>TATA Banking &amp; Financial Services Fund Regular Plan - Payout of Income Distribution cum capital withdrawal option</t>
        </is>
      </c>
      <c r="C401" s="91" t="inlineStr">
        <is>
          <t>Tata Mutual Fund</t>
        </is>
      </c>
      <c r="D401" s="91" t="inlineStr">
        <is>
          <t>Sectoral/ Thematic</t>
        </is>
      </c>
      <c r="E401" s="91" t="inlineStr">
        <is>
          <t>Sectoral/ Thematic</t>
        </is>
      </c>
      <c r="F401" s="92" t="n">
        <v>-2.59</v>
      </c>
      <c r="G401" s="92" t="n">
        <v>-5.68</v>
      </c>
      <c r="H401" s="92" t="n">
        <v>-12.06</v>
      </c>
      <c r="I401" s="92" t="n">
        <v>-9.210000000000001</v>
      </c>
      <c r="J401" s="93" t="n">
        <v>4.355162785556521</v>
      </c>
      <c r="K401" s="93" t="n">
        <v>32.77</v>
      </c>
      <c r="L401" s="78" t="n">
        <v>14.8</v>
      </c>
      <c r="M401" s="18" t="n">
        <v>0</v>
      </c>
      <c r="N401" s="19" t="n">
        <v>8.199999999999999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94" t="inlineStr">
        <is>
          <t>📉 Weak</t>
        </is>
      </c>
      <c r="S401" s="94" t="inlineStr">
        <is>
          <t>🔴 Not Qualified</t>
        </is>
      </c>
      <c r="T401" s="94" t="inlineStr">
        <is>
          <t>🔴 Avoid</t>
        </is>
      </c>
      <c r="U401" s="68" t="inlineStr">
        <is>
          <t>FULL</t>
        </is>
      </c>
    </row>
    <row r="402" ht="16" customHeight="1">
      <c r="A402" s="85" t="n">
        <v>398</v>
      </c>
      <c r="B402" s="86" t="inlineStr">
        <is>
          <t>TATA Banking &amp; Financial Services Fund Regular Plan - Reinvestment of Income Distribution cum capital withdrawal option</t>
        </is>
      </c>
      <c r="C402" s="86" t="inlineStr">
        <is>
          <t>Tata Mutual Fund</t>
        </is>
      </c>
      <c r="D402" s="86" t="inlineStr">
        <is>
          <t>Sectoral/ Thematic</t>
        </is>
      </c>
      <c r="E402" s="86" t="inlineStr">
        <is>
          <t>Sectoral/ Thematic</t>
        </is>
      </c>
      <c r="F402" s="87" t="n">
        <v>-2.59</v>
      </c>
      <c r="G402" s="87" t="n">
        <v>-5.68</v>
      </c>
      <c r="H402" s="87" t="n">
        <v>-12.06</v>
      </c>
      <c r="I402" s="87" t="n">
        <v>-9.210000000000001</v>
      </c>
      <c r="J402" s="88" t="n">
        <v>4.355162785556521</v>
      </c>
      <c r="K402" s="88" t="n">
        <v>32.77</v>
      </c>
      <c r="L402" s="78" t="n">
        <v>14.8</v>
      </c>
      <c r="M402" s="18" t="n">
        <v>0</v>
      </c>
      <c r="N402" s="19" t="n">
        <v>8.199999999999999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89" t="inlineStr">
        <is>
          <t>📉 Weak</t>
        </is>
      </c>
      <c r="S402" s="89" t="inlineStr">
        <is>
          <t>🔴 Not Qualified</t>
        </is>
      </c>
      <c r="T402" s="89" t="inlineStr">
        <is>
          <t>🔴 Avoid</t>
        </is>
      </c>
      <c r="U402" s="68" t="inlineStr">
        <is>
          <t>FULL</t>
        </is>
      </c>
    </row>
    <row r="403" ht="16" customHeight="1">
      <c r="A403" s="90" t="n">
        <v>399</v>
      </c>
      <c r="B403" s="91" t="inlineStr">
        <is>
          <t>Tata Flexi Cap Fund -Regular Plan-Growth</t>
        </is>
      </c>
      <c r="C403" s="91" t="inlineStr">
        <is>
          <t>Tata Mutual Fund</t>
        </is>
      </c>
      <c r="D403" s="91" t="inlineStr">
        <is>
          <t>Flexi Cap Fund</t>
        </is>
      </c>
      <c r="E403" s="91" t="inlineStr">
        <is>
          <t>Flexi Cap Fund</t>
        </is>
      </c>
      <c r="F403" s="92" t="n">
        <v>-3.73</v>
      </c>
      <c r="G403" s="92" t="n">
        <v>-1.29</v>
      </c>
      <c r="H403" s="92" t="n">
        <v>-9.23</v>
      </c>
      <c r="I403" s="92" t="n">
        <v>-7.39</v>
      </c>
      <c r="J403" s="93" t="n">
        <v>1.759520439121576</v>
      </c>
      <c r="K403" s="93" t="n">
        <v>37.37</v>
      </c>
      <c r="L403" s="78" t="n">
        <v>14.4</v>
      </c>
      <c r="M403" s="18" t="n">
        <v>0</v>
      </c>
      <c r="N403" s="19" t="n">
        <v>7.9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94" t="inlineStr">
        <is>
          <t>📉 Weak</t>
        </is>
      </c>
      <c r="S403" s="94" t="inlineStr">
        <is>
          <t>🔴 Not Qualified</t>
        </is>
      </c>
      <c r="T403" s="94" t="inlineStr">
        <is>
          <t>🔴 Avoid</t>
        </is>
      </c>
      <c r="U403" s="68" t="inlineStr">
        <is>
          <t>FULL</t>
        </is>
      </c>
    </row>
    <row r="404" ht="16" customHeight="1">
      <c r="A404" s="85" t="n">
        <v>400</v>
      </c>
      <c r="B404" s="86" t="inlineStr">
        <is>
          <t>SBI TECHNOLOGY OPPORTUNITIES FUND - REGULAR PLAN - GROWTH</t>
        </is>
      </c>
      <c r="C404" s="86" t="inlineStr">
        <is>
          <t>SBI Mutual Fund</t>
        </is>
      </c>
      <c r="D404" s="86" t="inlineStr">
        <is>
          <t>Sectoral/ Thematic</t>
        </is>
      </c>
      <c r="E404" s="86" t="inlineStr">
        <is>
          <t>Sectoral/ Thematic</t>
        </is>
      </c>
      <c r="F404" s="87" t="n">
        <v>-3.32</v>
      </c>
      <c r="G404" s="87" t="n">
        <v>-0.8</v>
      </c>
      <c r="H404" s="87" t="n">
        <v>-21.89</v>
      </c>
      <c r="I404" s="87" t="n">
        <v>-16.87</v>
      </c>
      <c r="J404" s="88" t="n">
        <v>0.2047903046555888</v>
      </c>
      <c r="K404" s="88" t="n">
        <v>27.49</v>
      </c>
      <c r="L404" s="78" t="n">
        <v>14.3</v>
      </c>
      <c r="M404" s="18" t="n">
        <v>0</v>
      </c>
      <c r="N404" s="19" t="n">
        <v>7.9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89" t="inlineStr">
        <is>
          <t>📉 Weak</t>
        </is>
      </c>
      <c r="S404" s="89" t="inlineStr">
        <is>
          <t>🔴 Not Qualified</t>
        </is>
      </c>
      <c r="T404" s="89" t="inlineStr">
        <is>
          <t>🔴 Avoid</t>
        </is>
      </c>
      <c r="U404" s="68" t="inlineStr">
        <is>
          <t>FULL</t>
        </is>
      </c>
    </row>
    <row r="405" ht="16" customHeight="1">
      <c r="A405" s="90" t="n">
        <v>401</v>
      </c>
      <c r="B405" s="91" t="inlineStr">
        <is>
          <t>Motilal Oswal Midcap Fund-Regular Plan-Growth Option</t>
        </is>
      </c>
      <c r="C405" s="91" t="inlineStr">
        <is>
          <t>Motilal Oswal Mutual Fund</t>
        </is>
      </c>
      <c r="D405" s="91" t="inlineStr">
        <is>
          <t>Mid Cap Fund</t>
        </is>
      </c>
      <c r="E405" s="91" t="inlineStr">
        <is>
          <t>Mid Cap Fund</t>
        </is>
      </c>
      <c r="F405" s="92" t="n">
        <v>-4.71</v>
      </c>
      <c r="G405" s="93" t="n">
        <v>4.63</v>
      </c>
      <c r="H405" s="92" t="n">
        <v>-12.17</v>
      </c>
      <c r="I405" s="92" t="n">
        <v>-13.23</v>
      </c>
      <c r="J405" s="93" t="n">
        <v>0.02999550134950013</v>
      </c>
      <c r="K405" s="93" t="n">
        <v>55.66</v>
      </c>
      <c r="L405" s="78" t="n">
        <v>14</v>
      </c>
      <c r="M405" s="18" t="n">
        <v>0</v>
      </c>
      <c r="N405" s="19" t="n">
        <v>7.7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94" t="inlineStr">
        <is>
          <t>📉 Weak</t>
        </is>
      </c>
      <c r="S405" s="94" t="inlineStr">
        <is>
          <t>🔴 Not Qualified</t>
        </is>
      </c>
      <c r="T405" s="94" t="inlineStr">
        <is>
          <t>🔴 Avoid</t>
        </is>
      </c>
      <c r="U405" s="68" t="inlineStr">
        <is>
          <t>FULL</t>
        </is>
      </c>
    </row>
    <row r="406" ht="16" customHeight="1">
      <c r="A406" s="85" t="n">
        <v>402</v>
      </c>
      <c r="B406" s="86" t="inlineStr">
        <is>
          <t>Aditya Birla Sun Life Consumption Fund-Growth Option</t>
        </is>
      </c>
      <c r="C406" s="86" t="inlineStr">
        <is>
          <t>Aditya Birla Sun Life Mutual Fund</t>
        </is>
      </c>
      <c r="D406" s="86" t="inlineStr">
        <is>
          <t>Sectoral/ Thematic</t>
        </is>
      </c>
      <c r="E406" s="86" t="inlineStr">
        <is>
          <t>Sectoral/ Thematic</t>
        </is>
      </c>
      <c r="F406" s="87" t="n">
        <v>-4.13</v>
      </c>
      <c r="G406" s="87" t="n">
        <v>-0.36</v>
      </c>
      <c r="H406" s="87" t="n">
        <v>-11.79</v>
      </c>
      <c r="I406" s="87" t="n">
        <v>-10.05</v>
      </c>
      <c r="J406" s="87" t="n">
        <v>-2.275898571539681</v>
      </c>
      <c r="K406" s="88" t="n">
        <v>28.02</v>
      </c>
      <c r="L406" s="78" t="n">
        <v>13.7</v>
      </c>
      <c r="M406" s="18" t="n">
        <v>0</v>
      </c>
      <c r="N406" s="19" t="n">
        <v>7.5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89" t="inlineStr">
        <is>
          <t>📉 Weak</t>
        </is>
      </c>
      <c r="S406" s="89" t="inlineStr">
        <is>
          <t>🔴 Not Qualified</t>
        </is>
      </c>
      <c r="T406" s="89" t="inlineStr">
        <is>
          <t>🔴 Avoid</t>
        </is>
      </c>
      <c r="U406" s="68" t="inlineStr">
        <is>
          <t>FULL</t>
        </is>
      </c>
    </row>
    <row r="407" ht="16" customHeight="1">
      <c r="A407" s="90" t="n">
        <v>403</v>
      </c>
      <c r="B407" s="91" t="inlineStr">
        <is>
          <t>SBI CONSUMPTION OPPORTUNITIES FUND - REGULAR - GROWTH</t>
        </is>
      </c>
      <c r="C407" s="91" t="inlineStr">
        <is>
          <t>SBI Mutual Fund</t>
        </is>
      </c>
      <c r="D407" s="91" t="inlineStr">
        <is>
          <t>Sectoral/ Thematic</t>
        </is>
      </c>
      <c r="E407" s="91" t="inlineStr">
        <is>
          <t>Sectoral/ Thematic</t>
        </is>
      </c>
      <c r="F407" s="92" t="n">
        <v>-4.57</v>
      </c>
      <c r="G407" s="93" t="n">
        <v>0.33</v>
      </c>
      <c r="H407" s="92" t="n">
        <v>-10.68</v>
      </c>
      <c r="I407" s="92" t="n">
        <v>-11.33</v>
      </c>
      <c r="J407" s="92" t="n">
        <v>-4.821220852545071</v>
      </c>
      <c r="K407" s="93" t="n">
        <v>22.73</v>
      </c>
      <c r="L407" s="78" t="n">
        <v>13.6</v>
      </c>
      <c r="M407" s="18" t="n">
        <v>0</v>
      </c>
      <c r="N407" s="19" t="n">
        <v>7.5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94" t="inlineStr">
        <is>
          <t>📉 Weak</t>
        </is>
      </c>
      <c r="S407" s="94" t="inlineStr">
        <is>
          <t>🔴 Not Qualified</t>
        </is>
      </c>
      <c r="T407" s="94" t="inlineStr">
        <is>
          <t>🔴 Avoid</t>
        </is>
      </c>
      <c r="U407" s="68" t="inlineStr">
        <is>
          <t>FULL</t>
        </is>
      </c>
    </row>
    <row r="408" ht="16" customHeight="1">
      <c r="A408" s="85" t="n">
        <v>404</v>
      </c>
      <c r="B408" s="86" t="inlineStr">
        <is>
          <t>ICICI Prudential ESG Exclusionary Strategy Fund - Growth</t>
        </is>
      </c>
      <c r="C408" s="86" t="inlineStr">
        <is>
          <t>ICICI Prudential Mutual Fund</t>
        </is>
      </c>
      <c r="D408" s="86" t="inlineStr">
        <is>
          <t>Sectoral/ Thematic</t>
        </is>
      </c>
      <c r="E408" s="86" t="inlineStr">
        <is>
          <t>Sectoral/ Thematic</t>
        </is>
      </c>
      <c r="F408" s="87" t="n">
        <v>-3.9</v>
      </c>
      <c r="G408" s="87" t="n">
        <v>-1.22</v>
      </c>
      <c r="H408" s="87" t="n">
        <v>-11.64</v>
      </c>
      <c r="I408" s="87" t="n">
        <v>-9.66</v>
      </c>
      <c r="J408" s="88" t="n">
        <v>1.833196944807725</v>
      </c>
      <c r="K408" s="88" t="n">
        <v>44.08</v>
      </c>
      <c r="L408" s="78" t="n">
        <v>13.3</v>
      </c>
      <c r="M408" s="18" t="n">
        <v>0</v>
      </c>
      <c r="N408" s="19" t="n">
        <v>7.3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89" t="inlineStr">
        <is>
          <t>📉 Weak</t>
        </is>
      </c>
      <c r="S408" s="89" t="inlineStr">
        <is>
          <t>🔴 Not Qualified</t>
        </is>
      </c>
      <c r="T408" s="89" t="inlineStr">
        <is>
          <t>🔴 Avoid</t>
        </is>
      </c>
      <c r="U408" s="68" t="inlineStr">
        <is>
          <t>FULL</t>
        </is>
      </c>
    </row>
    <row r="409" ht="16" customHeight="1">
      <c r="A409" s="90" t="n">
        <v>405</v>
      </c>
      <c r="B409" s="91" t="inlineStr">
        <is>
          <t>Mahindra Manulife ELSS Tax Saver Fund- Regular Plan - Growth</t>
        </is>
      </c>
      <c r="C409" s="91" t="inlineStr">
        <is>
          <t>Mahindra Manulife Mutual Fund</t>
        </is>
      </c>
      <c r="D409" s="91" t="inlineStr">
        <is>
          <t>Elss</t>
        </is>
      </c>
      <c r="E409" s="91" t="inlineStr">
        <is>
          <t>Elss</t>
        </is>
      </c>
      <c r="F409" s="92" t="n">
        <v>-3.54</v>
      </c>
      <c r="G409" s="92" t="n">
        <v>-2.44</v>
      </c>
      <c r="H409" s="92" t="n">
        <v>-11.17</v>
      </c>
      <c r="I409" s="92" t="n">
        <v>-9.06</v>
      </c>
      <c r="J409" s="92" t="n">
        <v>-1.735052027694028</v>
      </c>
      <c r="K409" s="93" t="n">
        <v>27.88</v>
      </c>
      <c r="L409" s="78" t="n">
        <v>13.2</v>
      </c>
      <c r="M409" s="18" t="n">
        <v>0</v>
      </c>
      <c r="N409" s="19" t="n">
        <v>7.3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94" t="inlineStr">
        <is>
          <t>📉 Weak</t>
        </is>
      </c>
      <c r="S409" s="94" t="inlineStr">
        <is>
          <t>🔴 Not Qualified</t>
        </is>
      </c>
      <c r="T409" s="94" t="inlineStr">
        <is>
          <t>🔴 Avoid</t>
        </is>
      </c>
      <c r="U409" s="68" t="inlineStr">
        <is>
          <t>FULL</t>
        </is>
      </c>
    </row>
    <row r="410" ht="16" customHeight="1">
      <c r="A410" s="85" t="n">
        <v>406</v>
      </c>
      <c r="B410" s="86" t="inlineStr">
        <is>
          <t>HDFC Multi Cap Fund - Growth Option</t>
        </is>
      </c>
      <c r="C410" s="86" t="inlineStr">
        <is>
          <t>HDFC Mutual Fund</t>
        </is>
      </c>
      <c r="D410" s="86" t="inlineStr">
        <is>
          <t>Multi Cap Fund</t>
        </is>
      </c>
      <c r="E410" s="86" t="inlineStr">
        <is>
          <t>Multi Cap Fund</t>
        </is>
      </c>
      <c r="F410" s="87" t="n">
        <v>-3.31</v>
      </c>
      <c r="G410" s="88" t="n">
        <v>0.71</v>
      </c>
      <c r="H410" s="87" t="n">
        <v>-7.87</v>
      </c>
      <c r="I410" s="87" t="n">
        <v>-7.08</v>
      </c>
      <c r="J410" s="87" t="n">
        <v>-0.4761335156235003</v>
      </c>
      <c r="K410" s="88" t="n">
        <v>46.56</v>
      </c>
      <c r="L410" s="78" t="n">
        <v>12.8</v>
      </c>
      <c r="M410" s="18" t="n">
        <v>0</v>
      </c>
      <c r="N410" s="19" t="n">
        <v>7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89" t="inlineStr">
        <is>
          <t>📉 Weak</t>
        </is>
      </c>
      <c r="S410" s="89" t="inlineStr">
        <is>
          <t>🔴 Not Qualified</t>
        </is>
      </c>
      <c r="T410" s="89" t="inlineStr">
        <is>
          <t>🔴 Avoid</t>
        </is>
      </c>
      <c r="U410" s="68" t="inlineStr">
        <is>
          <t>FULL</t>
        </is>
      </c>
    </row>
    <row r="411" ht="16" customHeight="1">
      <c r="A411" s="90" t="n">
        <v>407</v>
      </c>
      <c r="B411" s="91" t="inlineStr">
        <is>
          <t>Tata Digital India Fund-Regular Plan-Growth</t>
        </is>
      </c>
      <c r="C411" s="91" t="inlineStr">
        <is>
          <t>Tata Mutual Fund</t>
        </is>
      </c>
      <c r="D411" s="91" t="inlineStr">
        <is>
          <t>Sectoral/ Thematic</t>
        </is>
      </c>
      <c r="E411" s="91" t="inlineStr">
        <is>
          <t>Sectoral/ Thematic</t>
        </is>
      </c>
      <c r="F411" s="92" t="n">
        <v>-3.37</v>
      </c>
      <c r="G411" s="92" t="n">
        <v>-1.63</v>
      </c>
      <c r="H411" s="92" t="n">
        <v>-22.96</v>
      </c>
      <c r="I411" s="92" t="n">
        <v>-21.82</v>
      </c>
      <c r="J411" s="92" t="n">
        <v>-6.143726901181501</v>
      </c>
      <c r="K411" s="93" t="n">
        <v>17.78</v>
      </c>
      <c r="L411" s="78" t="n">
        <v>12.1</v>
      </c>
      <c r="M411" s="18" t="n">
        <v>0</v>
      </c>
      <c r="N411" s="19" t="n">
        <v>6.6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94" t="inlineStr">
        <is>
          <t>📉 Weak</t>
        </is>
      </c>
      <c r="S411" s="94" t="inlineStr">
        <is>
          <t>🔴 Not Qualified</t>
        </is>
      </c>
      <c r="T411" s="94" t="inlineStr">
        <is>
          <t>🔴 Avoid</t>
        </is>
      </c>
      <c r="U411" s="68" t="inlineStr">
        <is>
          <t>FULL</t>
        </is>
      </c>
    </row>
    <row r="412" ht="16" customHeight="1">
      <c r="A412" s="85" t="n">
        <v>408</v>
      </c>
      <c r="B412" s="86" t="inlineStr">
        <is>
          <t>Sundaram Multi Cap Fund (Formerly Known as Principal Multi Cap Growth Fund)-Growth Option</t>
        </is>
      </c>
      <c r="C412" s="86" t="inlineStr">
        <is>
          <t>Sundaram Mutual Fund</t>
        </is>
      </c>
      <c r="D412" s="86" t="inlineStr">
        <is>
          <t>Multi Cap Fund</t>
        </is>
      </c>
      <c r="E412" s="86" t="inlineStr">
        <is>
          <t>Multi Cap Fund</t>
        </is>
      </c>
      <c r="F412" s="87" t="n">
        <v>-3.45</v>
      </c>
      <c r="G412" s="88" t="n">
        <v>0.62</v>
      </c>
      <c r="H412" s="87" t="n">
        <v>-7.58</v>
      </c>
      <c r="I412" s="87" t="n">
        <v>-5.4</v>
      </c>
      <c r="J412" s="88" t="n">
        <v>0.7819428270759321</v>
      </c>
      <c r="K412" s="88" t="n">
        <v>44.61</v>
      </c>
      <c r="L412" s="78" t="n">
        <v>11.9</v>
      </c>
      <c r="M412" s="18" t="n">
        <v>0</v>
      </c>
      <c r="N412" s="19" t="n">
        <v>6.5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89" t="inlineStr">
        <is>
          <t>📉 Weak</t>
        </is>
      </c>
      <c r="S412" s="89" t="inlineStr">
        <is>
          <t>🔴 Not Qualified</t>
        </is>
      </c>
      <c r="T412" s="89" t="inlineStr">
        <is>
          <t>🔴 Avoid</t>
        </is>
      </c>
      <c r="U412" s="68" t="inlineStr">
        <is>
          <t>FULL</t>
        </is>
      </c>
    </row>
    <row r="413" ht="16" customHeight="1">
      <c r="A413" s="90" t="n">
        <v>409</v>
      </c>
      <c r="B413" s="91" t="inlineStr">
        <is>
          <t>HDFC Small Cap Fund - Growth Option</t>
        </is>
      </c>
      <c r="C413" s="91" t="inlineStr">
        <is>
          <t>HDFC Mutual Fund</t>
        </is>
      </c>
      <c r="D413" s="91" t="inlineStr">
        <is>
          <t>Small Cap Fund</t>
        </is>
      </c>
      <c r="E413" s="91" t="inlineStr">
        <is>
          <t>Small Cap Fund</t>
        </is>
      </c>
      <c r="F413" s="92" t="n">
        <v>-3.34</v>
      </c>
      <c r="G413" s="93" t="n">
        <v>3.21</v>
      </c>
      <c r="H413" s="92" t="n">
        <v>-4.82</v>
      </c>
      <c r="I413" s="92" t="n">
        <v>-5.64</v>
      </c>
      <c r="J413" s="93" t="n">
        <v>1.034647522520715</v>
      </c>
      <c r="K413" s="93" t="n">
        <v>44.12</v>
      </c>
      <c r="L413" s="78" t="n">
        <v>11.8</v>
      </c>
      <c r="M413" s="18" t="n">
        <v>0</v>
      </c>
      <c r="N413" s="19" t="n">
        <v>6.5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94" t="inlineStr">
        <is>
          <t>📉 Weak</t>
        </is>
      </c>
      <c r="S413" s="94" t="inlineStr">
        <is>
          <t>🔴 Not Qualified</t>
        </is>
      </c>
      <c r="T413" s="94" t="inlineStr">
        <is>
          <t>🔴 Avoid</t>
        </is>
      </c>
      <c r="U413" s="68" t="inlineStr">
        <is>
          <t>FULL</t>
        </is>
      </c>
    </row>
    <row r="414" ht="16" customHeight="1">
      <c r="A414" s="85" t="n">
        <v>410</v>
      </c>
      <c r="B414" s="86" t="inlineStr">
        <is>
          <t>Parag Parikh ELSS Tax Saver Fund- Regular Growth</t>
        </is>
      </c>
      <c r="C414" s="86" t="inlineStr">
        <is>
          <t>PPFAS Mutual Fund</t>
        </is>
      </c>
      <c r="D414" s="86" t="inlineStr">
        <is>
          <t>Elss</t>
        </is>
      </c>
      <c r="E414" s="86" t="inlineStr">
        <is>
          <t>Elss</t>
        </is>
      </c>
      <c r="F414" s="87" t="n">
        <v>-2.64</v>
      </c>
      <c r="G414" s="87" t="n">
        <v>-2.88</v>
      </c>
      <c r="H414" s="87" t="n">
        <v>-10.83</v>
      </c>
      <c r="I414" s="87" t="n">
        <v>-11.3</v>
      </c>
      <c r="J414" s="88" t="n">
        <v>1.049492824061216</v>
      </c>
      <c r="K414" s="88" t="n">
        <v>35.47</v>
      </c>
      <c r="L414" s="78" t="n">
        <v>11.5</v>
      </c>
      <c r="M414" s="18" t="n">
        <v>0</v>
      </c>
      <c r="N414" s="19" t="n">
        <v>6.4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89" t="inlineStr">
        <is>
          <t>📉 Weak</t>
        </is>
      </c>
      <c r="S414" s="89" t="inlineStr">
        <is>
          <t>🔴 Not Qualified</t>
        </is>
      </c>
      <c r="T414" s="89" t="inlineStr">
        <is>
          <t>🔴 Avoid</t>
        </is>
      </c>
      <c r="U414" s="68" t="inlineStr">
        <is>
          <t>FULL</t>
        </is>
      </c>
    </row>
    <row r="415" ht="16" customHeight="1">
      <c r="A415" s="90" t="n">
        <v>411</v>
      </c>
      <c r="B415" s="91" t="inlineStr">
        <is>
          <t>QUANTUM ESG BEST IN CLASS STRATEGY FUND - REGULAR PLAN - GROWTH OPTION</t>
        </is>
      </c>
      <c r="C415" s="91" t="inlineStr">
        <is>
          <t>Quantum Mutual Fund</t>
        </is>
      </c>
      <c r="D415" s="91" t="inlineStr">
        <is>
          <t>Sectoral/ Thematic</t>
        </is>
      </c>
      <c r="E415" s="91" t="inlineStr">
        <is>
          <t>Sectoral/ Thematic</t>
        </is>
      </c>
      <c r="F415" s="92" t="n">
        <v>-5.18</v>
      </c>
      <c r="G415" s="92" t="n">
        <v>-0.74</v>
      </c>
      <c r="H415" s="92" t="n">
        <v>-10.6</v>
      </c>
      <c r="I415" s="92" t="n">
        <v>-10.72</v>
      </c>
      <c r="J415" s="92" t="n">
        <v>-2.045929130025437</v>
      </c>
      <c r="K415" s="93" t="n">
        <v>23.67</v>
      </c>
      <c r="L415" s="78" t="n">
        <v>11.2</v>
      </c>
      <c r="M415" s="18" t="n">
        <v>0</v>
      </c>
      <c r="N415" s="19" t="n">
        <v>6.1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94" t="inlineStr">
        <is>
          <t>📉 Weak</t>
        </is>
      </c>
      <c r="S415" s="94" t="inlineStr">
        <is>
          <t>🔴 Not Qualified</t>
        </is>
      </c>
      <c r="T415" s="94" t="inlineStr">
        <is>
          <t>🔴 Avoid</t>
        </is>
      </c>
      <c r="U415" s="68" t="inlineStr">
        <is>
          <t>FULL</t>
        </is>
      </c>
    </row>
    <row r="416" ht="16" customHeight="1">
      <c r="A416" s="85" t="n">
        <v>412</v>
      </c>
      <c r="B416" s="86" t="inlineStr">
        <is>
          <t>Sundaram Flexicap Fund Regular Growth</t>
        </is>
      </c>
      <c r="C416" s="86" t="inlineStr">
        <is>
          <t>Sundaram Mutual Fund</t>
        </is>
      </c>
      <c r="D416" s="86" t="inlineStr">
        <is>
          <t>Flexi Cap Fund</t>
        </is>
      </c>
      <c r="E416" s="86" t="inlineStr">
        <is>
          <t>Flexi Cap Fund</t>
        </is>
      </c>
      <c r="F416" s="87" t="n">
        <v>-3.97</v>
      </c>
      <c r="G416" s="87" t="n">
        <v>-1.59</v>
      </c>
      <c r="H416" s="87" t="n">
        <v>-10.27</v>
      </c>
      <c r="I416" s="87" t="n">
        <v>-7.04</v>
      </c>
      <c r="J416" s="88" t="n">
        <v>0.9207609959417606</v>
      </c>
      <c r="K416" s="88" t="n">
        <v>30.7</v>
      </c>
      <c r="L416" s="78" t="n">
        <v>10.7</v>
      </c>
      <c r="M416" s="18" t="n">
        <v>0</v>
      </c>
      <c r="N416" s="19" t="n">
        <v>5.9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89" t="inlineStr">
        <is>
          <t>📉 Weak</t>
        </is>
      </c>
      <c r="S416" s="89" t="inlineStr">
        <is>
          <t>🔴 Not Qualified</t>
        </is>
      </c>
      <c r="T416" s="89" t="inlineStr">
        <is>
          <t>🔴 Avoid</t>
        </is>
      </c>
      <c r="U416" s="68" t="inlineStr">
        <is>
          <t>FULL</t>
        </is>
      </c>
    </row>
    <row r="417" ht="16" customHeight="1">
      <c r="A417" s="90" t="n">
        <v>413</v>
      </c>
      <c r="B417" s="91" t="inlineStr">
        <is>
          <t>360 ONE QUANT FUND REGULAR INCOME DISTRIBUTION CUM CAPITAL WITHDRAWAL</t>
        </is>
      </c>
      <c r="C417" s="91" t="inlineStr">
        <is>
          <t>360 ONE Mutual Fund</t>
        </is>
      </c>
      <c r="D417" s="91" t="inlineStr">
        <is>
          <t>Sectoral/ Thematic</t>
        </is>
      </c>
      <c r="E417" s="91" t="inlineStr">
        <is>
          <t>Sectoral/ Thematic</t>
        </is>
      </c>
      <c r="F417" s="92" t="n">
        <v>-5.21</v>
      </c>
      <c r="G417" s="92" t="n">
        <v>-3</v>
      </c>
      <c r="H417" s="92" t="n">
        <v>-9.75</v>
      </c>
      <c r="I417" s="92" t="n">
        <v>-9.75</v>
      </c>
      <c r="J417" s="92" t="n">
        <v>-0.767948726230594</v>
      </c>
      <c r="K417" s="93" t="n">
        <v>57.75</v>
      </c>
      <c r="L417" s="78" t="n">
        <v>10.3</v>
      </c>
      <c r="M417" s="18" t="n">
        <v>0</v>
      </c>
      <c r="N417" s="19" t="n">
        <v>5.7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94" t="inlineStr">
        <is>
          <t>📉 Weak</t>
        </is>
      </c>
      <c r="S417" s="94" t="inlineStr">
        <is>
          <t>🔴 Not Qualified</t>
        </is>
      </c>
      <c r="T417" s="94" t="inlineStr">
        <is>
          <t>🔴 Avoid</t>
        </is>
      </c>
      <c r="U417" s="68" t="inlineStr">
        <is>
          <t>FULL</t>
        </is>
      </c>
    </row>
    <row r="418" ht="16" customHeight="1">
      <c r="A418" s="85" t="n">
        <v>414</v>
      </c>
      <c r="B418" s="86" t="inlineStr">
        <is>
          <t>360 ONE QUANT FUND REGULAR GROWTH</t>
        </is>
      </c>
      <c r="C418" s="86" t="inlineStr">
        <is>
          <t>360 ONE Mutual Fund</t>
        </is>
      </c>
      <c r="D418" s="86" t="inlineStr">
        <is>
          <t>Sectoral/ Thematic</t>
        </is>
      </c>
      <c r="E418" s="86" t="inlineStr">
        <is>
          <t>Sectoral/ Thematic</t>
        </is>
      </c>
      <c r="F418" s="87" t="n">
        <v>-5.21</v>
      </c>
      <c r="G418" s="87" t="n">
        <v>-3</v>
      </c>
      <c r="H418" s="87" t="n">
        <v>-9.75</v>
      </c>
      <c r="I418" s="87" t="n">
        <v>-9.75</v>
      </c>
      <c r="J418" s="87" t="n">
        <v>-0.767948726230594</v>
      </c>
      <c r="K418" s="88" t="n">
        <v>57.75</v>
      </c>
      <c r="L418" s="78" t="n">
        <v>10.3</v>
      </c>
      <c r="M418" s="18" t="n">
        <v>0</v>
      </c>
      <c r="N418" s="19" t="n">
        <v>5.7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89" t="inlineStr">
        <is>
          <t>📉 Weak</t>
        </is>
      </c>
      <c r="S418" s="89" t="inlineStr">
        <is>
          <t>🔴 Not Qualified</t>
        </is>
      </c>
      <c r="T418" s="89" t="inlineStr">
        <is>
          <t>🔴 Avoid</t>
        </is>
      </c>
      <c r="U418" s="68" t="inlineStr">
        <is>
          <t>FULL</t>
        </is>
      </c>
    </row>
    <row r="419" ht="16" customHeight="1">
      <c r="A419" s="90" t="n">
        <v>415</v>
      </c>
      <c r="B419" s="91" t="inlineStr">
        <is>
          <t>Franklin India Focused Equity Fund - Growth Plan</t>
        </is>
      </c>
      <c r="C419" s="91" t="inlineStr">
        <is>
          <t>Franklin Templeton Mutual Fund</t>
        </is>
      </c>
      <c r="D419" s="91" t="inlineStr">
        <is>
          <t>Focused Fund</t>
        </is>
      </c>
      <c r="E419" s="91" t="inlineStr">
        <is>
          <t>Focused Fund</t>
        </is>
      </c>
      <c r="F419" s="92" t="n">
        <v>-3.69</v>
      </c>
      <c r="G419" s="92" t="n">
        <v>-2.7</v>
      </c>
      <c r="H419" s="92" t="n">
        <v>-12.9</v>
      </c>
      <c r="I419" s="92" t="n">
        <v>-10.33</v>
      </c>
      <c r="J419" s="92" t="n">
        <v>-2.747750668686333</v>
      </c>
      <c r="K419" s="93" t="n">
        <v>31.63</v>
      </c>
      <c r="L419" s="78" t="n">
        <v>9.699999999999999</v>
      </c>
      <c r="M419" s="18" t="n">
        <v>0</v>
      </c>
      <c r="N419" s="19" t="n">
        <v>5.3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94" t="inlineStr">
        <is>
          <t>📉 Weak</t>
        </is>
      </c>
      <c r="S419" s="94" t="inlineStr">
        <is>
          <t>🔴 Not Qualified</t>
        </is>
      </c>
      <c r="T419" s="94" t="inlineStr">
        <is>
          <t>🔴 Avoid</t>
        </is>
      </c>
      <c r="U419" s="68" t="inlineStr">
        <is>
          <t>FULL</t>
        </is>
      </c>
    </row>
    <row r="420" ht="16" customHeight="1">
      <c r="A420" s="85" t="n">
        <v>416</v>
      </c>
      <c r="B420" s="86" t="inlineStr">
        <is>
          <t>TATA Focused Fund Regular Plan - Payout of Income Distribution cum capital withdrawal option</t>
        </is>
      </c>
      <c r="C420" s="86" t="inlineStr">
        <is>
          <t>Tata Mutual Fund</t>
        </is>
      </c>
      <c r="D420" s="86" t="inlineStr">
        <is>
          <t>Focused Fund</t>
        </is>
      </c>
      <c r="E420" s="86" t="inlineStr">
        <is>
          <t>Focused Fund</t>
        </is>
      </c>
      <c r="F420" s="87" t="n">
        <v>-6.77</v>
      </c>
      <c r="G420" s="87" t="n">
        <v>-3.45</v>
      </c>
      <c r="H420" s="87" t="n">
        <v>-11.39</v>
      </c>
      <c r="I420" s="87" t="n">
        <v>-8.31</v>
      </c>
      <c r="J420" s="87" t="n">
        <v>-1.602845569599931</v>
      </c>
      <c r="K420" s="88" t="n">
        <v>31.82</v>
      </c>
      <c r="L420" s="78" t="n">
        <v>9.5</v>
      </c>
      <c r="M420" s="18" t="n">
        <v>0</v>
      </c>
      <c r="N420" s="19" t="n">
        <v>5.2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89" t="inlineStr">
        <is>
          <t>📉 Weak</t>
        </is>
      </c>
      <c r="S420" s="89" t="inlineStr">
        <is>
          <t>🔴 Not Qualified</t>
        </is>
      </c>
      <c r="T420" s="89" t="inlineStr">
        <is>
          <t>🔴 Avoid</t>
        </is>
      </c>
      <c r="U420" s="68" t="inlineStr">
        <is>
          <t>FULL</t>
        </is>
      </c>
    </row>
    <row r="421" ht="16" customHeight="1">
      <c r="A421" s="90" t="n">
        <v>417</v>
      </c>
      <c r="B421" s="91" t="inlineStr">
        <is>
          <t>TATA Focused Fund Regular Plan - Reinvestment of Income Distribution cum capital withdrawal option</t>
        </is>
      </c>
      <c r="C421" s="91" t="inlineStr">
        <is>
          <t>Tata Mutual Fund</t>
        </is>
      </c>
      <c r="D421" s="91" t="inlineStr">
        <is>
          <t>Focused Fund</t>
        </is>
      </c>
      <c r="E421" s="91" t="inlineStr">
        <is>
          <t>Focused Fund</t>
        </is>
      </c>
      <c r="F421" s="92" t="n">
        <v>-6.77</v>
      </c>
      <c r="G421" s="92" t="n">
        <v>-3.45</v>
      </c>
      <c r="H421" s="92" t="n">
        <v>-11.39</v>
      </c>
      <c r="I421" s="92" t="n">
        <v>-8.31</v>
      </c>
      <c r="J421" s="92" t="n">
        <v>-1.602845569599931</v>
      </c>
      <c r="K421" s="93" t="n">
        <v>31.82</v>
      </c>
      <c r="L421" s="78" t="n">
        <v>9.5</v>
      </c>
      <c r="M421" s="18" t="n">
        <v>0</v>
      </c>
      <c r="N421" s="19" t="n">
        <v>5.2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94" t="inlineStr">
        <is>
          <t>📉 Weak</t>
        </is>
      </c>
      <c r="S421" s="94" t="inlineStr">
        <is>
          <t>🔴 Not Qualified</t>
        </is>
      </c>
      <c r="T421" s="94" t="inlineStr">
        <is>
          <t>🔴 Avoid</t>
        </is>
      </c>
      <c r="U421" s="68" t="inlineStr">
        <is>
          <t>FULL</t>
        </is>
      </c>
    </row>
    <row r="422" ht="16" customHeight="1">
      <c r="A422" s="85" t="n">
        <v>418</v>
      </c>
      <c r="B422" s="86" t="inlineStr">
        <is>
          <t>Sundaram Value Fund Regular Plan - Growth</t>
        </is>
      </c>
      <c r="C422" s="86" t="inlineStr">
        <is>
          <t>Sundaram Mutual Fund</t>
        </is>
      </c>
      <c r="D422" s="86" t="inlineStr">
        <is>
          <t>Value Fund</t>
        </is>
      </c>
      <c r="E422" s="86" t="inlineStr">
        <is>
          <t>Value Fund</t>
        </is>
      </c>
      <c r="F422" s="87" t="n">
        <v>-3.7</v>
      </c>
      <c r="G422" s="87" t="n">
        <v>-3.26</v>
      </c>
      <c r="H422" s="87" t="n">
        <v>-10.76</v>
      </c>
      <c r="I422" s="87" t="n">
        <v>-8.140000000000001</v>
      </c>
      <c r="J422" s="87" t="n">
        <v>-0.9091326105175379</v>
      </c>
      <c r="K422" s="88" t="n">
        <v>25.84</v>
      </c>
      <c r="L422" s="78" t="n">
        <v>9.5</v>
      </c>
      <c r="M422" s="18" t="n">
        <v>0</v>
      </c>
      <c r="N422" s="19" t="n">
        <v>5.2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89" t="inlineStr">
        <is>
          <t>📉 Weak</t>
        </is>
      </c>
      <c r="S422" s="89" t="inlineStr">
        <is>
          <t>🔴 Not Qualified</t>
        </is>
      </c>
      <c r="T422" s="89" t="inlineStr">
        <is>
          <t>🔴 Avoid</t>
        </is>
      </c>
      <c r="U422" s="68" t="inlineStr">
        <is>
          <t>FULL</t>
        </is>
      </c>
    </row>
    <row r="423" ht="16" customHeight="1">
      <c r="A423" s="90" t="n">
        <v>419</v>
      </c>
      <c r="B423" s="91" t="inlineStr">
        <is>
          <t>LIC MF Large Cap Fund-Regular Plan-Growth</t>
        </is>
      </c>
      <c r="C423" s="91" t="inlineStr">
        <is>
          <t>LIC Mutual Fund</t>
        </is>
      </c>
      <c r="D423" s="91" t="inlineStr">
        <is>
          <t>Large Cap Fund</t>
        </is>
      </c>
      <c r="E423" s="91" t="inlineStr">
        <is>
          <t>Large Cap Fund</t>
        </is>
      </c>
      <c r="F423" s="92" t="n">
        <v>-2.91</v>
      </c>
      <c r="G423" s="92" t="n">
        <v>-1.98</v>
      </c>
      <c r="H423" s="92" t="n">
        <v>-11.51</v>
      </c>
      <c r="I423" s="92" t="n">
        <v>-10.92</v>
      </c>
      <c r="J423" s="92" t="n">
        <v>-1.623173460412941</v>
      </c>
      <c r="K423" s="93" t="n">
        <v>22.57</v>
      </c>
      <c r="L423" s="78" t="n">
        <v>9</v>
      </c>
      <c r="M423" s="18" t="n">
        <v>0</v>
      </c>
      <c r="N423" s="19" t="n">
        <v>4.9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94" t="inlineStr">
        <is>
          <t>📉 Weak</t>
        </is>
      </c>
      <c r="S423" s="94" t="inlineStr">
        <is>
          <t>🔴 Not Qualified</t>
        </is>
      </c>
      <c r="T423" s="94" t="inlineStr">
        <is>
          <t>🔴 Avoid</t>
        </is>
      </c>
      <c r="U423" s="68" t="inlineStr">
        <is>
          <t>FULL</t>
        </is>
      </c>
    </row>
    <row r="424" ht="16" customHeight="1">
      <c r="A424" s="85" t="n">
        <v>420</v>
      </c>
      <c r="B424" s="86" t="inlineStr">
        <is>
          <t>Sundaram Multi Cap Fund (Formerly Known as Principal Multi Cap Growth Fund)- Income Distribution CUM Capital Withdrawal Option (IDCW)</t>
        </is>
      </c>
      <c r="C424" s="86" t="inlineStr">
        <is>
          <t>Sundaram Mutual Fund</t>
        </is>
      </c>
      <c r="D424" s="86" t="inlineStr">
        <is>
          <t>Multi Cap Fund</t>
        </is>
      </c>
      <c r="E424" s="86" t="inlineStr">
        <is>
          <t>Multi Cap Fund</t>
        </is>
      </c>
      <c r="F424" s="87" t="n">
        <v>-3.45</v>
      </c>
      <c r="G424" s="88" t="n">
        <v>0.62</v>
      </c>
      <c r="H424" s="87" t="n">
        <v>-7.58</v>
      </c>
      <c r="I424" s="87" t="n">
        <v>-12</v>
      </c>
      <c r="J424" s="87" t="n">
        <v>-6.373080794036589</v>
      </c>
      <c r="K424" s="88" t="n">
        <v>16.13</v>
      </c>
      <c r="L424" s="78" t="n">
        <v>8.9</v>
      </c>
      <c r="M424" s="18" t="n">
        <v>0</v>
      </c>
      <c r="N424" s="19" t="n">
        <v>4.9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89" t="inlineStr">
        <is>
          <t>📉 Weak</t>
        </is>
      </c>
      <c r="S424" s="89" t="inlineStr">
        <is>
          <t>🔴 Not Qualified</t>
        </is>
      </c>
      <c r="T424" s="89" t="inlineStr">
        <is>
          <t>🔴 Avoid</t>
        </is>
      </c>
      <c r="U424" s="68" t="inlineStr">
        <is>
          <t>FULL</t>
        </is>
      </c>
    </row>
    <row r="425" ht="16" customHeight="1">
      <c r="A425" s="90" t="n">
        <v>421</v>
      </c>
      <c r="B425" s="91" t="inlineStr">
        <is>
          <t>LIC MF Large &amp; Mid Cap Fund-Regular Plan-Growth</t>
        </is>
      </c>
      <c r="C425" s="91" t="inlineStr">
        <is>
          <t>LIC Mutual Fund</t>
        </is>
      </c>
      <c r="D425" s="91" t="inlineStr">
        <is>
          <t>Large &amp; Mid Cap Fund</t>
        </is>
      </c>
      <c r="E425" s="91" t="inlineStr">
        <is>
          <t>Large &amp; Mid Cap Fund</t>
        </is>
      </c>
      <c r="F425" s="92" t="n">
        <v>-4</v>
      </c>
      <c r="G425" s="92" t="n">
        <v>-1.03</v>
      </c>
      <c r="H425" s="92" t="n">
        <v>-7.1</v>
      </c>
      <c r="I425" s="92" t="n">
        <v>-8.699999999999999</v>
      </c>
      <c r="J425" s="93" t="n">
        <v>0.3194896318756246</v>
      </c>
      <c r="K425" s="93" t="n">
        <v>46.39</v>
      </c>
      <c r="L425" s="78" t="n">
        <v>7.1</v>
      </c>
      <c r="M425" s="18" t="n">
        <v>0</v>
      </c>
      <c r="N425" s="19" t="n">
        <v>3.9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94" t="inlineStr">
        <is>
          <t>📉 Weak</t>
        </is>
      </c>
      <c r="S425" s="94" t="inlineStr">
        <is>
          <t>🔴 Not Qualified</t>
        </is>
      </c>
      <c r="T425" s="94" t="inlineStr">
        <is>
          <t>🔴 Avoid</t>
        </is>
      </c>
      <c r="U425" s="68" t="inlineStr">
        <is>
          <t>FULL</t>
        </is>
      </c>
    </row>
    <row r="426" ht="16" customHeight="1">
      <c r="A426" s="85" t="n">
        <v>422</v>
      </c>
      <c r="B426" s="86" t="inlineStr">
        <is>
          <t>Mahindra Manulife Large Cap Fund - Regular Plan - Growth</t>
        </is>
      </c>
      <c r="C426" s="86" t="inlineStr">
        <is>
          <t>Mahindra Manulife Mutual Fund</t>
        </is>
      </c>
      <c r="D426" s="86" t="inlineStr">
        <is>
          <t>Large Cap Fund</t>
        </is>
      </c>
      <c r="E426" s="86" t="inlineStr">
        <is>
          <t>Large Cap Fund</t>
        </is>
      </c>
      <c r="F426" s="87" t="n">
        <v>-2.91</v>
      </c>
      <c r="G426" s="87" t="n">
        <v>-2.98</v>
      </c>
      <c r="H426" s="87" t="n">
        <v>-11.26</v>
      </c>
      <c r="I426" s="87" t="n">
        <v>-8.949999999999999</v>
      </c>
      <c r="J426" s="87" t="n">
        <v>-1.141515285737871</v>
      </c>
      <c r="K426" s="88" t="n">
        <v>29.45</v>
      </c>
      <c r="L426" s="78" t="n">
        <v>5.1</v>
      </c>
      <c r="M426" s="18" t="n">
        <v>0</v>
      </c>
      <c r="N426" s="19" t="n">
        <v>2.8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89" t="inlineStr">
        <is>
          <t>📉 Weak</t>
        </is>
      </c>
      <c r="S426" s="89" t="inlineStr">
        <is>
          <t>🔴 Not Qualified</t>
        </is>
      </c>
      <c r="T426" s="89" t="inlineStr">
        <is>
          <t>🔴 Avoid</t>
        </is>
      </c>
      <c r="U426" s="68" t="inlineStr">
        <is>
          <t>FULL</t>
        </is>
      </c>
    </row>
    <row r="427" ht="16" customHeight="1">
      <c r="A427" s="90" t="n">
        <v>423</v>
      </c>
      <c r="B427" s="91" t="inlineStr">
        <is>
          <t>Taurus Mid Cap Fund - Regular Plan - Payout of Income Distribution cum Capital Withdrawal option</t>
        </is>
      </c>
      <c r="C427" s="91" t="inlineStr">
        <is>
          <t>Taurus Mutual Fund</t>
        </is>
      </c>
      <c r="D427" s="91" t="inlineStr">
        <is>
          <t>Mid Cap Fund</t>
        </is>
      </c>
      <c r="E427" s="91" t="inlineStr">
        <is>
          <t>Mid Cap Fund</t>
        </is>
      </c>
      <c r="F427" s="92" t="n">
        <v>-5.14</v>
      </c>
      <c r="G427" s="93" t="n">
        <v>1.65</v>
      </c>
      <c r="H427" s="92" t="n">
        <v>-6.71</v>
      </c>
      <c r="I427" s="92" t="n">
        <v>-8.539999999999999</v>
      </c>
      <c r="J427" s="92" t="n">
        <v>-3.02577662079474</v>
      </c>
      <c r="K427" s="93" t="n">
        <v>35.95</v>
      </c>
      <c r="L427" s="78" t="n">
        <v>5</v>
      </c>
      <c r="M427" s="18" t="n">
        <v>0</v>
      </c>
      <c r="N427" s="19" t="n">
        <v>2.8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94" t="inlineStr">
        <is>
          <t>📉 Weak</t>
        </is>
      </c>
      <c r="S427" s="94" t="inlineStr">
        <is>
          <t>🔴 Not Qualified</t>
        </is>
      </c>
      <c r="T427" s="94" t="inlineStr">
        <is>
          <t>🔴 Avoid</t>
        </is>
      </c>
      <c r="U427" s="68" t="inlineStr">
        <is>
          <t>FULL</t>
        </is>
      </c>
    </row>
    <row r="428" ht="16" customHeight="1">
      <c r="A428" s="85" t="n">
        <v>424</v>
      </c>
      <c r="B428" s="86" t="inlineStr">
        <is>
          <t>Taurus Mid Cap Fund - Regular Plan - Growth</t>
        </is>
      </c>
      <c r="C428" s="86" t="inlineStr">
        <is>
          <t>Taurus Mutual Fund</t>
        </is>
      </c>
      <c r="D428" s="86" t="inlineStr">
        <is>
          <t>Mid Cap Fund</t>
        </is>
      </c>
      <c r="E428" s="86" t="inlineStr">
        <is>
          <t>Mid Cap Fund</t>
        </is>
      </c>
      <c r="F428" s="87" t="n">
        <v>-5.13</v>
      </c>
      <c r="G428" s="88" t="n">
        <v>1.65</v>
      </c>
      <c r="H428" s="87" t="n">
        <v>-6.72</v>
      </c>
      <c r="I428" s="87" t="n">
        <v>-8.539999999999999</v>
      </c>
      <c r="J428" s="87" t="n">
        <v>-3.02577662079474</v>
      </c>
      <c r="K428" s="88" t="n">
        <v>35.95</v>
      </c>
      <c r="L428" s="78" t="n">
        <v>4.9</v>
      </c>
      <c r="M428" s="18" t="n">
        <v>0</v>
      </c>
      <c r="N428" s="19" t="n">
        <v>2.7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89" t="inlineStr">
        <is>
          <t>📉 Weak</t>
        </is>
      </c>
      <c r="S428" s="89" t="inlineStr">
        <is>
          <t>🔴 Not Qualified</t>
        </is>
      </c>
      <c r="T428" s="89" t="inlineStr">
        <is>
          <t>🔴 Avoid</t>
        </is>
      </c>
      <c r="U428" s="68" t="inlineStr">
        <is>
          <t>FULL</t>
        </is>
      </c>
    </row>
    <row r="429" ht="16" customHeight="1">
      <c r="A429" s="90" t="n">
        <v>425</v>
      </c>
      <c r="B429" s="91" t="inlineStr">
        <is>
          <t>TATA Digital India Fund Regular Plan - Reinvestment of Income Distribution cum capital withdrawal option</t>
        </is>
      </c>
      <c r="C429" s="91" t="inlineStr">
        <is>
          <t>Tata Mutual Fund</t>
        </is>
      </c>
      <c r="D429" s="91" t="inlineStr">
        <is>
          <t>Sectoral/ Thematic</t>
        </is>
      </c>
      <c r="E429" s="91" t="inlineStr">
        <is>
          <t>Sectoral/ Thematic</t>
        </is>
      </c>
      <c r="F429" s="92" t="n">
        <v>-3.37</v>
      </c>
      <c r="G429" s="92" t="n">
        <v>-5.51</v>
      </c>
      <c r="H429" s="92" t="n">
        <v>-26</v>
      </c>
      <c r="I429" s="92" t="n">
        <v>-24.9</v>
      </c>
      <c r="J429" s="92" t="n">
        <v>-8.010870207398968</v>
      </c>
      <c r="K429" s="93" t="n">
        <v>13.14</v>
      </c>
      <c r="L429" s="78" t="n">
        <v>4.6</v>
      </c>
      <c r="M429" s="18" t="n">
        <v>0</v>
      </c>
      <c r="N429" s="19" t="n">
        <v>2.5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94" t="inlineStr">
        <is>
          <t>📉 Weak</t>
        </is>
      </c>
      <c r="S429" s="94" t="inlineStr">
        <is>
          <t>🔴 Not Qualified</t>
        </is>
      </c>
      <c r="T429" s="94" t="inlineStr">
        <is>
          <t>🔴 Avoid</t>
        </is>
      </c>
      <c r="U429" s="68" t="inlineStr">
        <is>
          <t>FULL</t>
        </is>
      </c>
    </row>
    <row r="430" ht="16" customHeight="1">
      <c r="A430" s="85" t="n">
        <v>426</v>
      </c>
      <c r="B430" s="86" t="inlineStr">
        <is>
          <t>TATA Digital India Fund Regular Plan - Payout of Income Distribution cum capital withdrawal option</t>
        </is>
      </c>
      <c r="C430" s="86" t="inlineStr">
        <is>
          <t>Tata Mutual Fund</t>
        </is>
      </c>
      <c r="D430" s="86" t="inlineStr">
        <is>
          <t>Sectoral/ Thematic</t>
        </is>
      </c>
      <c r="E430" s="86" t="inlineStr">
        <is>
          <t>Sectoral/ Thematic</t>
        </is>
      </c>
      <c r="F430" s="87" t="n">
        <v>-3.37</v>
      </c>
      <c r="G430" s="87" t="n">
        <v>-5.51</v>
      </c>
      <c r="H430" s="87" t="n">
        <v>-26</v>
      </c>
      <c r="I430" s="87" t="n">
        <v>-24.9</v>
      </c>
      <c r="J430" s="87" t="n">
        <v>-8.010870207398968</v>
      </c>
      <c r="K430" s="88" t="n">
        <v>13.14</v>
      </c>
      <c r="L430" s="78" t="n">
        <v>4.6</v>
      </c>
      <c r="M430" s="18" t="n">
        <v>0</v>
      </c>
      <c r="N430" s="19" t="n">
        <v>2.5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89" t="inlineStr">
        <is>
          <t>📉 Weak</t>
        </is>
      </c>
      <c r="S430" s="89" t="inlineStr">
        <is>
          <t>🔴 Not Qualified</t>
        </is>
      </c>
      <c r="T430" s="89" t="inlineStr">
        <is>
          <t>🔴 Avoid</t>
        </is>
      </c>
      <c r="U430" s="68" t="inlineStr">
        <is>
          <t>FULL</t>
        </is>
      </c>
    </row>
    <row r="431" ht="16" customHeight="1">
      <c r="A431" s="90" t="n">
        <v>427</v>
      </c>
      <c r="B431" s="91" t="inlineStr">
        <is>
          <t>TATA Flexi Cap Fund Regular Plan - Reinvestment of Income Distribution cum capital withdrawal option</t>
        </is>
      </c>
      <c r="C431" s="91" t="inlineStr">
        <is>
          <t>Tata Mutual Fund</t>
        </is>
      </c>
      <c r="D431" s="91" t="inlineStr">
        <is>
          <t>Flexi Cap Fund</t>
        </is>
      </c>
      <c r="E431" s="91" t="inlineStr">
        <is>
          <t>Flexi Cap Fund</t>
        </is>
      </c>
      <c r="F431" s="92" t="n">
        <v>-7.67</v>
      </c>
      <c r="G431" s="92" t="n">
        <v>-5.33</v>
      </c>
      <c r="H431" s="92" t="n">
        <v>-12.95</v>
      </c>
      <c r="I431" s="92" t="n">
        <v>-11.18</v>
      </c>
      <c r="J431" s="92" t="n">
        <v>-0.3455971870785834</v>
      </c>
      <c r="K431" s="93" t="n">
        <v>31.75</v>
      </c>
      <c r="L431" s="78" t="n">
        <v>3.1</v>
      </c>
      <c r="M431" s="18" t="n">
        <v>0</v>
      </c>
      <c r="N431" s="19" t="n">
        <v>1.7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94" t="inlineStr">
        <is>
          <t>📉 Weak</t>
        </is>
      </c>
      <c r="S431" s="94" t="inlineStr">
        <is>
          <t>🔴 Not Qualified</t>
        </is>
      </c>
      <c r="T431" s="94" t="inlineStr">
        <is>
          <t>🔴 Avoid</t>
        </is>
      </c>
      <c r="U431" s="68" t="inlineStr">
        <is>
          <t>FULL</t>
        </is>
      </c>
    </row>
    <row r="432" ht="16" customHeight="1">
      <c r="A432" s="85" t="n">
        <v>428</v>
      </c>
      <c r="B432" s="86" t="inlineStr">
        <is>
          <t>TATA Flexi Cap Fund Regular Plan - Payout of Income Distribution cum capital withdrawal option</t>
        </is>
      </c>
      <c r="C432" s="86" t="inlineStr">
        <is>
          <t>Tata Mutual Fund</t>
        </is>
      </c>
      <c r="D432" s="86" t="inlineStr">
        <is>
          <t>Flexi Cap Fund</t>
        </is>
      </c>
      <c r="E432" s="86" t="inlineStr">
        <is>
          <t>Flexi Cap Fund</t>
        </is>
      </c>
      <c r="F432" s="87" t="n">
        <v>-7.67</v>
      </c>
      <c r="G432" s="87" t="n">
        <v>-5.33</v>
      </c>
      <c r="H432" s="87" t="n">
        <v>-12.95</v>
      </c>
      <c r="I432" s="87" t="n">
        <v>-11.18</v>
      </c>
      <c r="J432" s="87" t="n">
        <v>-0.3455971870785834</v>
      </c>
      <c r="K432" s="88" t="n">
        <v>31.75</v>
      </c>
      <c r="L432" s="78" t="n">
        <v>3.1</v>
      </c>
      <c r="M432" s="18" t="n">
        <v>0</v>
      </c>
      <c r="N432" s="19" t="n">
        <v>1.7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89" t="inlineStr">
        <is>
          <t>📉 Weak</t>
        </is>
      </c>
      <c r="S432" s="89" t="inlineStr">
        <is>
          <t>🔴 Not Qualified</t>
        </is>
      </c>
      <c r="T432" s="89" t="inlineStr">
        <is>
          <t>🔴 Avoid</t>
        </is>
      </c>
      <c r="U432" s="68" t="inlineStr">
        <is>
          <t>FULL</t>
        </is>
      </c>
    </row>
    <row r="433" ht="16" customHeight="1">
      <c r="A433" s="95" t="n">
        <v>429</v>
      </c>
      <c r="B433" s="96" t="inlineStr">
        <is>
          <t>TRUSTMF SMALL CAP FUND -REGULAR PLAN-GROWTH</t>
        </is>
      </c>
      <c r="C433" s="96" t="inlineStr">
        <is>
          <t>Trust Mutual Fund</t>
        </is>
      </c>
      <c r="D433" s="96" t="inlineStr">
        <is>
          <t>Small Cap Fund</t>
        </is>
      </c>
      <c r="E433" s="96" t="inlineStr">
        <is>
          <t>Small Cap Fund</t>
        </is>
      </c>
      <c r="F433" s="98" t="n">
        <v>1.44</v>
      </c>
      <c r="G433" s="98" t="n">
        <v>19.46</v>
      </c>
      <c r="H433" s="98" t="n">
        <v>13.46</v>
      </c>
      <c r="I433" s="98" t="n">
        <v>16.44</v>
      </c>
      <c r="J433" s="98" t="n">
        <v>0</v>
      </c>
      <c r="K433" s="98" t="n">
        <v>0</v>
      </c>
      <c r="L433" s="17" t="n">
        <v>100</v>
      </c>
      <c r="M433" s="18" t="n">
        <v>0</v>
      </c>
      <c r="N433" s="21" t="n">
        <v>55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99" t="inlineStr">
        <is>
          <t>🔥 Hot</t>
        </is>
      </c>
      <c r="S433" s="99" t="inlineStr">
        <is>
          <t>⏳ New Fund</t>
        </is>
      </c>
      <c r="T433" s="99" t="inlineStr">
        <is>
          <t>🔥 Hot Momentum</t>
        </is>
      </c>
      <c r="U433" s="100" t="inlineStr">
        <is>
          <t>MOMENTUM_ONLY</t>
        </is>
      </c>
    </row>
    <row r="434" ht="16" customHeight="1">
      <c r="A434" s="95" t="n">
        <v>430</v>
      </c>
      <c r="B434" s="96" t="inlineStr">
        <is>
          <t>HDFC Pharma and Healthcare Fund - Growth Option</t>
        </is>
      </c>
      <c r="C434" s="96" t="inlineStr">
        <is>
          <t>HDFC Mutual Fund</t>
        </is>
      </c>
      <c r="D434" s="96" t="inlineStr">
        <is>
          <t>Sectoral/ Thematic</t>
        </is>
      </c>
      <c r="E434" s="96" t="inlineStr">
        <is>
          <t>Sectoral/ Thematic</t>
        </is>
      </c>
      <c r="F434" s="98" t="n">
        <v>1.63</v>
      </c>
      <c r="G434" s="98" t="n">
        <v>11.46</v>
      </c>
      <c r="H434" s="98" t="n">
        <v>13.01</v>
      </c>
      <c r="I434" s="98" t="n">
        <v>18.38</v>
      </c>
      <c r="J434" s="98" t="n">
        <v>22.44998979175132</v>
      </c>
      <c r="K434" s="98" t="n">
        <v>0</v>
      </c>
      <c r="L434" s="17" t="n">
        <v>100</v>
      </c>
      <c r="M434" s="18" t="n">
        <v>0</v>
      </c>
      <c r="N434" s="21" t="n">
        <v>55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99" t="inlineStr">
        <is>
          <t>🔥 Hot</t>
        </is>
      </c>
      <c r="S434" s="99" t="inlineStr">
        <is>
          <t>⏳ New Fund</t>
        </is>
      </c>
      <c r="T434" s="99" t="inlineStr">
        <is>
          <t>🔥 Hot Momentum</t>
        </is>
      </c>
      <c r="U434" s="100" t="inlineStr">
        <is>
          <t>MOMENTUM_ONLY</t>
        </is>
      </c>
    </row>
    <row r="435" ht="16" customHeight="1">
      <c r="A435" s="95" t="n">
        <v>431</v>
      </c>
      <c r="B435" s="96" t="inlineStr">
        <is>
          <t>Kotak Healthcare Fund - Regular Plan - Growth Option</t>
        </is>
      </c>
      <c r="C435" s="96" t="inlineStr">
        <is>
          <t>Kotak Mahindra Mutual Fund</t>
        </is>
      </c>
      <c r="D435" s="96" t="inlineStr">
        <is>
          <t>Sectoral/ Thematic</t>
        </is>
      </c>
      <c r="E435" s="96" t="inlineStr">
        <is>
          <t>Sectoral/ Thematic</t>
        </is>
      </c>
      <c r="F435" s="98" t="n">
        <v>1.79</v>
      </c>
      <c r="G435" s="98" t="n">
        <v>11.28</v>
      </c>
      <c r="H435" s="98" t="n">
        <v>12.95</v>
      </c>
      <c r="I435" s="98" t="n">
        <v>14.85</v>
      </c>
      <c r="J435" s="98" t="n">
        <v>14.68652928744509</v>
      </c>
      <c r="K435" s="98" t="n">
        <v>0</v>
      </c>
      <c r="L435" s="17" t="n">
        <v>100</v>
      </c>
      <c r="M435" s="18" t="n">
        <v>0</v>
      </c>
      <c r="N435" s="21" t="n">
        <v>55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99" t="inlineStr">
        <is>
          <t>🔥 Hot</t>
        </is>
      </c>
      <c r="S435" s="99" t="inlineStr">
        <is>
          <t>⏳ New Fund</t>
        </is>
      </c>
      <c r="T435" s="99" t="inlineStr">
        <is>
          <t>🔥 Hot Momentum</t>
        </is>
      </c>
      <c r="U435" s="100" t="inlineStr">
        <is>
          <t>MOMENTUM_ONLY</t>
        </is>
      </c>
    </row>
    <row r="436" ht="16" customHeight="1">
      <c r="A436" s="95" t="n">
        <v>432</v>
      </c>
      <c r="B436" s="96" t="inlineStr">
        <is>
          <t>Motilal Oswal Active Momentum Fund- Regular- Growth</t>
        </is>
      </c>
      <c r="C436" s="96" t="inlineStr">
        <is>
          <t>Motilal Oswal Mutual Fund</t>
        </is>
      </c>
      <c r="D436" s="96" t="inlineStr">
        <is>
          <t>Sectoral/ Thematic</t>
        </is>
      </c>
      <c r="E436" s="96" t="inlineStr">
        <is>
          <t>Sectoral/ Thematic</t>
        </is>
      </c>
      <c r="F436" s="98" t="n">
        <v>3.58</v>
      </c>
      <c r="G436" s="98" t="n">
        <v>16.95</v>
      </c>
      <c r="H436" s="98" t="n">
        <v>8.9</v>
      </c>
      <c r="I436" s="98" t="n">
        <v>18.84</v>
      </c>
      <c r="J436" s="98" t="n">
        <v>0</v>
      </c>
      <c r="K436" s="98" t="n">
        <v>0</v>
      </c>
      <c r="L436" s="17" t="n">
        <v>99.5</v>
      </c>
      <c r="M436" s="18" t="n">
        <v>0</v>
      </c>
      <c r="N436" s="21" t="n">
        <v>54.7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99" t="inlineStr">
        <is>
          <t>🔥 Hot</t>
        </is>
      </c>
      <c r="S436" s="99" t="inlineStr">
        <is>
          <t>⏳ New Fund</t>
        </is>
      </c>
      <c r="T436" s="99" t="inlineStr">
        <is>
          <t>🔥 Hot Momentum</t>
        </is>
      </c>
      <c r="U436" s="100" t="inlineStr">
        <is>
          <t>MOMENTUM_ONLY</t>
        </is>
      </c>
    </row>
    <row r="437" ht="16" customHeight="1">
      <c r="A437" s="95" t="n">
        <v>433</v>
      </c>
      <c r="B437" s="96" t="inlineStr">
        <is>
          <t>PGIM India Healthcare Fund - Regular Plan - Growth Option</t>
        </is>
      </c>
      <c r="C437" s="96" t="inlineStr">
        <is>
          <t>PGIM India Mutual Fund</t>
        </is>
      </c>
      <c r="D437" s="96" t="inlineStr">
        <is>
          <t>Sectoral/ Thematic</t>
        </is>
      </c>
      <c r="E437" s="96" t="inlineStr">
        <is>
          <t>Sectoral/ Thematic</t>
        </is>
      </c>
      <c r="F437" s="98" t="n">
        <v>1.4</v>
      </c>
      <c r="G437" s="98" t="n">
        <v>8.57</v>
      </c>
      <c r="H437" s="98" t="n">
        <v>9.880000000000001</v>
      </c>
      <c r="I437" s="98" t="n">
        <v>11.57</v>
      </c>
      <c r="J437" s="98" t="n">
        <v>0</v>
      </c>
      <c r="K437" s="98" t="n">
        <v>0</v>
      </c>
      <c r="L437" s="17" t="n">
        <v>98.09999999999999</v>
      </c>
      <c r="M437" s="18" t="n">
        <v>0</v>
      </c>
      <c r="N437" s="21" t="n">
        <v>53.9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99" t="inlineStr">
        <is>
          <t>🔥 Hot</t>
        </is>
      </c>
      <c r="S437" s="99" t="inlineStr">
        <is>
          <t>⏳ New Fund</t>
        </is>
      </c>
      <c r="T437" s="99" t="inlineStr">
        <is>
          <t>🔥 Hot Momentum</t>
        </is>
      </c>
      <c r="U437" s="100" t="inlineStr">
        <is>
          <t>MOMENTUM_ONLY</t>
        </is>
      </c>
    </row>
    <row r="438" ht="16" customHeight="1">
      <c r="A438" s="95" t="n">
        <v>434</v>
      </c>
      <c r="B438" s="96" t="inlineStr">
        <is>
          <t>WhiteOak Capital Pharma and Heathcare Fund Regular Plan Growth</t>
        </is>
      </c>
      <c r="C438" s="96" t="inlineStr">
        <is>
          <t>WhiteOak Capital Mutual Fund</t>
        </is>
      </c>
      <c r="D438" s="96" t="inlineStr">
        <is>
          <t>Sectoral/ Thematic</t>
        </is>
      </c>
      <c r="E438" s="96" t="inlineStr">
        <is>
          <t>Sectoral/ Thematic</t>
        </is>
      </c>
      <c r="F438" s="98" t="n">
        <v>0.74</v>
      </c>
      <c r="G438" s="98" t="n">
        <v>9.76</v>
      </c>
      <c r="H438" s="98" t="n">
        <v>9.050000000000001</v>
      </c>
      <c r="I438" s="98" t="n">
        <v>14.53</v>
      </c>
      <c r="J438" s="98" t="n">
        <v>20.47406359876802</v>
      </c>
      <c r="K438" s="98" t="n">
        <v>0</v>
      </c>
      <c r="L438" s="17" t="n">
        <v>95.8</v>
      </c>
      <c r="M438" s="18" t="n">
        <v>0</v>
      </c>
      <c r="N438" s="21" t="n">
        <v>52.7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99" t="inlineStr">
        <is>
          <t>🔥 Hot</t>
        </is>
      </c>
      <c r="S438" s="99" t="inlineStr">
        <is>
          <t>⏳ New Fund</t>
        </is>
      </c>
      <c r="T438" s="99" t="inlineStr">
        <is>
          <t>🔥 Hot Momentum</t>
        </is>
      </c>
      <c r="U438" s="100" t="inlineStr">
        <is>
          <t>MOMENTUM_ONLY</t>
        </is>
      </c>
    </row>
    <row r="439" ht="16" customHeight="1">
      <c r="A439" s="95" t="n">
        <v>435</v>
      </c>
      <c r="B439" s="96" t="inlineStr">
        <is>
          <t>Kotak MNC Fund-Regular Plan- Growth</t>
        </is>
      </c>
      <c r="C439" s="96" t="inlineStr">
        <is>
          <t>Kotak Mahindra Mutual Fund</t>
        </is>
      </c>
      <c r="D439" s="96" t="inlineStr">
        <is>
          <t>Sectoral/ Thematic</t>
        </is>
      </c>
      <c r="E439" s="96" t="inlineStr">
        <is>
          <t>Sectoral/ Thematic</t>
        </is>
      </c>
      <c r="F439" s="97" t="n">
        <v>-0.76</v>
      </c>
      <c r="G439" s="98" t="n">
        <v>10.97</v>
      </c>
      <c r="H439" s="98" t="n">
        <v>9.56</v>
      </c>
      <c r="I439" s="98" t="n">
        <v>16.13</v>
      </c>
      <c r="J439" s="98" t="n">
        <v>0</v>
      </c>
      <c r="K439" s="98" t="n">
        <v>0</v>
      </c>
      <c r="L439" s="17" t="n">
        <v>95.2</v>
      </c>
      <c r="M439" s="18" t="n">
        <v>0</v>
      </c>
      <c r="N439" s="21" t="n">
        <v>52.3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99" t="inlineStr">
        <is>
          <t>🔥 Hot</t>
        </is>
      </c>
      <c r="S439" s="99" t="inlineStr">
        <is>
          <t>⏳ New Fund</t>
        </is>
      </c>
      <c r="T439" s="99" t="inlineStr">
        <is>
          <t>🔥 Hot Momentum</t>
        </is>
      </c>
      <c r="U439" s="100" t="inlineStr">
        <is>
          <t>MOMENTUM_ONLY</t>
        </is>
      </c>
    </row>
    <row r="440" ht="16" customHeight="1">
      <c r="A440" s="95" t="n">
        <v>436</v>
      </c>
      <c r="B440" s="96" t="inlineStr">
        <is>
          <t>BAJAJ FINSERV HEALTHCARE FUND - REGULAR - GROWTH</t>
        </is>
      </c>
      <c r="C440" s="96" t="inlineStr">
        <is>
          <t>Bajaj Finserv Mutual Fund</t>
        </is>
      </c>
      <c r="D440" s="96" t="inlineStr">
        <is>
          <t>Sectoral/ Thematic</t>
        </is>
      </c>
      <c r="E440" s="96" t="inlineStr">
        <is>
          <t>Sectoral/ Thematic</t>
        </is>
      </c>
      <c r="F440" s="98" t="n">
        <v>0.28</v>
      </c>
      <c r="G440" s="98" t="n">
        <v>10.98</v>
      </c>
      <c r="H440" s="98" t="n">
        <v>6.96</v>
      </c>
      <c r="I440" s="98" t="n">
        <v>8.359999999999999</v>
      </c>
      <c r="J440" s="98" t="n">
        <v>0</v>
      </c>
      <c r="K440" s="98" t="n">
        <v>0</v>
      </c>
      <c r="L440" s="17" t="n">
        <v>93.7</v>
      </c>
      <c r="M440" s="18" t="n">
        <v>0</v>
      </c>
      <c r="N440" s="21" t="n">
        <v>51.5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99" t="inlineStr">
        <is>
          <t>🔥 Hot</t>
        </is>
      </c>
      <c r="S440" s="99" t="inlineStr">
        <is>
          <t>⏳ New Fund</t>
        </is>
      </c>
      <c r="T440" s="99" t="inlineStr">
        <is>
          <t>🔥 Hot Momentum</t>
        </is>
      </c>
      <c r="U440" s="100" t="inlineStr">
        <is>
          <t>MOMENTUM_ONLY</t>
        </is>
      </c>
    </row>
    <row r="441" ht="16" customHeight="1">
      <c r="A441" s="95" t="n">
        <v>437</v>
      </c>
      <c r="B441" s="96" t="inlineStr">
        <is>
          <t>LIC MF Value Fund-Regular Plan-Growth</t>
        </is>
      </c>
      <c r="C441" s="96" t="inlineStr">
        <is>
          <t>LIC Mutual Fund</t>
        </is>
      </c>
      <c r="D441" s="96" t="inlineStr">
        <is>
          <t>Value Fund</t>
        </is>
      </c>
      <c r="E441" s="96" t="inlineStr">
        <is>
          <t>Value Fund</t>
        </is>
      </c>
      <c r="F441" s="97" t="n">
        <v>-1.79</v>
      </c>
      <c r="G441" s="98" t="n">
        <v>7.92</v>
      </c>
      <c r="H441" s="98" t="n">
        <v>5.12</v>
      </c>
      <c r="I441" s="98" t="n">
        <v>6.44</v>
      </c>
      <c r="J441" s="98" t="n">
        <v>5.099952426249943</v>
      </c>
      <c r="K441" s="98" t="n">
        <v>0</v>
      </c>
      <c r="L441" s="17" t="n">
        <v>93.5</v>
      </c>
      <c r="M441" s="18" t="n">
        <v>0</v>
      </c>
      <c r="N441" s="21" t="n">
        <v>51.4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99" t="inlineStr">
        <is>
          <t>🔥 Hot</t>
        </is>
      </c>
      <c r="S441" s="99" t="inlineStr">
        <is>
          <t>⏳ New Fund</t>
        </is>
      </c>
      <c r="T441" s="99" t="inlineStr">
        <is>
          <t>🔥 Hot Momentum</t>
        </is>
      </c>
      <c r="U441" s="100" t="inlineStr">
        <is>
          <t>MOMENTUM_ONLY</t>
        </is>
      </c>
    </row>
    <row r="442" ht="16" customHeight="1">
      <c r="A442" s="95" t="n">
        <v>438</v>
      </c>
      <c r="B442" s="96" t="inlineStr">
        <is>
          <t>TRUSTMF MULTI CAP FUND -REGULAR PLAN-GROWTH</t>
        </is>
      </c>
      <c r="C442" s="96" t="inlineStr">
        <is>
          <t>Trust Mutual Fund</t>
        </is>
      </c>
      <c r="D442" s="96" t="inlineStr">
        <is>
          <t>Multi Cap Fund</t>
        </is>
      </c>
      <c r="E442" s="96" t="inlineStr">
        <is>
          <t>Multi Cap Fund</t>
        </is>
      </c>
      <c r="F442" s="97" t="n">
        <v>-0.19</v>
      </c>
      <c r="G442" s="98" t="n">
        <v>9.300000000000001</v>
      </c>
      <c r="H442" s="98" t="n">
        <v>2.99</v>
      </c>
      <c r="I442" s="98" t="n">
        <v>0</v>
      </c>
      <c r="J442" s="98" t="n">
        <v>0</v>
      </c>
      <c r="K442" s="98" t="n">
        <v>0</v>
      </c>
      <c r="L442" s="17" t="n">
        <v>92.3</v>
      </c>
      <c r="M442" s="18" t="n">
        <v>0</v>
      </c>
      <c r="N442" s="21" t="n">
        <v>50.8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99" t="inlineStr">
        <is>
          <t>🔥 Hot</t>
        </is>
      </c>
      <c r="S442" s="99" t="inlineStr">
        <is>
          <t>⏳ New Fund</t>
        </is>
      </c>
      <c r="T442" s="99" t="inlineStr">
        <is>
          <t>🔥 Hot Momentum</t>
        </is>
      </c>
      <c r="U442" s="100" t="inlineStr">
        <is>
          <t>MOMENTUM_ONLY</t>
        </is>
      </c>
    </row>
    <row r="443" ht="16" customHeight="1">
      <c r="A443" s="95" t="n">
        <v>439</v>
      </c>
      <c r="B443" s="96" t="inlineStr">
        <is>
          <t>quant Manufacturing Fund - Growth Option - Regular Plan</t>
        </is>
      </c>
      <c r="C443" s="96" t="inlineStr">
        <is>
          <t>quant Mutual Fund</t>
        </is>
      </c>
      <c r="D443" s="96" t="inlineStr">
        <is>
          <t>Sectoral/ Thematic</t>
        </is>
      </c>
      <c r="E443" s="96" t="inlineStr">
        <is>
          <t>Sectoral/ Thematic</t>
        </is>
      </c>
      <c r="F443" s="98" t="n">
        <v>0.39</v>
      </c>
      <c r="G443" s="98" t="n">
        <v>18.21</v>
      </c>
      <c r="H443" s="98" t="n">
        <v>8.65</v>
      </c>
      <c r="I443" s="98" t="n">
        <v>4.17</v>
      </c>
      <c r="J443" s="97" t="n">
        <v>-1.166807195153308</v>
      </c>
      <c r="K443" s="98" t="n">
        <v>0</v>
      </c>
      <c r="L443" s="17" t="n">
        <v>92.2</v>
      </c>
      <c r="M443" s="18" t="n">
        <v>0</v>
      </c>
      <c r="N443" s="21" t="n">
        <v>50.7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99" t="inlineStr">
        <is>
          <t>🔥 Hot</t>
        </is>
      </c>
      <c r="S443" s="99" t="inlineStr">
        <is>
          <t>⏳ New Fund</t>
        </is>
      </c>
      <c r="T443" s="99" t="inlineStr">
        <is>
          <t>🔥 Hot Momentum</t>
        </is>
      </c>
      <c r="U443" s="100" t="inlineStr">
        <is>
          <t>MOMENTUM_ONLY</t>
        </is>
      </c>
    </row>
    <row r="444" ht="16" customHeight="1">
      <c r="A444" s="95" t="n">
        <v>440</v>
      </c>
      <c r="B444" s="96" t="inlineStr">
        <is>
          <t>Groww Multicap Fund - Regular - Growth</t>
        </is>
      </c>
      <c r="C444" s="96" t="inlineStr">
        <is>
          <t>Groww Mutual Fund</t>
        </is>
      </c>
      <c r="D444" s="96" t="inlineStr">
        <is>
          <t>Multi Cap Fund</t>
        </is>
      </c>
      <c r="E444" s="96" t="inlineStr">
        <is>
          <t>Multi Cap Fund</t>
        </is>
      </c>
      <c r="F444" s="97" t="n">
        <v>-2.14</v>
      </c>
      <c r="G444" s="98" t="n">
        <v>9.970000000000001</v>
      </c>
      <c r="H444" s="98" t="n">
        <v>2.64</v>
      </c>
      <c r="I444" s="98" t="n">
        <v>7.32</v>
      </c>
      <c r="J444" s="98" t="n">
        <v>0</v>
      </c>
      <c r="K444" s="98" t="n">
        <v>0</v>
      </c>
      <c r="L444" s="17" t="n">
        <v>91.3</v>
      </c>
      <c r="M444" s="18" t="n">
        <v>0</v>
      </c>
      <c r="N444" s="21" t="n">
        <v>50.2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99" t="inlineStr">
        <is>
          <t>🔥 Hot</t>
        </is>
      </c>
      <c r="S444" s="99" t="inlineStr">
        <is>
          <t>⏳ New Fund</t>
        </is>
      </c>
      <c r="T444" s="99" t="inlineStr">
        <is>
          <t>🔥 Hot Momentum</t>
        </is>
      </c>
      <c r="U444" s="100" t="inlineStr">
        <is>
          <t>MOMENTUM_ONLY</t>
        </is>
      </c>
    </row>
    <row r="445" ht="16" customHeight="1">
      <c r="A445" s="95" t="n">
        <v>441</v>
      </c>
      <c r="B445" s="96" t="inlineStr">
        <is>
          <t>Union Active Momentum Fund - Regular Plan - Growth Option</t>
        </is>
      </c>
      <c r="C445" s="96" t="inlineStr">
        <is>
          <t>Union Mutual Fund</t>
        </is>
      </c>
      <c r="D445" s="96" t="inlineStr">
        <is>
          <t>Sectoral/ Thematic</t>
        </is>
      </c>
      <c r="E445" s="96" t="inlineStr">
        <is>
          <t>Sectoral/ Thematic</t>
        </is>
      </c>
      <c r="F445" s="98" t="n">
        <v>2.03</v>
      </c>
      <c r="G445" s="98" t="n">
        <v>11.74</v>
      </c>
      <c r="H445" s="98" t="n">
        <v>7.49</v>
      </c>
      <c r="I445" s="98" t="n">
        <v>2.38</v>
      </c>
      <c r="J445" s="98" t="n">
        <v>0</v>
      </c>
      <c r="K445" s="98" t="n">
        <v>0</v>
      </c>
      <c r="L445" s="17" t="n">
        <v>91.2</v>
      </c>
      <c r="M445" s="18" t="n">
        <v>0</v>
      </c>
      <c r="N445" s="21" t="n">
        <v>50.2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99" t="inlineStr">
        <is>
          <t>🔥 Hot</t>
        </is>
      </c>
      <c r="S445" s="99" t="inlineStr">
        <is>
          <t>⏳ New Fund</t>
        </is>
      </c>
      <c r="T445" s="99" t="inlineStr">
        <is>
          <t>🔥 Hot Momentum</t>
        </is>
      </c>
      <c r="U445" s="100" t="inlineStr">
        <is>
          <t>MOMENTUM_ONLY</t>
        </is>
      </c>
    </row>
    <row r="446" ht="16" customHeight="1">
      <c r="A446" s="95" t="n">
        <v>442</v>
      </c>
      <c r="B446" s="96" t="inlineStr">
        <is>
          <t>Canara Robeco Manufacturing Fund -Regular Plan - IDWC Option</t>
        </is>
      </c>
      <c r="C446" s="96" t="inlineStr">
        <is>
          <t>Canara Robeco Mutual Fund</t>
        </is>
      </c>
      <c r="D446" s="96" t="inlineStr">
        <is>
          <t>Sectoral/ Thematic</t>
        </is>
      </c>
      <c r="E446" s="96" t="inlineStr">
        <is>
          <t>Sectoral/ Thematic</t>
        </is>
      </c>
      <c r="F446" s="97" t="n">
        <v>-0.97</v>
      </c>
      <c r="G446" s="98" t="n">
        <v>10.72</v>
      </c>
      <c r="H446" s="98" t="n">
        <v>6.79</v>
      </c>
      <c r="I446" s="98" t="n">
        <v>7.57</v>
      </c>
      <c r="J446" s="98" t="n">
        <v>6.070731118438144</v>
      </c>
      <c r="K446" s="98" t="n">
        <v>0</v>
      </c>
      <c r="L446" s="17" t="n">
        <v>90.59999999999999</v>
      </c>
      <c r="M446" s="18" t="n">
        <v>0</v>
      </c>
      <c r="N446" s="19" t="n">
        <v>49.8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99" t="inlineStr">
        <is>
          <t>🔥 Hot</t>
        </is>
      </c>
      <c r="S446" s="99" t="inlineStr">
        <is>
          <t>⏳ New Fund</t>
        </is>
      </c>
      <c r="T446" s="99" t="inlineStr">
        <is>
          <t>🔥 Hot Momentum</t>
        </is>
      </c>
      <c r="U446" s="100" t="inlineStr">
        <is>
          <t>MOMENTUM_ONLY</t>
        </is>
      </c>
    </row>
    <row r="447" ht="16" customHeight="1">
      <c r="A447" s="95" t="n">
        <v>443</v>
      </c>
      <c r="B447" s="96" t="inlineStr">
        <is>
          <t>Canara Robeco Manufacturing Fund - Regular Plan - Growth Option</t>
        </is>
      </c>
      <c r="C447" s="96" t="inlineStr">
        <is>
          <t>Canara Robeco Mutual Fund</t>
        </is>
      </c>
      <c r="D447" s="96" t="inlineStr">
        <is>
          <t>Sectoral/ Thematic</t>
        </is>
      </c>
      <c r="E447" s="96" t="inlineStr">
        <is>
          <t>Sectoral/ Thematic</t>
        </is>
      </c>
      <c r="F447" s="97" t="n">
        <v>-0.97</v>
      </c>
      <c r="G447" s="98" t="n">
        <v>10.8</v>
      </c>
      <c r="H447" s="98" t="n">
        <v>6.78</v>
      </c>
      <c r="I447" s="98" t="n">
        <v>7.56</v>
      </c>
      <c r="J447" s="98" t="n">
        <v>6.113147159058463</v>
      </c>
      <c r="K447" s="98" t="n">
        <v>0</v>
      </c>
      <c r="L447" s="17" t="n">
        <v>90.5</v>
      </c>
      <c r="M447" s="18" t="n">
        <v>0</v>
      </c>
      <c r="N447" s="19" t="n">
        <v>49.8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99" t="inlineStr">
        <is>
          <t>🔥 Hot</t>
        </is>
      </c>
      <c r="S447" s="99" t="inlineStr">
        <is>
          <t>⏳ New Fund</t>
        </is>
      </c>
      <c r="T447" s="99" t="inlineStr">
        <is>
          <t>🔥 Hot Momentum</t>
        </is>
      </c>
      <c r="U447" s="100" t="inlineStr">
        <is>
          <t>MOMENTUM_ONLY</t>
        </is>
      </c>
    </row>
    <row r="448" ht="16" customHeight="1">
      <c r="A448" s="95" t="n">
        <v>444</v>
      </c>
      <c r="B448" s="96" t="inlineStr">
        <is>
          <t>Motilal Oswal Small Cap Fund - Regular - Growth</t>
        </is>
      </c>
      <c r="C448" s="96" t="inlineStr">
        <is>
          <t>Motilal Oswal Mutual Fund</t>
        </is>
      </c>
      <c r="D448" s="96" t="inlineStr">
        <is>
          <t>Small Cap Fund</t>
        </is>
      </c>
      <c r="E448" s="96" t="inlineStr">
        <is>
          <t>Small Cap Fund</t>
        </is>
      </c>
      <c r="F448" s="97" t="n">
        <v>-1.24</v>
      </c>
      <c r="G448" s="98" t="n">
        <v>14.65</v>
      </c>
      <c r="H448" s="98" t="n">
        <v>5.72</v>
      </c>
      <c r="I448" s="98" t="n">
        <v>4.51</v>
      </c>
      <c r="J448" s="98" t="n">
        <v>12.25862995778988</v>
      </c>
      <c r="K448" s="98" t="n">
        <v>0</v>
      </c>
      <c r="L448" s="17" t="n">
        <v>88.59999999999999</v>
      </c>
      <c r="M448" s="18" t="n">
        <v>0</v>
      </c>
      <c r="N448" s="19" t="n">
        <v>48.7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99" t="inlineStr">
        <is>
          <t>⭐ Strong</t>
        </is>
      </c>
      <c r="S448" s="99" t="inlineStr">
        <is>
          <t>⏳ New Fund</t>
        </is>
      </c>
      <c r="T448" s="99" t="inlineStr">
        <is>
          <t>🔥 Hot Momentum</t>
        </is>
      </c>
      <c r="U448" s="100" t="inlineStr">
        <is>
          <t>MOMENTUM_ONLY</t>
        </is>
      </c>
    </row>
    <row r="449" ht="16" customHeight="1">
      <c r="A449" s="95" t="n">
        <v>445</v>
      </c>
      <c r="B449" s="96" t="inlineStr">
        <is>
          <t>quant Commodities Fund - Growth Option - Regular Plan</t>
        </is>
      </c>
      <c r="C449" s="96" t="inlineStr">
        <is>
          <t>quant Mutual Fund</t>
        </is>
      </c>
      <c r="D449" s="96" t="inlineStr">
        <is>
          <t>Sectoral/ Thematic</t>
        </is>
      </c>
      <c r="E449" s="96" t="inlineStr">
        <is>
          <t>Sectoral/ Thematic</t>
        </is>
      </c>
      <c r="F449" s="97" t="n">
        <v>-2</v>
      </c>
      <c r="G449" s="98" t="n">
        <v>16.38</v>
      </c>
      <c r="H449" s="98" t="n">
        <v>9.279999999999999</v>
      </c>
      <c r="I449" s="98" t="n">
        <v>6.82</v>
      </c>
      <c r="J449" s="98" t="n">
        <v>5.631434715239947</v>
      </c>
      <c r="K449" s="98" t="n">
        <v>0</v>
      </c>
      <c r="L449" s="17" t="n">
        <v>88</v>
      </c>
      <c r="M449" s="18" t="n">
        <v>0</v>
      </c>
      <c r="N449" s="19" t="n">
        <v>48.4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99" t="inlineStr">
        <is>
          <t>⭐ Strong</t>
        </is>
      </c>
      <c r="S449" s="99" t="inlineStr">
        <is>
          <t>⏳ New Fund</t>
        </is>
      </c>
      <c r="T449" s="99" t="inlineStr">
        <is>
          <t>🔥 Hot Momentum</t>
        </is>
      </c>
      <c r="U449" s="100" t="inlineStr">
        <is>
          <t>MOMENTUM_ONLY</t>
        </is>
      </c>
    </row>
    <row r="450" ht="16" customHeight="1">
      <c r="A450" s="95" t="n">
        <v>446</v>
      </c>
      <c r="B450" s="96" t="inlineStr">
        <is>
          <t>TRUSTMF Flexi Cap Fund-Regular Plan- Growth</t>
        </is>
      </c>
      <c r="C450" s="96" t="inlineStr">
        <is>
          <t>Trust Mutual Fund</t>
        </is>
      </c>
      <c r="D450" s="96" t="inlineStr">
        <is>
          <t>Flexi Cap Fund</t>
        </is>
      </c>
      <c r="E450" s="96" t="inlineStr">
        <is>
          <t>Flexi Cap Fund</t>
        </is>
      </c>
      <c r="F450" s="97" t="n">
        <v>-0.71</v>
      </c>
      <c r="G450" s="98" t="n">
        <v>4.59</v>
      </c>
      <c r="H450" s="97" t="n">
        <v>-2.53</v>
      </c>
      <c r="I450" s="97" t="n">
        <v>-2.95</v>
      </c>
      <c r="J450" s="98" t="n">
        <v>3.537432844358279</v>
      </c>
      <c r="K450" s="98" t="n">
        <v>0</v>
      </c>
      <c r="L450" s="17" t="n">
        <v>87.2</v>
      </c>
      <c r="M450" s="18" t="n">
        <v>0</v>
      </c>
      <c r="N450" s="19" t="n">
        <v>47.9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99" t="inlineStr">
        <is>
          <t>⭐ Strong</t>
        </is>
      </c>
      <c r="S450" s="99" t="inlineStr">
        <is>
          <t>⏳ New Fund</t>
        </is>
      </c>
      <c r="T450" s="99" t="inlineStr">
        <is>
          <t>🔥 Hot Momentum</t>
        </is>
      </c>
      <c r="U450" s="100" t="inlineStr">
        <is>
          <t>MOMENTUM_ONLY</t>
        </is>
      </c>
    </row>
    <row r="451" ht="16" customHeight="1">
      <c r="A451" s="95" t="n">
        <v>447</v>
      </c>
      <c r="B451" s="96" t="inlineStr">
        <is>
          <t>LIC MF Healthcare Fund-Regular Plan-Growth</t>
        </is>
      </c>
      <c r="C451" s="96" t="inlineStr">
        <is>
          <t>LIC Mutual Fund</t>
        </is>
      </c>
      <c r="D451" s="96" t="inlineStr">
        <is>
          <t>Sectoral/ Thematic</t>
        </is>
      </c>
      <c r="E451" s="96" t="inlineStr">
        <is>
          <t>Sectoral/ Thematic</t>
        </is>
      </c>
      <c r="F451" s="97" t="n">
        <v>-1.02</v>
      </c>
      <c r="G451" s="98" t="n">
        <v>8.460000000000001</v>
      </c>
      <c r="H451" s="98" t="n">
        <v>5.15</v>
      </c>
      <c r="I451" s="98" t="n">
        <v>7.2</v>
      </c>
      <c r="J451" s="98" t="n">
        <v>11.44505372604026</v>
      </c>
      <c r="K451" s="98" t="n">
        <v>0</v>
      </c>
      <c r="L451" s="17" t="n">
        <v>86.7</v>
      </c>
      <c r="M451" s="18" t="n">
        <v>0</v>
      </c>
      <c r="N451" s="19" t="n">
        <v>47.7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9" t="inlineStr">
        <is>
          <t>⭐ Strong</t>
        </is>
      </c>
      <c r="S451" s="99" t="inlineStr">
        <is>
          <t>⏳ New Fund</t>
        </is>
      </c>
      <c r="T451" s="99" t="inlineStr">
        <is>
          <t>🔥 Hot Momentum</t>
        </is>
      </c>
      <c r="U451" s="100" t="inlineStr">
        <is>
          <t>MOMENTUM_ONLY</t>
        </is>
      </c>
    </row>
    <row r="452" ht="16" customHeight="1">
      <c r="A452" s="95" t="n">
        <v>448</v>
      </c>
      <c r="B452" s="96" t="inlineStr">
        <is>
          <t>Bajaj Finserv Flexi Cap Fund -Regular Plan-Growth</t>
        </is>
      </c>
      <c r="C452" s="96" t="inlineStr">
        <is>
          <t>Bajaj Finserv Mutual Fund</t>
        </is>
      </c>
      <c r="D452" s="96" t="inlineStr">
        <is>
          <t>Flexi Cap Fund</t>
        </is>
      </c>
      <c r="E452" s="96" t="inlineStr">
        <is>
          <t>Flexi Cap Fund</t>
        </is>
      </c>
      <c r="F452" s="97" t="n">
        <v>-1.7</v>
      </c>
      <c r="G452" s="98" t="n">
        <v>4.4</v>
      </c>
      <c r="H452" s="97" t="n">
        <v>-2.57</v>
      </c>
      <c r="I452" s="97" t="n">
        <v>-0.76</v>
      </c>
      <c r="J452" s="98" t="n">
        <v>5.157025442906082</v>
      </c>
      <c r="K452" s="98" t="n">
        <v>0</v>
      </c>
      <c r="L452" s="17" t="n">
        <v>86.7</v>
      </c>
      <c r="M452" s="18" t="n">
        <v>0</v>
      </c>
      <c r="N452" s="19" t="n">
        <v>47.7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9" t="inlineStr">
        <is>
          <t>⭐ Strong</t>
        </is>
      </c>
      <c r="S452" s="99" t="inlineStr">
        <is>
          <t>⏳ New Fund</t>
        </is>
      </c>
      <c r="T452" s="99" t="inlineStr">
        <is>
          <t>🔥 Hot Momentum</t>
        </is>
      </c>
      <c r="U452" s="100" t="inlineStr">
        <is>
          <t>MOMENTUM_ONLY</t>
        </is>
      </c>
    </row>
    <row r="453" ht="16" customHeight="1">
      <c r="A453" s="95" t="n">
        <v>449</v>
      </c>
      <c r="B453" s="96" t="inlineStr">
        <is>
          <t>Invesco India Business Cycle Fund - Regular Plan - Growth</t>
        </is>
      </c>
      <c r="C453" s="96" t="inlineStr">
        <is>
          <t>Invesco Mutual Fund</t>
        </is>
      </c>
      <c r="D453" s="96" t="inlineStr">
        <is>
          <t>Sectoral/ Thematic</t>
        </is>
      </c>
      <c r="E453" s="96" t="inlineStr">
        <is>
          <t>Sectoral/ Thematic</t>
        </is>
      </c>
      <c r="F453" s="97" t="n">
        <v>-0.54</v>
      </c>
      <c r="G453" s="98" t="n">
        <v>12.18</v>
      </c>
      <c r="H453" s="98" t="n">
        <v>2.2</v>
      </c>
      <c r="I453" s="98" t="n">
        <v>6.91</v>
      </c>
      <c r="J453" s="98" t="n">
        <v>0</v>
      </c>
      <c r="K453" s="98" t="n">
        <v>0</v>
      </c>
      <c r="L453" s="17" t="n">
        <v>86.09999999999999</v>
      </c>
      <c r="M453" s="18" t="n">
        <v>0</v>
      </c>
      <c r="N453" s="19" t="n">
        <v>47.3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9" t="inlineStr">
        <is>
          <t>⭐ Strong</t>
        </is>
      </c>
      <c r="S453" s="99" t="inlineStr">
        <is>
          <t>⏳ New Fund</t>
        </is>
      </c>
      <c r="T453" s="99" t="inlineStr">
        <is>
          <t>🔥 Hot Momentum</t>
        </is>
      </c>
      <c r="U453" s="100" t="inlineStr">
        <is>
          <t>MOMENTUM_ONLY</t>
        </is>
      </c>
    </row>
    <row r="454" ht="16" customHeight="1">
      <c r="A454" s="95" t="n">
        <v>450</v>
      </c>
      <c r="B454" s="96" t="inlineStr">
        <is>
          <t>quant Healthcare Fund - Growth Option - Regular Plan</t>
        </is>
      </c>
      <c r="C454" s="96" t="inlineStr">
        <is>
          <t>quant Mutual Fund</t>
        </is>
      </c>
      <c r="D454" s="96" t="inlineStr">
        <is>
          <t>Sectoral/ Thematic</t>
        </is>
      </c>
      <c r="E454" s="96" t="inlineStr">
        <is>
          <t>Sectoral/ Thematic</t>
        </is>
      </c>
      <c r="F454" s="97" t="n">
        <v>-1.21</v>
      </c>
      <c r="G454" s="98" t="n">
        <v>9.99</v>
      </c>
      <c r="H454" s="98" t="n">
        <v>6.76</v>
      </c>
      <c r="I454" s="98" t="n">
        <v>3.76</v>
      </c>
      <c r="J454" s="98" t="n">
        <v>5.28057750601485</v>
      </c>
      <c r="K454" s="98" t="n">
        <v>0</v>
      </c>
      <c r="L454" s="17" t="n">
        <v>85.7</v>
      </c>
      <c r="M454" s="18" t="n">
        <v>0</v>
      </c>
      <c r="N454" s="19" t="n">
        <v>47.1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9" t="inlineStr">
        <is>
          <t>⭐ Strong</t>
        </is>
      </c>
      <c r="S454" s="99" t="inlineStr">
        <is>
          <t>⏳ New Fund</t>
        </is>
      </c>
      <c r="T454" s="99" t="inlineStr">
        <is>
          <t>🔥 Hot Momentum</t>
        </is>
      </c>
      <c r="U454" s="100" t="inlineStr">
        <is>
          <t>MOMENTUM_ONLY</t>
        </is>
      </c>
    </row>
    <row r="455" ht="16" customHeight="1">
      <c r="A455" s="95" t="n">
        <v>451</v>
      </c>
      <c r="B455" s="96" t="inlineStr">
        <is>
          <t>Motilal Oswal Innovation Opportunities Fund- Regular Plan- Growth</t>
        </is>
      </c>
      <c r="C455" s="96" t="inlineStr">
        <is>
          <t>Motilal Oswal Mutual Fund</t>
        </is>
      </c>
      <c r="D455" s="96" t="inlineStr">
        <is>
          <t>Sectoral/ Thematic</t>
        </is>
      </c>
      <c r="E455" s="96" t="inlineStr">
        <is>
          <t>Sectoral/ Thematic</t>
        </is>
      </c>
      <c r="F455" s="97" t="n">
        <v>-0.5600000000000001</v>
      </c>
      <c r="G455" s="98" t="n">
        <v>13.29</v>
      </c>
      <c r="H455" s="98" t="n">
        <v>2.15</v>
      </c>
      <c r="I455" s="98" t="n">
        <v>4.9</v>
      </c>
      <c r="J455" s="98" t="n">
        <v>0</v>
      </c>
      <c r="K455" s="98" t="n">
        <v>0</v>
      </c>
      <c r="L455" s="17" t="n">
        <v>84.90000000000001</v>
      </c>
      <c r="M455" s="18" t="n">
        <v>0</v>
      </c>
      <c r="N455" s="19" t="n">
        <v>46.7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9" t="inlineStr">
        <is>
          <t>⭐ Strong</t>
        </is>
      </c>
      <c r="S455" s="99" t="inlineStr">
        <is>
          <t>⏳ New Fund</t>
        </is>
      </c>
      <c r="T455" s="99" t="inlineStr">
        <is>
          <t>🔥 Hot Momentum</t>
        </is>
      </c>
      <c r="U455" s="100" t="inlineStr">
        <is>
          <t>MOMENTUM_ONLY</t>
        </is>
      </c>
    </row>
    <row r="456" ht="16" customHeight="1">
      <c r="A456" s="95" t="n">
        <v>452</v>
      </c>
      <c r="B456" s="96" t="inlineStr">
        <is>
          <t>360 ONE FLEXICAP FUND-REGULAR PLAN- GROWTH</t>
        </is>
      </c>
      <c r="C456" s="96" t="inlineStr">
        <is>
          <t>360 ONE Mutual Fund</t>
        </is>
      </c>
      <c r="D456" s="96" t="inlineStr">
        <is>
          <t>Flexi Cap Fund</t>
        </is>
      </c>
      <c r="E456" s="96" t="inlineStr">
        <is>
          <t>Flexi Cap Fund</t>
        </is>
      </c>
      <c r="F456" s="97" t="n">
        <v>-1.18</v>
      </c>
      <c r="G456" s="98" t="n">
        <v>5.77</v>
      </c>
      <c r="H456" s="97" t="n">
        <v>-3.1</v>
      </c>
      <c r="I456" s="97" t="n">
        <v>-3</v>
      </c>
      <c r="J456" s="98" t="n">
        <v>1.955872807798564</v>
      </c>
      <c r="K456" s="98" t="n">
        <v>0</v>
      </c>
      <c r="L456" s="17" t="n">
        <v>84.09999999999999</v>
      </c>
      <c r="M456" s="18" t="n">
        <v>0</v>
      </c>
      <c r="N456" s="19" t="n">
        <v>46.2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9" t="inlineStr">
        <is>
          <t>⭐ Strong</t>
        </is>
      </c>
      <c r="S456" s="99" t="inlineStr">
        <is>
          <t>⏳ New Fund</t>
        </is>
      </c>
      <c r="T456" s="99" t="inlineStr">
        <is>
          <t>🔥 Hot Momentum</t>
        </is>
      </c>
      <c r="U456" s="100" t="inlineStr">
        <is>
          <t>MOMENTUM_ONLY</t>
        </is>
      </c>
    </row>
    <row r="457" ht="16" customHeight="1">
      <c r="A457" s="95" t="n">
        <v>453</v>
      </c>
      <c r="B457" s="96" t="inlineStr">
        <is>
          <t>HSBC India Export Opportunities Fund - Regular Growth</t>
        </is>
      </c>
      <c r="C457" s="96" t="inlineStr">
        <is>
          <t>HSBC Mutual Fund</t>
        </is>
      </c>
      <c r="D457" s="96" t="inlineStr">
        <is>
          <t>Sectoral/ Thematic</t>
        </is>
      </c>
      <c r="E457" s="96" t="inlineStr">
        <is>
          <t>Sectoral/ Thematic</t>
        </is>
      </c>
      <c r="F457" s="98" t="n">
        <v>0.34</v>
      </c>
      <c r="G457" s="98" t="n">
        <v>9.33</v>
      </c>
      <c r="H457" s="98" t="n">
        <v>1.8</v>
      </c>
      <c r="I457" s="98" t="n">
        <v>5.71</v>
      </c>
      <c r="J457" s="98" t="n">
        <v>0</v>
      </c>
      <c r="K457" s="98" t="n">
        <v>0</v>
      </c>
      <c r="L457" s="17" t="n">
        <v>84</v>
      </c>
      <c r="M457" s="18" t="n">
        <v>0</v>
      </c>
      <c r="N457" s="19" t="n">
        <v>46.2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9" t="inlineStr">
        <is>
          <t>⭐ Strong</t>
        </is>
      </c>
      <c r="S457" s="99" t="inlineStr">
        <is>
          <t>⏳ New Fund</t>
        </is>
      </c>
      <c r="T457" s="99" t="inlineStr">
        <is>
          <t>🔥 Hot Momentum</t>
        </is>
      </c>
      <c r="U457" s="100" t="inlineStr">
        <is>
          <t>MOMENTUM_ONLY</t>
        </is>
      </c>
    </row>
    <row r="458" ht="16" customHeight="1">
      <c r="A458" s="95" t="n">
        <v>454</v>
      </c>
      <c r="B458" s="96" t="inlineStr">
        <is>
          <t>ITI Focused Fund - Regular Plan - Growth</t>
        </is>
      </c>
      <c r="C458" s="96" t="inlineStr">
        <is>
          <t>ITI Mutual Fund</t>
        </is>
      </c>
      <c r="D458" s="96" t="inlineStr">
        <is>
          <t>Focused Fund</t>
        </is>
      </c>
      <c r="E458" s="96" t="inlineStr">
        <is>
          <t>Focused Fund</t>
        </is>
      </c>
      <c r="F458" s="97" t="n">
        <v>-2.22</v>
      </c>
      <c r="G458" s="98" t="n">
        <v>4.8</v>
      </c>
      <c r="H458" s="98" t="n">
        <v>0.65</v>
      </c>
      <c r="I458" s="98" t="n">
        <v>3.12</v>
      </c>
      <c r="J458" s="98" t="n">
        <v>6.409586034341852</v>
      </c>
      <c r="K458" s="98" t="n">
        <v>0</v>
      </c>
      <c r="L458" s="17" t="n">
        <v>83.5</v>
      </c>
      <c r="M458" s="18" t="n">
        <v>0</v>
      </c>
      <c r="N458" s="19" t="n">
        <v>45.9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9" t="inlineStr">
        <is>
          <t>⭐ Strong</t>
        </is>
      </c>
      <c r="S458" s="99" t="inlineStr">
        <is>
          <t>⏳ New Fund</t>
        </is>
      </c>
      <c r="T458" s="99" t="inlineStr">
        <is>
          <t>🔥 Hot Momentum</t>
        </is>
      </c>
      <c r="U458" s="100" t="inlineStr">
        <is>
          <t>MOMENTUM_ONLY</t>
        </is>
      </c>
    </row>
    <row r="459" ht="16" customHeight="1">
      <c r="A459" s="95" t="n">
        <v>455</v>
      </c>
      <c r="B459" s="96" t="inlineStr">
        <is>
          <t>Unifi Flexi Cap Fund - Regular Growth</t>
        </is>
      </c>
      <c r="C459" s="96" t="inlineStr">
        <is>
          <t>Unifi Mutual Fund</t>
        </is>
      </c>
      <c r="D459" s="96" t="inlineStr">
        <is>
          <t>Flexi Cap Fund</t>
        </is>
      </c>
      <c r="E459" s="96" t="inlineStr">
        <is>
          <t>Flexi Cap Fund</t>
        </is>
      </c>
      <c r="F459" s="97" t="n">
        <v>-0.85</v>
      </c>
      <c r="G459" s="98" t="n">
        <v>3.69</v>
      </c>
      <c r="H459" s="97" t="n">
        <v>-3.46</v>
      </c>
      <c r="I459" s="97" t="n">
        <v>-1.89</v>
      </c>
      <c r="J459" s="98" t="n">
        <v>0</v>
      </c>
      <c r="K459" s="98" t="n">
        <v>0</v>
      </c>
      <c r="L459" s="17" t="n">
        <v>83.40000000000001</v>
      </c>
      <c r="M459" s="18" t="n">
        <v>0</v>
      </c>
      <c r="N459" s="19" t="n">
        <v>45.9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9" t="inlineStr">
        <is>
          <t>⭐ Strong</t>
        </is>
      </c>
      <c r="S459" s="99" t="inlineStr">
        <is>
          <t>⏳ New Fund</t>
        </is>
      </c>
      <c r="T459" s="99" t="inlineStr">
        <is>
          <t>🔥 Hot Momentum</t>
        </is>
      </c>
      <c r="U459" s="100" t="inlineStr">
        <is>
          <t>MOMENTUM_ONLY</t>
        </is>
      </c>
    </row>
    <row r="460" ht="16" customHeight="1">
      <c r="A460" s="95" t="n">
        <v>456</v>
      </c>
      <c r="B460" s="96" t="inlineStr">
        <is>
          <t>JM Small Cap Fund (Regular) - Growth Option</t>
        </is>
      </c>
      <c r="C460" s="96" t="inlineStr">
        <is>
          <t>JM Financial Mutual Fund</t>
        </is>
      </c>
      <c r="D460" s="96" t="inlineStr">
        <is>
          <t>Small Cap Fund</t>
        </is>
      </c>
      <c r="E460" s="96" t="inlineStr">
        <is>
          <t>Small Cap Fund</t>
        </is>
      </c>
      <c r="F460" s="97" t="n">
        <v>-0.58</v>
      </c>
      <c r="G460" s="98" t="n">
        <v>17.95</v>
      </c>
      <c r="H460" s="98" t="n">
        <v>5.59</v>
      </c>
      <c r="I460" s="98" t="n">
        <v>1.3</v>
      </c>
      <c r="J460" s="98" t="n">
        <v>0</v>
      </c>
      <c r="K460" s="98" t="n">
        <v>0</v>
      </c>
      <c r="L460" s="17" t="n">
        <v>83.09999999999999</v>
      </c>
      <c r="M460" s="18" t="n">
        <v>0</v>
      </c>
      <c r="N460" s="19" t="n">
        <v>45.7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9" t="inlineStr">
        <is>
          <t>⭐ Strong</t>
        </is>
      </c>
      <c r="S460" s="99" t="inlineStr">
        <is>
          <t>⏳ New Fund</t>
        </is>
      </c>
      <c r="T460" s="99" t="inlineStr">
        <is>
          <t>🔥 Hot Momentum</t>
        </is>
      </c>
      <c r="U460" s="100" t="inlineStr">
        <is>
          <t>MOMENTUM_ONLY</t>
        </is>
      </c>
    </row>
    <row r="461" ht="16" customHeight="1">
      <c r="A461" s="95" t="n">
        <v>457</v>
      </c>
      <c r="B461" s="96" t="inlineStr">
        <is>
          <t>Invesco India Manufacturing Fund - Regular Plan - Growth</t>
        </is>
      </c>
      <c r="C461" s="96" t="inlineStr">
        <is>
          <t>Invesco Mutual Fund</t>
        </is>
      </c>
      <c r="D461" s="96" t="inlineStr">
        <is>
          <t>Sectoral/ Thematic</t>
        </is>
      </c>
      <c r="E461" s="96" t="inlineStr">
        <is>
          <t>Sectoral/ Thematic</t>
        </is>
      </c>
      <c r="F461" s="97" t="n">
        <v>-1.23</v>
      </c>
      <c r="G461" s="98" t="n">
        <v>8.08</v>
      </c>
      <c r="H461" s="98" t="n">
        <v>5.46</v>
      </c>
      <c r="I461" s="98" t="n">
        <v>2.76</v>
      </c>
      <c r="J461" s="98" t="n">
        <v>0</v>
      </c>
      <c r="K461" s="98" t="n">
        <v>0</v>
      </c>
      <c r="L461" s="17" t="n">
        <v>82.3</v>
      </c>
      <c r="M461" s="18" t="n">
        <v>0</v>
      </c>
      <c r="N461" s="19" t="n">
        <v>45.3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9" t="inlineStr">
        <is>
          <t>⭐ Strong</t>
        </is>
      </c>
      <c r="S461" s="99" t="inlineStr">
        <is>
          <t>⏳ New Fund</t>
        </is>
      </c>
      <c r="T461" s="99" t="inlineStr">
        <is>
          <t>🔥 Hot Momentum</t>
        </is>
      </c>
      <c r="U461" s="100" t="inlineStr">
        <is>
          <t>MOMENTUM_ONLY</t>
        </is>
      </c>
    </row>
    <row r="462" ht="16" customHeight="1">
      <c r="A462" s="95" t="n">
        <v>458</v>
      </c>
      <c r="B462" s="96" t="inlineStr">
        <is>
          <t>quant BFSI Fund - Growth Option - Regular Plan</t>
        </is>
      </c>
      <c r="C462" s="96" t="inlineStr">
        <is>
          <t>quant Mutual Fund</t>
        </is>
      </c>
      <c r="D462" s="96" t="inlineStr">
        <is>
          <t>Sectoral/ Thematic</t>
        </is>
      </c>
      <c r="E462" s="96" t="inlineStr">
        <is>
          <t>Sectoral/ Thematic</t>
        </is>
      </c>
      <c r="F462" s="97" t="n">
        <v>-1.03</v>
      </c>
      <c r="G462" s="98" t="n">
        <v>6.24</v>
      </c>
      <c r="H462" s="98" t="n">
        <v>1.62</v>
      </c>
      <c r="I462" s="98" t="n">
        <v>12.1</v>
      </c>
      <c r="J462" s="98" t="n">
        <v>7.205410311233829</v>
      </c>
      <c r="K462" s="98" t="n">
        <v>0</v>
      </c>
      <c r="L462" s="17" t="n">
        <v>81.7</v>
      </c>
      <c r="M462" s="18" t="n">
        <v>0</v>
      </c>
      <c r="N462" s="19" t="n">
        <v>44.9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9" t="inlineStr">
        <is>
          <t>⭐ Strong</t>
        </is>
      </c>
      <c r="S462" s="99" t="inlineStr">
        <is>
          <t>⏳ New Fund</t>
        </is>
      </c>
      <c r="T462" s="99" t="inlineStr">
        <is>
          <t>🔥 Hot Momentum</t>
        </is>
      </c>
      <c r="U462" s="100" t="inlineStr">
        <is>
          <t>MOMENTUM_ONLY</t>
        </is>
      </c>
    </row>
    <row r="463" ht="16" customHeight="1">
      <c r="A463" s="95" t="n">
        <v>459</v>
      </c>
      <c r="B463" s="96" t="inlineStr">
        <is>
          <t>quant Momentum Fund - Growth Option - Regular Plan</t>
        </is>
      </c>
      <c r="C463" s="96" t="inlineStr">
        <is>
          <t>quant Mutual Fund</t>
        </is>
      </c>
      <c r="D463" s="96" t="inlineStr">
        <is>
          <t>Sectoral/ Thematic</t>
        </is>
      </c>
      <c r="E463" s="96" t="inlineStr">
        <is>
          <t>Sectoral/ Thematic</t>
        </is>
      </c>
      <c r="F463" s="97" t="n">
        <v>-0.25</v>
      </c>
      <c r="G463" s="98" t="n">
        <v>10.67</v>
      </c>
      <c r="H463" s="98" t="n">
        <v>2.8</v>
      </c>
      <c r="I463" s="98" t="n">
        <v>0.96</v>
      </c>
      <c r="J463" s="97" t="n">
        <v>-0.3857439921373551</v>
      </c>
      <c r="K463" s="98" t="n">
        <v>0</v>
      </c>
      <c r="L463" s="17" t="n">
        <v>81.7</v>
      </c>
      <c r="M463" s="18" t="n">
        <v>0</v>
      </c>
      <c r="N463" s="19" t="n">
        <v>44.9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9" t="inlineStr">
        <is>
          <t>⭐ Strong</t>
        </is>
      </c>
      <c r="S463" s="99" t="inlineStr">
        <is>
          <t>⏳ New Fund</t>
        </is>
      </c>
      <c r="T463" s="99" t="inlineStr">
        <is>
          <t>🔥 Hot Momentum</t>
        </is>
      </c>
      <c r="U463" s="100" t="inlineStr">
        <is>
          <t>MOMENTUM_ONLY</t>
        </is>
      </c>
    </row>
    <row r="464" ht="16" customHeight="1">
      <c r="A464" s="95" t="n">
        <v>460</v>
      </c>
      <c r="B464" s="96" t="inlineStr">
        <is>
          <t>Mahindra Manulife Value Fund - Regular Plan - Growth</t>
        </is>
      </c>
      <c r="C464" s="96" t="inlineStr">
        <is>
          <t>Mahindra Manulife Mutual Fund</t>
        </is>
      </c>
      <c r="D464" s="96" t="inlineStr">
        <is>
          <t>Value Fund</t>
        </is>
      </c>
      <c r="E464" s="96" t="inlineStr">
        <is>
          <t>Value Fund</t>
        </is>
      </c>
      <c r="F464" s="97" t="n">
        <v>-2.34</v>
      </c>
      <c r="G464" s="98" t="n">
        <v>2.91</v>
      </c>
      <c r="H464" s="98" t="n">
        <v>0.73</v>
      </c>
      <c r="I464" s="98" t="n">
        <v>3.66</v>
      </c>
      <c r="J464" s="98" t="n">
        <v>0</v>
      </c>
      <c r="K464" s="98" t="n">
        <v>0</v>
      </c>
      <c r="L464" s="17" t="n">
        <v>81.7</v>
      </c>
      <c r="M464" s="18" t="n">
        <v>0</v>
      </c>
      <c r="N464" s="19" t="n">
        <v>44.9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9" t="inlineStr">
        <is>
          <t>⭐ Strong</t>
        </is>
      </c>
      <c r="S464" s="99" t="inlineStr">
        <is>
          <t>⏳ New Fund</t>
        </is>
      </c>
      <c r="T464" s="99" t="inlineStr">
        <is>
          <t>🔥 Hot Momentum</t>
        </is>
      </c>
      <c r="U464" s="100" t="inlineStr">
        <is>
          <t>MOMENTUM_ONLY</t>
        </is>
      </c>
    </row>
    <row r="465" ht="16" customHeight="1">
      <c r="A465" s="95" t="n">
        <v>461</v>
      </c>
      <c r="B465" s="96" t="inlineStr">
        <is>
          <t>BAJAJ FINSERV LARGE CAP FUND - REGULAR PLAN - GROWTH</t>
        </is>
      </c>
      <c r="C465" s="96" t="inlineStr">
        <is>
          <t>Bajaj Finserv Mutual Fund</t>
        </is>
      </c>
      <c r="D465" s="96" t="inlineStr">
        <is>
          <t>Large Cap Fund</t>
        </is>
      </c>
      <c r="E465" s="96" t="inlineStr">
        <is>
          <t>Large Cap Fund</t>
        </is>
      </c>
      <c r="F465" s="97" t="n">
        <v>-1.77</v>
      </c>
      <c r="G465" s="97" t="n">
        <v>-1.32</v>
      </c>
      <c r="H465" s="97" t="n">
        <v>-7.27</v>
      </c>
      <c r="I465" s="97" t="n">
        <v>-4.03</v>
      </c>
      <c r="J465" s="98" t="n">
        <v>0</v>
      </c>
      <c r="K465" s="98" t="n">
        <v>0</v>
      </c>
      <c r="L465" s="17" t="n">
        <v>80.3</v>
      </c>
      <c r="M465" s="18" t="n">
        <v>0</v>
      </c>
      <c r="N465" s="19" t="n">
        <v>44.2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9" t="inlineStr">
        <is>
          <t>⭐ Strong</t>
        </is>
      </c>
      <c r="S465" s="99" t="inlineStr">
        <is>
          <t>⏳ New Fund</t>
        </is>
      </c>
      <c r="T465" s="99" t="inlineStr">
        <is>
          <t>🔥 Hot Momentum</t>
        </is>
      </c>
      <c r="U465" s="100" t="inlineStr">
        <is>
          <t>MOMENTUM_ONLY</t>
        </is>
      </c>
    </row>
    <row r="466" ht="16" customHeight="1">
      <c r="A466" s="95" t="n">
        <v>462</v>
      </c>
      <c r="B466" s="96" t="inlineStr">
        <is>
          <t>LIC MF Manufacturing Fund-Regular Plan-Growth</t>
        </is>
      </c>
      <c r="C466" s="96" t="inlineStr">
        <is>
          <t>LIC Mutual Fund</t>
        </is>
      </c>
      <c r="D466" s="96" t="inlineStr">
        <is>
          <t>Sectoral/ Thematic</t>
        </is>
      </c>
      <c r="E466" s="96" t="inlineStr">
        <is>
          <t>Sectoral/ Thematic</t>
        </is>
      </c>
      <c r="F466" s="97" t="n">
        <v>-2.57</v>
      </c>
      <c r="G466" s="98" t="n">
        <v>7.92</v>
      </c>
      <c r="H466" s="98" t="n">
        <v>7.29</v>
      </c>
      <c r="I466" s="98" t="n">
        <v>6.98</v>
      </c>
      <c r="J466" s="98" t="n">
        <v>0</v>
      </c>
      <c r="K466" s="98" t="n">
        <v>0</v>
      </c>
      <c r="L466" s="17" t="n">
        <v>80.2</v>
      </c>
      <c r="M466" s="18" t="n">
        <v>0</v>
      </c>
      <c r="N466" s="19" t="n">
        <v>44.1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9" t="inlineStr">
        <is>
          <t>⭐ Strong</t>
        </is>
      </c>
      <c r="S466" s="99" t="inlineStr">
        <is>
          <t>⏳ New Fund</t>
        </is>
      </c>
      <c r="T466" s="99" t="inlineStr">
        <is>
          <t>🔥 Hot Momentum</t>
        </is>
      </c>
      <c r="U466" s="100" t="inlineStr">
        <is>
          <t>MOMENTUM_ONLY</t>
        </is>
      </c>
    </row>
    <row r="467" ht="16" customHeight="1">
      <c r="A467" s="95" t="n">
        <v>463</v>
      </c>
      <c r="B467" s="96" t="inlineStr">
        <is>
          <t>ICICI PRUDENTIAL ENERGY OPPORTUNITIES FUND - Growth</t>
        </is>
      </c>
      <c r="C467" s="96" t="inlineStr">
        <is>
          <t>ICICI Prudential Mutual Fund</t>
        </is>
      </c>
      <c r="D467" s="96" t="inlineStr">
        <is>
          <t>Sectoral/ Thematic</t>
        </is>
      </c>
      <c r="E467" s="96" t="inlineStr">
        <is>
          <t>Sectoral/ Thematic</t>
        </is>
      </c>
      <c r="F467" s="97" t="n">
        <v>-2.79</v>
      </c>
      <c r="G467" s="98" t="n">
        <v>4.79</v>
      </c>
      <c r="H467" s="98" t="n">
        <v>8.140000000000001</v>
      </c>
      <c r="I467" s="98" t="n">
        <v>9.41</v>
      </c>
      <c r="J467" s="98" t="n">
        <v>0</v>
      </c>
      <c r="K467" s="98" t="n">
        <v>0</v>
      </c>
      <c r="L467" s="17" t="n">
        <v>79.5</v>
      </c>
      <c r="M467" s="18" t="n">
        <v>0</v>
      </c>
      <c r="N467" s="19" t="n">
        <v>43.7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9" t="inlineStr">
        <is>
          <t>⭐ Strong</t>
        </is>
      </c>
      <c r="S467" s="99" t="inlineStr">
        <is>
          <t>⏳ New Fund</t>
        </is>
      </c>
      <c r="T467" s="99" t="inlineStr">
        <is>
          <t>📈 Momentum Only</t>
        </is>
      </c>
      <c r="U467" s="100" t="inlineStr">
        <is>
          <t>MOMENTUM_ONLY</t>
        </is>
      </c>
    </row>
    <row r="468" ht="16" customHeight="1">
      <c r="A468" s="95" t="n">
        <v>464</v>
      </c>
      <c r="B468" s="96" t="inlineStr">
        <is>
          <t>Kotak Special Opportunities Fund - Regular Plan - Growth Option</t>
        </is>
      </c>
      <c r="C468" s="96" t="inlineStr">
        <is>
          <t>Kotak Mahindra Mutual Fund</t>
        </is>
      </c>
      <c r="D468" s="96" t="inlineStr">
        <is>
          <t>Sectoral/ Thematic</t>
        </is>
      </c>
      <c r="E468" s="96" t="inlineStr">
        <is>
          <t>Sectoral/ Thematic</t>
        </is>
      </c>
      <c r="F468" s="97" t="n">
        <v>-1.47</v>
      </c>
      <c r="G468" s="98" t="n">
        <v>10.81</v>
      </c>
      <c r="H468" s="98" t="n">
        <v>1.15</v>
      </c>
      <c r="I468" s="98" t="n">
        <v>4.5</v>
      </c>
      <c r="J468" s="98" t="n">
        <v>0</v>
      </c>
      <c r="K468" s="98" t="n">
        <v>0</v>
      </c>
      <c r="L468" s="17" t="n">
        <v>79.3</v>
      </c>
      <c r="M468" s="18" t="n">
        <v>0</v>
      </c>
      <c r="N468" s="19" t="n">
        <v>43.6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9" t="inlineStr">
        <is>
          <t>⭐ Strong</t>
        </is>
      </c>
      <c r="S468" s="99" t="inlineStr">
        <is>
          <t>⏳ New Fund</t>
        </is>
      </c>
      <c r="T468" s="99" t="inlineStr">
        <is>
          <t>📈 Momentum Only</t>
        </is>
      </c>
      <c r="U468" s="100" t="inlineStr">
        <is>
          <t>MOMENTUM_ONLY</t>
        </is>
      </c>
    </row>
    <row r="469" ht="16" customHeight="1">
      <c r="A469" s="95" t="n">
        <v>465</v>
      </c>
      <c r="B469" s="96" t="inlineStr">
        <is>
          <t>Axis India Manufacturing Fund - Regular Plan - Growth</t>
        </is>
      </c>
      <c r="C469" s="96" t="inlineStr">
        <is>
          <t>Axis Mutual Fund</t>
        </is>
      </c>
      <c r="D469" s="96" t="inlineStr">
        <is>
          <t>Sectoral/ Thematic</t>
        </is>
      </c>
      <c r="E469" s="96" t="inlineStr">
        <is>
          <t>Sectoral/ Thematic</t>
        </is>
      </c>
      <c r="F469" s="97" t="n">
        <v>-1.94</v>
      </c>
      <c r="G469" s="98" t="n">
        <v>5.7</v>
      </c>
      <c r="H469" s="98" t="n">
        <v>4.34</v>
      </c>
      <c r="I469" s="98" t="n">
        <v>7.01</v>
      </c>
      <c r="J469" s="98" t="n">
        <v>4.795038050472611</v>
      </c>
      <c r="K469" s="98" t="n">
        <v>0</v>
      </c>
      <c r="L469" s="17" t="n">
        <v>78.59999999999999</v>
      </c>
      <c r="M469" s="18" t="n">
        <v>0</v>
      </c>
      <c r="N469" s="19" t="n">
        <v>43.2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9" t="inlineStr">
        <is>
          <t>⭐ Strong</t>
        </is>
      </c>
      <c r="S469" s="99" t="inlineStr">
        <is>
          <t>⏳ New Fund</t>
        </is>
      </c>
      <c r="T469" s="99" t="inlineStr">
        <is>
          <t>📈 Momentum Only</t>
        </is>
      </c>
      <c r="U469" s="100" t="inlineStr">
        <is>
          <t>MOMENTUM_ONLY</t>
        </is>
      </c>
    </row>
    <row r="470" ht="16" customHeight="1">
      <c r="A470" s="95" t="n">
        <v>466</v>
      </c>
      <c r="B470" s="96" t="inlineStr">
        <is>
          <t>Baroda BNP Paribas Health and Wellness Fund Regular IDCWPayout</t>
        </is>
      </c>
      <c r="C470" s="96" t="inlineStr">
        <is>
          <t>Baroda BNP Paribas Mutual Fund</t>
        </is>
      </c>
      <c r="D470" s="96" t="inlineStr">
        <is>
          <t>Sectoral/ Thematic</t>
        </is>
      </c>
      <c r="E470" s="96" t="inlineStr">
        <is>
          <t>Sectoral/ Thematic</t>
        </is>
      </c>
      <c r="F470" s="98" t="n">
        <v>0.54</v>
      </c>
      <c r="G470" s="98" t="n">
        <v>5.41</v>
      </c>
      <c r="H470" s="98" t="n">
        <v>5.32</v>
      </c>
      <c r="I470" s="98" t="n">
        <v>0</v>
      </c>
      <c r="J470" s="98" t="n">
        <v>0</v>
      </c>
      <c r="K470" s="98" t="n">
        <v>0</v>
      </c>
      <c r="L470" s="17" t="n">
        <v>78.09999999999999</v>
      </c>
      <c r="M470" s="18" t="n">
        <v>0</v>
      </c>
      <c r="N470" s="19" t="n">
        <v>43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9" t="inlineStr">
        <is>
          <t>⭐ Strong</t>
        </is>
      </c>
      <c r="S470" s="99" t="inlineStr">
        <is>
          <t>⏳ New Fund</t>
        </is>
      </c>
      <c r="T470" s="99" t="inlineStr">
        <is>
          <t>📈 Momentum Only</t>
        </is>
      </c>
      <c r="U470" s="100" t="inlineStr">
        <is>
          <t>MOMENTUM_ONLY</t>
        </is>
      </c>
    </row>
    <row r="471" ht="16" customHeight="1">
      <c r="A471" s="95" t="n">
        <v>467</v>
      </c>
      <c r="B471" s="96" t="inlineStr">
        <is>
          <t>Baroda BNP Paribas Health and Wellness Fund Regular Growth</t>
        </is>
      </c>
      <c r="C471" s="96" t="inlineStr">
        <is>
          <t>Baroda BNP Paribas Mutual Fund</t>
        </is>
      </c>
      <c r="D471" s="96" t="inlineStr">
        <is>
          <t>Sectoral/ Thematic</t>
        </is>
      </c>
      <c r="E471" s="96" t="inlineStr">
        <is>
          <t>Sectoral/ Thematic</t>
        </is>
      </c>
      <c r="F471" s="98" t="n">
        <v>0.54</v>
      </c>
      <c r="G471" s="98" t="n">
        <v>5.41</v>
      </c>
      <c r="H471" s="98" t="n">
        <v>5.32</v>
      </c>
      <c r="I471" s="98" t="n">
        <v>0</v>
      </c>
      <c r="J471" s="98" t="n">
        <v>0</v>
      </c>
      <c r="K471" s="98" t="n">
        <v>0</v>
      </c>
      <c r="L471" s="17" t="n">
        <v>78.09999999999999</v>
      </c>
      <c r="M471" s="18" t="n">
        <v>0</v>
      </c>
      <c r="N471" s="19" t="n">
        <v>43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9" t="inlineStr">
        <is>
          <t>⭐ Strong</t>
        </is>
      </c>
      <c r="S471" s="99" t="inlineStr">
        <is>
          <t>⏳ New Fund</t>
        </is>
      </c>
      <c r="T471" s="99" t="inlineStr">
        <is>
          <t>📈 Momentum Only</t>
        </is>
      </c>
      <c r="U471" s="100" t="inlineStr">
        <is>
          <t>MOMENTUM_ONLY</t>
        </is>
      </c>
    </row>
    <row r="472" ht="16" customHeight="1">
      <c r="A472" s="95" t="n">
        <v>468</v>
      </c>
      <c r="B472" s="96" t="inlineStr">
        <is>
          <t>Helios Mid Cap Fund - Regular Plan - Growth Plan</t>
        </is>
      </c>
      <c r="C472" s="96" t="inlineStr">
        <is>
          <t>Helios Mutual Fund</t>
        </is>
      </c>
      <c r="D472" s="96" t="inlineStr">
        <is>
          <t>Mid Cap Fund</t>
        </is>
      </c>
      <c r="E472" s="96" t="inlineStr">
        <is>
          <t>Mid Cap Fund</t>
        </is>
      </c>
      <c r="F472" s="97" t="n">
        <v>-2.64</v>
      </c>
      <c r="G472" s="98" t="n">
        <v>9.890000000000001</v>
      </c>
      <c r="H472" s="97" t="n">
        <v>-1.26</v>
      </c>
      <c r="I472" s="98" t="n">
        <v>7.08</v>
      </c>
      <c r="J472" s="98" t="n">
        <v>0</v>
      </c>
      <c r="K472" s="98" t="n">
        <v>0</v>
      </c>
      <c r="L472" s="17" t="n">
        <v>77.59999999999999</v>
      </c>
      <c r="M472" s="18" t="n">
        <v>0</v>
      </c>
      <c r="N472" s="19" t="n">
        <v>42.7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9" t="inlineStr">
        <is>
          <t>⭐ Strong</t>
        </is>
      </c>
      <c r="S472" s="99" t="inlineStr">
        <is>
          <t>⏳ New Fund</t>
        </is>
      </c>
      <c r="T472" s="99" t="inlineStr">
        <is>
          <t>📈 Momentum Only</t>
        </is>
      </c>
      <c r="U472" s="100" t="inlineStr">
        <is>
          <t>MOMENTUM_ONLY</t>
        </is>
      </c>
    </row>
    <row r="473" ht="16" customHeight="1">
      <c r="A473" s="95" t="n">
        <v>469</v>
      </c>
      <c r="B473" s="96" t="inlineStr">
        <is>
          <t>SBI Automotive Opportunities Fund - Regular Plan - Growth</t>
        </is>
      </c>
      <c r="C473" s="96" t="inlineStr">
        <is>
          <t>SBI Mutual Fund</t>
        </is>
      </c>
      <c r="D473" s="96" t="inlineStr">
        <is>
          <t>Sectoral/ Thematic</t>
        </is>
      </c>
      <c r="E473" s="96" t="inlineStr">
        <is>
          <t>Sectoral/ Thematic</t>
        </is>
      </c>
      <c r="F473" s="97" t="n">
        <v>-2.54</v>
      </c>
      <c r="G473" s="98" t="n">
        <v>6.74</v>
      </c>
      <c r="H473" s="98" t="n">
        <v>2.91</v>
      </c>
      <c r="I473" s="98" t="n">
        <v>17.9</v>
      </c>
      <c r="J473" s="98" t="n">
        <v>0</v>
      </c>
      <c r="K473" s="98" t="n">
        <v>0</v>
      </c>
      <c r="L473" s="17" t="n">
        <v>77.5</v>
      </c>
      <c r="M473" s="18" t="n">
        <v>0</v>
      </c>
      <c r="N473" s="19" t="n">
        <v>42.6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9" t="inlineStr">
        <is>
          <t>⭐ Strong</t>
        </is>
      </c>
      <c r="S473" s="99" t="inlineStr">
        <is>
          <t>⏳ New Fund</t>
        </is>
      </c>
      <c r="T473" s="99" t="inlineStr">
        <is>
          <t>📈 Momentum Only</t>
        </is>
      </c>
      <c r="U473" s="100" t="inlineStr">
        <is>
          <t>MOMENTUM_ONLY</t>
        </is>
      </c>
    </row>
    <row r="474" ht="16" customHeight="1">
      <c r="A474" s="95" t="n">
        <v>470</v>
      </c>
      <c r="B474" s="96" t="inlineStr">
        <is>
          <t>SBI Automotive Opportunities Fund - Regular Plan - Income Distribution Cum Capital Withdrawal Option</t>
        </is>
      </c>
      <c r="C474" s="96" t="inlineStr">
        <is>
          <t>SBI Mutual Fund</t>
        </is>
      </c>
      <c r="D474" s="96" t="inlineStr">
        <is>
          <t>Sectoral/ Thematic</t>
        </is>
      </c>
      <c r="E474" s="96" t="inlineStr">
        <is>
          <t>Sectoral/ Thematic</t>
        </is>
      </c>
      <c r="F474" s="97" t="n">
        <v>-2.54</v>
      </c>
      <c r="G474" s="98" t="n">
        <v>6.74</v>
      </c>
      <c r="H474" s="98" t="n">
        <v>2.91</v>
      </c>
      <c r="I474" s="98" t="n">
        <v>17.9</v>
      </c>
      <c r="J474" s="98" t="n">
        <v>0</v>
      </c>
      <c r="K474" s="98" t="n">
        <v>0</v>
      </c>
      <c r="L474" s="17" t="n">
        <v>77.5</v>
      </c>
      <c r="M474" s="18" t="n">
        <v>0</v>
      </c>
      <c r="N474" s="19" t="n">
        <v>42.6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9" t="inlineStr">
        <is>
          <t>⭐ Strong</t>
        </is>
      </c>
      <c r="S474" s="99" t="inlineStr">
        <is>
          <t>⏳ New Fund</t>
        </is>
      </c>
      <c r="T474" s="99" t="inlineStr">
        <is>
          <t>📈 Momentum Only</t>
        </is>
      </c>
      <c r="U474" s="100" t="inlineStr">
        <is>
          <t>MOMENTUM_ONLY</t>
        </is>
      </c>
    </row>
    <row r="475" ht="16" customHeight="1">
      <c r="A475" s="95" t="n">
        <v>471</v>
      </c>
      <c r="B475" s="96" t="inlineStr">
        <is>
          <t>Helios Small Cap Fund - Regular Plan - Growth Option</t>
        </is>
      </c>
      <c r="C475" s="96" t="inlineStr">
        <is>
          <t>Helios Mutual Fund</t>
        </is>
      </c>
      <c r="D475" s="96" t="inlineStr">
        <is>
          <t>Small Cap Fund</t>
        </is>
      </c>
      <c r="E475" s="96" t="inlineStr">
        <is>
          <t>Small Cap Fund</t>
        </is>
      </c>
      <c r="F475" s="98" t="n">
        <v>0</v>
      </c>
      <c r="G475" s="98" t="n">
        <v>15.62</v>
      </c>
      <c r="H475" s="98" t="n">
        <v>3.26</v>
      </c>
      <c r="I475" s="98" t="n">
        <v>0</v>
      </c>
      <c r="J475" s="98" t="n">
        <v>0</v>
      </c>
      <c r="K475" s="98" t="n">
        <v>0</v>
      </c>
      <c r="L475" s="17" t="n">
        <v>76.09999999999999</v>
      </c>
      <c r="M475" s="18" t="n">
        <v>0</v>
      </c>
      <c r="N475" s="19" t="n">
        <v>41.9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9" t="inlineStr">
        <is>
          <t>⭐ Strong</t>
        </is>
      </c>
      <c r="S475" s="99" t="inlineStr">
        <is>
          <t>⏳ New Fund</t>
        </is>
      </c>
      <c r="T475" s="99" t="inlineStr">
        <is>
          <t>📈 Momentum Only</t>
        </is>
      </c>
      <c r="U475" s="100" t="inlineStr">
        <is>
          <t>MOMENTUM_ONLY</t>
        </is>
      </c>
    </row>
    <row r="476" ht="16" customHeight="1">
      <c r="A476" s="95" t="n">
        <v>472</v>
      </c>
      <c r="B476" s="96" t="inlineStr">
        <is>
          <t>WhiteOak Capital Special Opportunities Fund - Regular Growth</t>
        </is>
      </c>
      <c r="C476" s="96" t="inlineStr">
        <is>
          <t>WhiteOak Capital Mutual Fund</t>
        </is>
      </c>
      <c r="D476" s="96" t="inlineStr">
        <is>
          <t>Sectoral/ Thematic</t>
        </is>
      </c>
      <c r="E476" s="96" t="inlineStr">
        <is>
          <t>Sectoral/ Thematic</t>
        </is>
      </c>
      <c r="F476" s="97" t="n">
        <v>-1.19</v>
      </c>
      <c r="G476" s="98" t="n">
        <v>7.91</v>
      </c>
      <c r="H476" s="97" t="n">
        <v>-0.31</v>
      </c>
      <c r="I476" s="98" t="n">
        <v>2.72</v>
      </c>
      <c r="J476" s="98" t="n">
        <v>10.67520047418029</v>
      </c>
      <c r="K476" s="98" t="n">
        <v>0</v>
      </c>
      <c r="L476" s="17" t="n">
        <v>75.7</v>
      </c>
      <c r="M476" s="18" t="n">
        <v>0</v>
      </c>
      <c r="N476" s="19" t="n">
        <v>41.6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9" t="inlineStr">
        <is>
          <t>⭐ Strong</t>
        </is>
      </c>
      <c r="S476" s="99" t="inlineStr">
        <is>
          <t>⏳ New Fund</t>
        </is>
      </c>
      <c r="T476" s="99" t="inlineStr">
        <is>
          <t>📈 Momentum Only</t>
        </is>
      </c>
      <c r="U476" s="100" t="inlineStr">
        <is>
          <t>MOMENTUM_ONLY</t>
        </is>
      </c>
    </row>
    <row r="477" ht="16" customHeight="1">
      <c r="A477" s="95" t="n">
        <v>473</v>
      </c>
      <c r="B477" s="96" t="inlineStr">
        <is>
          <t>Helios Flexi Cap Fund - Regular Plan - Growth Option</t>
        </is>
      </c>
      <c r="C477" s="96" t="inlineStr">
        <is>
          <t>Helios Mutual Fund</t>
        </is>
      </c>
      <c r="D477" s="96" t="inlineStr">
        <is>
          <t>Flexi Cap Fund</t>
        </is>
      </c>
      <c r="E477" s="96" t="inlineStr">
        <is>
          <t>Flexi Cap Fund</t>
        </is>
      </c>
      <c r="F477" s="97" t="n">
        <v>-2.58</v>
      </c>
      <c r="G477" s="98" t="n">
        <v>4.9</v>
      </c>
      <c r="H477" s="97" t="n">
        <v>-4.71</v>
      </c>
      <c r="I477" s="98" t="n">
        <v>0.77</v>
      </c>
      <c r="J477" s="98" t="n">
        <v>5.228323183447148</v>
      </c>
      <c r="K477" s="98" t="n">
        <v>0</v>
      </c>
      <c r="L477" s="17" t="n">
        <v>75.5</v>
      </c>
      <c r="M477" s="18" t="n">
        <v>0</v>
      </c>
      <c r="N477" s="19" t="n">
        <v>41.5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9" t="inlineStr">
        <is>
          <t>⭐ Strong</t>
        </is>
      </c>
      <c r="S477" s="99" t="inlineStr">
        <is>
          <t>⏳ New Fund</t>
        </is>
      </c>
      <c r="T477" s="99" t="inlineStr">
        <is>
          <t>📈 Momentum Only</t>
        </is>
      </c>
      <c r="U477" s="100" t="inlineStr">
        <is>
          <t>MOMENTUM_ONLY</t>
        </is>
      </c>
    </row>
    <row r="478" ht="16" customHeight="1">
      <c r="A478" s="95" t="n">
        <v>474</v>
      </c>
      <c r="B478" s="96" t="inlineStr">
        <is>
          <t>Bandhan Healthcare Fund - Regular Plan - Growth</t>
        </is>
      </c>
      <c r="C478" s="96" t="inlineStr">
        <is>
          <t>Bandhan Mutual Fund</t>
        </is>
      </c>
      <c r="D478" s="96" t="inlineStr">
        <is>
          <t>Sectoral/ Thematic</t>
        </is>
      </c>
      <c r="E478" s="96" t="inlineStr">
        <is>
          <t>Sectoral/ Thematic</t>
        </is>
      </c>
      <c r="F478" s="98" t="n">
        <v>0.05</v>
      </c>
      <c r="G478" s="98" t="n">
        <v>5.75</v>
      </c>
      <c r="H478" s="98" t="n">
        <v>3.35</v>
      </c>
      <c r="I478" s="98" t="n">
        <v>0</v>
      </c>
      <c r="J478" s="98" t="n">
        <v>0</v>
      </c>
      <c r="K478" s="98" t="n">
        <v>0</v>
      </c>
      <c r="L478" s="17" t="n">
        <v>75.5</v>
      </c>
      <c r="M478" s="18" t="n">
        <v>0</v>
      </c>
      <c r="N478" s="19" t="n">
        <v>41.5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9" t="inlineStr">
        <is>
          <t>⭐ Strong</t>
        </is>
      </c>
      <c r="S478" s="99" t="inlineStr">
        <is>
          <t>⏳ New Fund</t>
        </is>
      </c>
      <c r="T478" s="99" t="inlineStr">
        <is>
          <t>📈 Momentum Only</t>
        </is>
      </c>
      <c r="U478" s="100" t="inlineStr">
        <is>
          <t>MOMENTUM_ONLY</t>
        </is>
      </c>
    </row>
    <row r="479" ht="16" customHeight="1">
      <c r="A479" s="95" t="n">
        <v>475</v>
      </c>
      <c r="B479" s="96" t="inlineStr">
        <is>
          <t>Helios Large &amp; Mid Cap Fund - Regular Plan - Growth Option</t>
        </is>
      </c>
      <c r="C479" s="96" t="inlineStr">
        <is>
          <t>Helios Mutual Fund</t>
        </is>
      </c>
      <c r="D479" s="96" t="inlineStr">
        <is>
          <t>Large &amp; Mid Cap Fund</t>
        </is>
      </c>
      <c r="E479" s="96" t="inlineStr">
        <is>
          <t>Large &amp; Mid Cap Fund</t>
        </is>
      </c>
      <c r="F479" s="97" t="n">
        <v>-2.58</v>
      </c>
      <c r="G479" s="98" t="n">
        <v>3.83</v>
      </c>
      <c r="H479" s="97" t="n">
        <v>-4.61</v>
      </c>
      <c r="I479" s="98" t="n">
        <v>0.67</v>
      </c>
      <c r="J479" s="98" t="n">
        <v>0</v>
      </c>
      <c r="K479" s="98" t="n">
        <v>0</v>
      </c>
      <c r="L479" s="17" t="n">
        <v>75.40000000000001</v>
      </c>
      <c r="M479" s="18" t="n">
        <v>0</v>
      </c>
      <c r="N479" s="19" t="n">
        <v>41.5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9" t="inlineStr">
        <is>
          <t>⭐ Strong</t>
        </is>
      </c>
      <c r="S479" s="99" t="inlineStr">
        <is>
          <t>⏳ New Fund</t>
        </is>
      </c>
      <c r="T479" s="99" t="inlineStr">
        <is>
          <t>📈 Momentum Only</t>
        </is>
      </c>
      <c r="U479" s="100" t="inlineStr">
        <is>
          <t>MOMENTUM_ONLY</t>
        </is>
      </c>
    </row>
    <row r="480" ht="16" customHeight="1">
      <c r="A480" s="95" t="n">
        <v>476</v>
      </c>
      <c r="B480" s="96" t="inlineStr">
        <is>
          <t>BAJAJ FINSERV MULTI CAP FUND - REGULAR - GROWTH</t>
        </is>
      </c>
      <c r="C480" s="96" t="inlineStr">
        <is>
          <t>Bajaj Finserv Mutual Fund</t>
        </is>
      </c>
      <c r="D480" s="96" t="inlineStr">
        <is>
          <t>Multi Cap Fund</t>
        </is>
      </c>
      <c r="E480" s="96" t="inlineStr">
        <is>
          <t>Multi Cap Fund</t>
        </is>
      </c>
      <c r="F480" s="97" t="n">
        <v>-1.98</v>
      </c>
      <c r="G480" s="98" t="n">
        <v>6.05</v>
      </c>
      <c r="H480" s="97" t="n">
        <v>-1.02</v>
      </c>
      <c r="I480" s="97" t="n">
        <v>-0.68</v>
      </c>
      <c r="J480" s="98" t="n">
        <v>0</v>
      </c>
      <c r="K480" s="98" t="n">
        <v>0</v>
      </c>
      <c r="L480" s="17" t="n">
        <v>75.40000000000001</v>
      </c>
      <c r="M480" s="18" t="n">
        <v>0</v>
      </c>
      <c r="N480" s="19" t="n">
        <v>41.5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9" t="inlineStr">
        <is>
          <t>⭐ Strong</t>
        </is>
      </c>
      <c r="S480" s="99" t="inlineStr">
        <is>
          <t>⏳ New Fund</t>
        </is>
      </c>
      <c r="T480" s="99" t="inlineStr">
        <is>
          <t>📈 Momentum Only</t>
        </is>
      </c>
      <c r="U480" s="100" t="inlineStr">
        <is>
          <t>MOMENTUM_ONLY</t>
        </is>
      </c>
    </row>
    <row r="481" ht="16" customHeight="1">
      <c r="A481" s="95" t="n">
        <v>477</v>
      </c>
      <c r="B481" s="96" t="inlineStr">
        <is>
          <t>Bandhan Innovation Fund - Regular Plan - Growth</t>
        </is>
      </c>
      <c r="C481" s="96" t="inlineStr">
        <is>
          <t>Bandhan Mutual Fund</t>
        </is>
      </c>
      <c r="D481" s="96" t="inlineStr">
        <is>
          <t>Sectoral/ Thematic</t>
        </is>
      </c>
      <c r="E481" s="96" t="inlineStr">
        <is>
          <t>Sectoral/ Thematic</t>
        </is>
      </c>
      <c r="F481" s="97" t="n">
        <v>-2.21</v>
      </c>
      <c r="G481" s="98" t="n">
        <v>9.26</v>
      </c>
      <c r="H481" s="98" t="n">
        <v>0.74</v>
      </c>
      <c r="I481" s="98" t="n">
        <v>5.02</v>
      </c>
      <c r="J481" s="98" t="n">
        <v>12.56553646654024</v>
      </c>
      <c r="K481" s="98" t="n">
        <v>0</v>
      </c>
      <c r="L481" s="17" t="n">
        <v>75.3</v>
      </c>
      <c r="M481" s="18" t="n">
        <v>0</v>
      </c>
      <c r="N481" s="19" t="n">
        <v>41.4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9" t="inlineStr">
        <is>
          <t>⭐ Strong</t>
        </is>
      </c>
      <c r="S481" s="99" t="inlineStr">
        <is>
          <t>⏳ New Fund</t>
        </is>
      </c>
      <c r="T481" s="99" t="inlineStr">
        <is>
          <t>📈 Momentum Only</t>
        </is>
      </c>
      <c r="U481" s="100" t="inlineStr">
        <is>
          <t>MOMENTUM_ONLY</t>
        </is>
      </c>
    </row>
    <row r="482" ht="16" customHeight="1">
      <c r="A482" s="95" t="n">
        <v>478</v>
      </c>
      <c r="B482" s="96" t="inlineStr">
        <is>
          <t>Samco Active Momentum Fund - Regular Plan - Growth Option</t>
        </is>
      </c>
      <c r="C482" s="96" t="inlineStr">
        <is>
          <t>Samco Mutual Fund</t>
        </is>
      </c>
      <c r="D482" s="96" t="inlineStr">
        <is>
          <t>Sectoral/ Thematic</t>
        </is>
      </c>
      <c r="E482" s="96" t="inlineStr">
        <is>
          <t>Sectoral/ Thematic</t>
        </is>
      </c>
      <c r="F482" s="98" t="n">
        <v>1.28</v>
      </c>
      <c r="G482" s="98" t="n">
        <v>10.44</v>
      </c>
      <c r="H482" s="98" t="n">
        <v>4.35</v>
      </c>
      <c r="I482" s="97" t="n">
        <v>-5.89</v>
      </c>
      <c r="J482" s="97" t="n">
        <v>-0.1851714423152462</v>
      </c>
      <c r="K482" s="98" t="n">
        <v>0</v>
      </c>
      <c r="L482" s="17" t="n">
        <v>75.09999999999999</v>
      </c>
      <c r="M482" s="18" t="n">
        <v>0</v>
      </c>
      <c r="N482" s="19" t="n">
        <v>41.3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9" t="inlineStr">
        <is>
          <t>⭐ Strong</t>
        </is>
      </c>
      <c r="S482" s="99" t="inlineStr">
        <is>
          <t>⏳ New Fund</t>
        </is>
      </c>
      <c r="T482" s="99" t="inlineStr">
        <is>
          <t>📈 Momentum Only</t>
        </is>
      </c>
      <c r="U482" s="100" t="inlineStr">
        <is>
          <t>MOMENTUM_ONLY</t>
        </is>
      </c>
    </row>
    <row r="483" ht="16" customHeight="1">
      <c r="A483" s="95" t="n">
        <v>479</v>
      </c>
      <c r="B483" s="96" t="inlineStr">
        <is>
          <t>LIC MF Small Cap Fund-Regular Plan-Growth</t>
        </is>
      </c>
      <c r="C483" s="96" t="inlineStr">
        <is>
          <t>LIC Mutual Fund</t>
        </is>
      </c>
      <c r="D483" s="96" t="inlineStr">
        <is>
          <t>Small Cap Fund</t>
        </is>
      </c>
      <c r="E483" s="96" t="inlineStr">
        <is>
          <t>Small Cap Fund</t>
        </is>
      </c>
      <c r="F483" s="97" t="n">
        <v>-2.93</v>
      </c>
      <c r="G483" s="98" t="n">
        <v>13.16</v>
      </c>
      <c r="H483" s="98" t="n">
        <v>7.54</v>
      </c>
      <c r="I483" s="98" t="n">
        <v>2.4</v>
      </c>
      <c r="J483" s="98" t="n">
        <v>3.281169629318192</v>
      </c>
      <c r="K483" s="98" t="n">
        <v>0</v>
      </c>
      <c r="L483" s="73" t="n">
        <v>74.59999999999999</v>
      </c>
      <c r="M483" s="18" t="n">
        <v>0</v>
      </c>
      <c r="N483" s="19" t="n">
        <v>41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9" t="inlineStr">
        <is>
          <t>📈 Good</t>
        </is>
      </c>
      <c r="S483" s="99" t="inlineStr">
        <is>
          <t>⏳ New Fund</t>
        </is>
      </c>
      <c r="T483" s="99" t="inlineStr">
        <is>
          <t>📈 Momentum Only</t>
        </is>
      </c>
      <c r="U483" s="100" t="inlineStr">
        <is>
          <t>MOMENTUM_ONLY</t>
        </is>
      </c>
    </row>
    <row r="484" ht="16" customHeight="1">
      <c r="A484" s="95" t="n">
        <v>480</v>
      </c>
      <c r="B484" s="96" t="inlineStr">
        <is>
          <t>Motilal Oswal Special Opportunities Fund-Regular Plan-Growth</t>
        </is>
      </c>
      <c r="C484" s="96" t="inlineStr">
        <is>
          <t>Motilal Oswal Mutual Fund</t>
        </is>
      </c>
      <c r="D484" s="96" t="inlineStr">
        <is>
          <t>Sectoral/ Thematic</t>
        </is>
      </c>
      <c r="E484" s="96" t="inlineStr">
        <is>
          <t>Sectoral/ Thematic</t>
        </is>
      </c>
      <c r="F484" s="97" t="n">
        <v>-2.55</v>
      </c>
      <c r="G484" s="98" t="n">
        <v>11.4</v>
      </c>
      <c r="H484" s="98" t="n">
        <v>5.65</v>
      </c>
      <c r="I484" s="98" t="n">
        <v>0</v>
      </c>
      <c r="J484" s="98" t="n">
        <v>0</v>
      </c>
      <c r="K484" s="98" t="n">
        <v>0</v>
      </c>
      <c r="L484" s="73" t="n">
        <v>74.09999999999999</v>
      </c>
      <c r="M484" s="18" t="n">
        <v>0</v>
      </c>
      <c r="N484" s="19" t="n">
        <v>40.7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9" t="inlineStr">
        <is>
          <t>📈 Good</t>
        </is>
      </c>
      <c r="S484" s="99" t="inlineStr">
        <is>
          <t>⏳ New Fund</t>
        </is>
      </c>
      <c r="T484" s="99" t="inlineStr">
        <is>
          <t>📈 Momentum Only</t>
        </is>
      </c>
      <c r="U484" s="100" t="inlineStr">
        <is>
          <t>MOMENTUM_ONLY</t>
        </is>
      </c>
    </row>
    <row r="485" ht="16" customHeight="1">
      <c r="A485" s="95" t="n">
        <v>481</v>
      </c>
      <c r="B485" s="96" t="inlineStr">
        <is>
          <t>BAJAJ FINSERV SMALL CAP FUND - REGULAR - GROWTH</t>
        </is>
      </c>
      <c r="C485" s="96" t="inlineStr">
        <is>
          <t>Bajaj Finserv Mutual Fund</t>
        </is>
      </c>
      <c r="D485" s="96" t="inlineStr">
        <is>
          <t>Small Cap Fund</t>
        </is>
      </c>
      <c r="E485" s="96" t="inlineStr">
        <is>
          <t>Small Cap Fund</t>
        </is>
      </c>
      <c r="F485" s="97" t="n">
        <v>-1.59</v>
      </c>
      <c r="G485" s="98" t="n">
        <v>12.57</v>
      </c>
      <c r="H485" s="98" t="n">
        <v>5.43</v>
      </c>
      <c r="I485" s="98" t="n">
        <v>0</v>
      </c>
      <c r="J485" s="98" t="n">
        <v>0</v>
      </c>
      <c r="K485" s="98" t="n">
        <v>0</v>
      </c>
      <c r="L485" s="73" t="n">
        <v>72.59999999999999</v>
      </c>
      <c r="M485" s="18" t="n">
        <v>0</v>
      </c>
      <c r="N485" s="19" t="n">
        <v>40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9" t="inlineStr">
        <is>
          <t>📈 Good</t>
        </is>
      </c>
      <c r="S485" s="99" t="inlineStr">
        <is>
          <t>⏳ New Fund</t>
        </is>
      </c>
      <c r="T485" s="99" t="inlineStr">
        <is>
          <t>📈 Momentum Only</t>
        </is>
      </c>
      <c r="U485" s="100" t="inlineStr">
        <is>
          <t>MOMENTUM_ONLY</t>
        </is>
      </c>
    </row>
    <row r="486" ht="16" customHeight="1">
      <c r="A486" s="95" t="n">
        <v>482</v>
      </c>
      <c r="B486" s="96" t="inlineStr">
        <is>
          <t>Aditya Birla Sun Life Transportation and Logistics Fund-Regular Growth</t>
        </is>
      </c>
      <c r="C486" s="96" t="inlineStr">
        <is>
          <t>Aditya Birla Sun Life Mutual Fund</t>
        </is>
      </c>
      <c r="D486" s="96" t="inlineStr">
        <is>
          <t>Sectoral/ Thematic</t>
        </is>
      </c>
      <c r="E486" s="96" t="inlineStr">
        <is>
          <t>Sectoral/ Thematic</t>
        </is>
      </c>
      <c r="F486" s="97" t="n">
        <v>-1.09</v>
      </c>
      <c r="G486" s="98" t="n">
        <v>6.35</v>
      </c>
      <c r="H486" s="97" t="n">
        <v>-4.46</v>
      </c>
      <c r="I486" s="98" t="n">
        <v>5.96</v>
      </c>
      <c r="J486" s="98" t="n">
        <v>1.867561078097868</v>
      </c>
      <c r="K486" s="98" t="n">
        <v>0</v>
      </c>
      <c r="L486" s="73" t="n">
        <v>72.40000000000001</v>
      </c>
      <c r="M486" s="18" t="n">
        <v>0</v>
      </c>
      <c r="N486" s="19" t="n">
        <v>39.8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9" t="inlineStr">
        <is>
          <t>📈 Good</t>
        </is>
      </c>
      <c r="S486" s="99" t="inlineStr">
        <is>
          <t>⏳ New Fund</t>
        </is>
      </c>
      <c r="T486" s="99" t="inlineStr">
        <is>
          <t>📈 Momentum Only</t>
        </is>
      </c>
      <c r="U486" s="100" t="inlineStr">
        <is>
          <t>MOMENTUM_ONLY</t>
        </is>
      </c>
    </row>
    <row r="487" ht="16" customHeight="1">
      <c r="A487" s="95" t="n">
        <v>483</v>
      </c>
      <c r="B487" s="96" t="inlineStr">
        <is>
          <t>Whiteoak Capital Large &amp; Mid Cap Fund Regular Plan Growth</t>
        </is>
      </c>
      <c r="C487" s="96" t="inlineStr">
        <is>
          <t>WhiteOak Capital Mutual Fund</t>
        </is>
      </c>
      <c r="D487" s="96" t="inlineStr">
        <is>
          <t>Large &amp; Mid Cap Fund</t>
        </is>
      </c>
      <c r="E487" s="96" t="inlineStr">
        <is>
          <t>Large &amp; Mid Cap Fund</t>
        </is>
      </c>
      <c r="F487" s="97" t="n">
        <v>-1.98</v>
      </c>
      <c r="G487" s="98" t="n">
        <v>3.01</v>
      </c>
      <c r="H487" s="97" t="n">
        <v>-4.63</v>
      </c>
      <c r="I487" s="97" t="n">
        <v>-0.47</v>
      </c>
      <c r="J487" s="98" t="n">
        <v>5.68348972285122</v>
      </c>
      <c r="K487" s="98" t="n">
        <v>0</v>
      </c>
      <c r="L487" s="73" t="n">
        <v>72.09999999999999</v>
      </c>
      <c r="M487" s="18" t="n">
        <v>0</v>
      </c>
      <c r="N487" s="19" t="n">
        <v>39.6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9" t="inlineStr">
        <is>
          <t>📈 Good</t>
        </is>
      </c>
      <c r="S487" s="99" t="inlineStr">
        <is>
          <t>⏳ New Fund</t>
        </is>
      </c>
      <c r="T487" s="99" t="inlineStr">
        <is>
          <t>📈 Momentum Only</t>
        </is>
      </c>
      <c r="U487" s="100" t="inlineStr">
        <is>
          <t>MOMENTUM_ONLY</t>
        </is>
      </c>
    </row>
    <row r="488" ht="16" customHeight="1">
      <c r="A488" s="95" t="n">
        <v>484</v>
      </c>
      <c r="B488" s="96" t="inlineStr">
        <is>
          <t>Old Bridge Focused Fund - Regular Growth</t>
        </is>
      </c>
      <c r="C488" s="96" t="inlineStr">
        <is>
          <t>Old Bridge Mutual Fund</t>
        </is>
      </c>
      <c r="D488" s="96" t="inlineStr">
        <is>
          <t>Focused Fund</t>
        </is>
      </c>
      <c r="E488" s="96" t="inlineStr">
        <is>
          <t>Focused Fund</t>
        </is>
      </c>
      <c r="F488" s="97" t="n">
        <v>-2.99</v>
      </c>
      <c r="G488" s="98" t="n">
        <v>3.96</v>
      </c>
      <c r="H488" s="98" t="n">
        <v>0.41</v>
      </c>
      <c r="I488" s="98" t="n">
        <v>1.23</v>
      </c>
      <c r="J488" s="98" t="n">
        <v>6.164965972772762</v>
      </c>
      <c r="K488" s="98" t="n">
        <v>0</v>
      </c>
      <c r="L488" s="73" t="n">
        <v>72</v>
      </c>
      <c r="M488" s="18" t="n">
        <v>0</v>
      </c>
      <c r="N488" s="19" t="n">
        <v>39.6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9" t="inlineStr">
        <is>
          <t>📈 Good</t>
        </is>
      </c>
      <c r="S488" s="99" t="inlineStr">
        <is>
          <t>⏳ New Fund</t>
        </is>
      </c>
      <c r="T488" s="99" t="inlineStr">
        <is>
          <t>📈 Momentum Only</t>
        </is>
      </c>
      <c r="U488" s="100" t="inlineStr">
        <is>
          <t>MOMENTUM_ONLY</t>
        </is>
      </c>
    </row>
    <row r="489" ht="16" customHeight="1">
      <c r="A489" s="95" t="n">
        <v>485</v>
      </c>
      <c r="B489" s="96" t="inlineStr">
        <is>
          <t>Nippon India Active Momentum Fund - Regular Plan- Growth Option</t>
        </is>
      </c>
      <c r="C489" s="96" t="inlineStr">
        <is>
          <t>Nippon India Mutual Fund</t>
        </is>
      </c>
      <c r="D489" s="96" t="inlineStr">
        <is>
          <t>Sectoral/ Thematic</t>
        </is>
      </c>
      <c r="E489" s="96" t="inlineStr">
        <is>
          <t>Sectoral/ Thematic</t>
        </is>
      </c>
      <c r="F489" s="97" t="n">
        <v>-1.23</v>
      </c>
      <c r="G489" s="98" t="n">
        <v>3.34</v>
      </c>
      <c r="H489" s="98" t="n">
        <v>0.52</v>
      </c>
      <c r="I489" s="98" t="n">
        <v>2.93</v>
      </c>
      <c r="J489" s="98" t="n">
        <v>0</v>
      </c>
      <c r="K489" s="98" t="n">
        <v>0</v>
      </c>
      <c r="L489" s="73" t="n">
        <v>71.3</v>
      </c>
      <c r="M489" s="18" t="n">
        <v>0</v>
      </c>
      <c r="N489" s="19" t="n">
        <v>39.2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9" t="inlineStr">
        <is>
          <t>📈 Good</t>
        </is>
      </c>
      <c r="S489" s="99" t="inlineStr">
        <is>
          <t>⏳ New Fund</t>
        </is>
      </c>
      <c r="T489" s="99" t="inlineStr">
        <is>
          <t>📈 Momentum Only</t>
        </is>
      </c>
      <c r="U489" s="100" t="inlineStr">
        <is>
          <t>MOMENTUM_ONLY</t>
        </is>
      </c>
    </row>
    <row r="490" ht="16" customHeight="1">
      <c r="A490" s="95" t="n">
        <v>486</v>
      </c>
      <c r="B490" s="96" t="inlineStr">
        <is>
          <t>Union Innovation &amp; Opportunities Fund - Regular Plan - Growth Option</t>
        </is>
      </c>
      <c r="C490" s="96" t="inlineStr">
        <is>
          <t>Union Mutual Fund</t>
        </is>
      </c>
      <c r="D490" s="96" t="inlineStr">
        <is>
          <t>Sectoral/ Thematic</t>
        </is>
      </c>
      <c r="E490" s="96" t="inlineStr">
        <is>
          <t>Sectoral/ Thematic</t>
        </is>
      </c>
      <c r="F490" s="97" t="n">
        <v>-2.1</v>
      </c>
      <c r="G490" s="98" t="n">
        <v>10.5</v>
      </c>
      <c r="H490" s="97" t="n">
        <v>-1.55</v>
      </c>
      <c r="I490" s="98" t="n">
        <v>1.52</v>
      </c>
      <c r="J490" s="98" t="n">
        <v>7.652217812732509</v>
      </c>
      <c r="K490" s="98" t="n">
        <v>0</v>
      </c>
      <c r="L490" s="73" t="n">
        <v>71.09999999999999</v>
      </c>
      <c r="M490" s="18" t="n">
        <v>0</v>
      </c>
      <c r="N490" s="19" t="n">
        <v>39.1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9" t="inlineStr">
        <is>
          <t>📈 Good</t>
        </is>
      </c>
      <c r="S490" s="99" t="inlineStr">
        <is>
          <t>⏳ New Fund</t>
        </is>
      </c>
      <c r="T490" s="99" t="inlineStr">
        <is>
          <t>📈 Momentum Only</t>
        </is>
      </c>
      <c r="U490" s="100" t="inlineStr">
        <is>
          <t>MOMENTUM_ONLY</t>
        </is>
      </c>
    </row>
    <row r="491" ht="16" customHeight="1">
      <c r="A491" s="95" t="n">
        <v>487</v>
      </c>
      <c r="B491" s="96" t="inlineStr">
        <is>
          <t>HDFC INNOVATION FUND - REGULAR PLAN - GROWTH OPTION</t>
        </is>
      </c>
      <c r="C491" s="96" t="inlineStr">
        <is>
          <t>HDFC Mutual Fund</t>
        </is>
      </c>
      <c r="D491" s="96" t="inlineStr">
        <is>
          <t>Sectoral/ Thematic</t>
        </is>
      </c>
      <c r="E491" s="96" t="inlineStr">
        <is>
          <t>Sectoral/ Thematic</t>
        </is>
      </c>
      <c r="F491" s="97" t="n">
        <v>-1.28</v>
      </c>
      <c r="G491" s="98" t="n">
        <v>7.37</v>
      </c>
      <c r="H491" s="97" t="n">
        <v>-1.01</v>
      </c>
      <c r="I491" s="98" t="n">
        <v>0</v>
      </c>
      <c r="J491" s="98" t="n">
        <v>0</v>
      </c>
      <c r="K491" s="98" t="n">
        <v>0</v>
      </c>
      <c r="L491" s="73" t="n">
        <v>69.40000000000001</v>
      </c>
      <c r="M491" s="18" t="n">
        <v>0</v>
      </c>
      <c r="N491" s="19" t="n">
        <v>38.2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9" t="inlineStr">
        <is>
          <t>📈 Good</t>
        </is>
      </c>
      <c r="S491" s="99" t="inlineStr">
        <is>
          <t>⏳ New Fund</t>
        </is>
      </c>
      <c r="T491" s="99" t="inlineStr">
        <is>
          <t>📈 Momentum Only</t>
        </is>
      </c>
      <c r="U491" s="100" t="inlineStr">
        <is>
          <t>MOMENTUM_ONLY</t>
        </is>
      </c>
    </row>
    <row r="492" ht="16" customHeight="1">
      <c r="A492" s="95" t="n">
        <v>488</v>
      </c>
      <c r="B492" s="96" t="inlineStr">
        <is>
          <t>Invesco India Consumption Fund - Regular Plan - Growth Plan</t>
        </is>
      </c>
      <c r="C492" s="96" t="inlineStr">
        <is>
          <t>Invesco Mutual Fund</t>
        </is>
      </c>
      <c r="D492" s="96" t="inlineStr">
        <is>
          <t>Sectoral/ Thematic</t>
        </is>
      </c>
      <c r="E492" s="96" t="inlineStr">
        <is>
          <t>Sectoral/ Thematic</t>
        </is>
      </c>
      <c r="F492" s="97" t="n">
        <v>-1.24</v>
      </c>
      <c r="G492" s="98" t="n">
        <v>8.890000000000001</v>
      </c>
      <c r="H492" s="97" t="n">
        <v>-2.15</v>
      </c>
      <c r="I492" s="98" t="n">
        <v>0</v>
      </c>
      <c r="J492" s="98" t="n">
        <v>0</v>
      </c>
      <c r="K492" s="98" t="n">
        <v>0</v>
      </c>
      <c r="L492" s="73" t="n">
        <v>69.40000000000001</v>
      </c>
      <c r="M492" s="18" t="n">
        <v>0</v>
      </c>
      <c r="N492" s="19" t="n">
        <v>38.2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9" t="inlineStr">
        <is>
          <t>📈 Good</t>
        </is>
      </c>
      <c r="S492" s="99" t="inlineStr">
        <is>
          <t>⏳ New Fund</t>
        </is>
      </c>
      <c r="T492" s="99" t="inlineStr">
        <is>
          <t>📈 Momentum Only</t>
        </is>
      </c>
      <c r="U492" s="100" t="inlineStr">
        <is>
          <t>MOMENTUM_ONLY</t>
        </is>
      </c>
    </row>
    <row r="493" ht="16" customHeight="1">
      <c r="A493" s="95" t="n">
        <v>489</v>
      </c>
      <c r="B493" s="96" t="inlineStr">
        <is>
          <t>Samco Large &amp; Mid Cap Fund - Regular Plan - Growth Option</t>
        </is>
      </c>
      <c r="C493" s="96" t="inlineStr">
        <is>
          <t>Samco Mutual Fund</t>
        </is>
      </c>
      <c r="D493" s="96" t="inlineStr">
        <is>
          <t>Large &amp; Mid Cap Fund</t>
        </is>
      </c>
      <c r="E493" s="96" t="inlineStr">
        <is>
          <t>Large &amp; Mid Cap Fund</t>
        </is>
      </c>
      <c r="F493" s="97" t="n">
        <v>-1.01</v>
      </c>
      <c r="G493" s="98" t="n">
        <v>0</v>
      </c>
      <c r="H493" s="97" t="n">
        <v>-4.03</v>
      </c>
      <c r="I493" s="98" t="n">
        <v>0</v>
      </c>
      <c r="J493" s="98" t="n">
        <v>0</v>
      </c>
      <c r="K493" s="98" t="n">
        <v>0</v>
      </c>
      <c r="L493" s="73" t="n">
        <v>69.40000000000001</v>
      </c>
      <c r="M493" s="18" t="n">
        <v>0</v>
      </c>
      <c r="N493" s="19" t="n">
        <v>38.2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9" t="inlineStr">
        <is>
          <t>📈 Good</t>
        </is>
      </c>
      <c r="S493" s="99" t="inlineStr">
        <is>
          <t>⏳ New Fund</t>
        </is>
      </c>
      <c r="T493" s="99" t="inlineStr">
        <is>
          <t>📈 Momentum Only</t>
        </is>
      </c>
      <c r="U493" s="100" t="inlineStr">
        <is>
          <t>MOMENTUM_ONLY</t>
        </is>
      </c>
    </row>
    <row r="494" ht="16" customHeight="1">
      <c r="A494" s="95" t="n">
        <v>490</v>
      </c>
      <c r="B494" s="96" t="inlineStr">
        <is>
          <t>QUANTUM SMALL CAP FUND - REGULAR PLAN GROWTH OPTION</t>
        </is>
      </c>
      <c r="C494" s="96" t="inlineStr">
        <is>
          <t>Quantum Mutual Fund</t>
        </is>
      </c>
      <c r="D494" s="96" t="inlineStr">
        <is>
          <t>Small Cap Fund</t>
        </is>
      </c>
      <c r="E494" s="96" t="inlineStr">
        <is>
          <t>Small Cap Fund</t>
        </is>
      </c>
      <c r="F494" s="98" t="n">
        <v>1.27</v>
      </c>
      <c r="G494" s="98" t="n">
        <v>10.89</v>
      </c>
      <c r="H494" s="98" t="n">
        <v>1.92</v>
      </c>
      <c r="I494" s="98" t="n">
        <v>0.39</v>
      </c>
      <c r="J494" s="98" t="n">
        <v>5.952819688765243</v>
      </c>
      <c r="K494" s="98" t="n">
        <v>0</v>
      </c>
      <c r="L494" s="73" t="n">
        <v>68.5</v>
      </c>
      <c r="M494" s="18" t="n">
        <v>0</v>
      </c>
      <c r="N494" s="19" t="n">
        <v>37.7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9" t="inlineStr">
        <is>
          <t>📈 Good</t>
        </is>
      </c>
      <c r="S494" s="99" t="inlineStr">
        <is>
          <t>⏳ New Fund</t>
        </is>
      </c>
      <c r="T494" s="99" t="inlineStr">
        <is>
          <t>📈 Momentum Only</t>
        </is>
      </c>
      <c r="U494" s="100" t="inlineStr">
        <is>
          <t>MOMENTUM_ONLY</t>
        </is>
      </c>
    </row>
    <row r="495" ht="16" customHeight="1">
      <c r="A495" s="95" t="n">
        <v>491</v>
      </c>
      <c r="B495" s="96" t="inlineStr">
        <is>
          <t>Samco Large Cap Fund - Regular Plan - Growth Option</t>
        </is>
      </c>
      <c r="C495" s="96" t="inlineStr">
        <is>
          <t>Samco Mutual Fund</t>
        </is>
      </c>
      <c r="D495" s="96" t="inlineStr">
        <is>
          <t>Large Cap Fund</t>
        </is>
      </c>
      <c r="E495" s="96" t="inlineStr">
        <is>
          <t>Large Cap Fund</t>
        </is>
      </c>
      <c r="F495" s="97" t="n">
        <v>-2.2</v>
      </c>
      <c r="G495" s="98" t="n">
        <v>0.68</v>
      </c>
      <c r="H495" s="97" t="n">
        <v>-4.82</v>
      </c>
      <c r="I495" s="97" t="n">
        <v>-11.11</v>
      </c>
      <c r="J495" s="98" t="n">
        <v>0</v>
      </c>
      <c r="K495" s="98" t="n">
        <v>0</v>
      </c>
      <c r="L495" s="73" t="n">
        <v>68.09999999999999</v>
      </c>
      <c r="M495" s="18" t="n">
        <v>0</v>
      </c>
      <c r="N495" s="19" t="n">
        <v>37.5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9" t="inlineStr">
        <is>
          <t>📈 Good</t>
        </is>
      </c>
      <c r="S495" s="99" t="inlineStr">
        <is>
          <t>⏳ New Fund</t>
        </is>
      </c>
      <c r="T495" s="99" t="inlineStr">
        <is>
          <t>📈 Momentum Only</t>
        </is>
      </c>
      <c r="U495" s="100" t="inlineStr">
        <is>
          <t>MOMENTUM_ONLY</t>
        </is>
      </c>
    </row>
    <row r="496" ht="16" customHeight="1">
      <c r="A496" s="95" t="n">
        <v>492</v>
      </c>
      <c r="B496" s="96" t="inlineStr">
        <is>
          <t>JM Large &amp; Mid Cap Fund (Regular) - Growth Option</t>
        </is>
      </c>
      <c r="C496" s="96" t="inlineStr">
        <is>
          <t>JM Financial Mutual Fund</t>
        </is>
      </c>
      <c r="D496" s="96" t="inlineStr">
        <is>
          <t>Large &amp; Mid Cap Fund</t>
        </is>
      </c>
      <c r="E496" s="96" t="inlineStr">
        <is>
          <t>Large &amp; Mid Cap Fund</t>
        </is>
      </c>
      <c r="F496" s="97" t="n">
        <v>-2.49</v>
      </c>
      <c r="G496" s="98" t="n">
        <v>3.14</v>
      </c>
      <c r="H496" s="97" t="n">
        <v>-5.41</v>
      </c>
      <c r="I496" s="98" t="n">
        <v>0</v>
      </c>
      <c r="J496" s="98" t="n">
        <v>0</v>
      </c>
      <c r="K496" s="98" t="n">
        <v>0</v>
      </c>
      <c r="L496" s="73" t="n">
        <v>67.59999999999999</v>
      </c>
      <c r="M496" s="18" t="n">
        <v>0</v>
      </c>
      <c r="N496" s="19" t="n">
        <v>37.2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9" t="inlineStr">
        <is>
          <t>📈 Good</t>
        </is>
      </c>
      <c r="S496" s="99" t="inlineStr">
        <is>
          <t>⏳ New Fund</t>
        </is>
      </c>
      <c r="T496" s="99" t="inlineStr">
        <is>
          <t>📈 Momentum Only</t>
        </is>
      </c>
      <c r="U496" s="100" t="inlineStr">
        <is>
          <t>MOMENTUM_ONLY</t>
        </is>
      </c>
    </row>
    <row r="497" ht="16" customHeight="1">
      <c r="A497" s="95" t="n">
        <v>493</v>
      </c>
      <c r="B497" s="96" t="inlineStr">
        <is>
          <t>WhiteOak Capital Multi Cap Fund Regular Plan Growth</t>
        </is>
      </c>
      <c r="C497" s="96" t="inlineStr">
        <is>
          <t>WhiteOak Capital Mutual Fund</t>
        </is>
      </c>
      <c r="D497" s="96" t="inlineStr">
        <is>
          <t>Multi Cap Fund</t>
        </is>
      </c>
      <c r="E497" s="96" t="inlineStr">
        <is>
          <t>Multi Cap Fund</t>
        </is>
      </c>
      <c r="F497" s="97" t="n">
        <v>-1.94</v>
      </c>
      <c r="G497" s="98" t="n">
        <v>5.44</v>
      </c>
      <c r="H497" s="97" t="n">
        <v>-3.65</v>
      </c>
      <c r="I497" s="98" t="n">
        <v>0.24</v>
      </c>
      <c r="J497" s="98" t="n">
        <v>7.531390765673618</v>
      </c>
      <c r="K497" s="98" t="n">
        <v>0</v>
      </c>
      <c r="L497" s="73" t="n">
        <v>67.5</v>
      </c>
      <c r="M497" s="18" t="n">
        <v>0</v>
      </c>
      <c r="N497" s="19" t="n">
        <v>37.1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9" t="inlineStr">
        <is>
          <t>📈 Good</t>
        </is>
      </c>
      <c r="S497" s="99" t="inlineStr">
        <is>
          <t>⏳ New Fund</t>
        </is>
      </c>
      <c r="T497" s="99" t="inlineStr">
        <is>
          <t>📈 Momentum Only</t>
        </is>
      </c>
      <c r="U497" s="100" t="inlineStr">
        <is>
          <t>MOMENTUM_ONLY</t>
        </is>
      </c>
    </row>
    <row r="498" ht="16" customHeight="1">
      <c r="A498" s="95" t="n">
        <v>494</v>
      </c>
      <c r="B498" s="96" t="inlineStr">
        <is>
          <t>SBI Energy Opportunities Fund - Regular Plan - Income Distribution Cum Capital Withdrawal Option</t>
        </is>
      </c>
      <c r="C498" s="96" t="inlineStr">
        <is>
          <t>SBI Mutual Fund</t>
        </is>
      </c>
      <c r="D498" s="96" t="inlineStr">
        <is>
          <t>Sectoral/ Thematic</t>
        </is>
      </c>
      <c r="E498" s="96" t="inlineStr">
        <is>
          <t>Sectoral/ Thematic</t>
        </is>
      </c>
      <c r="F498" s="97" t="n">
        <v>-2.82</v>
      </c>
      <c r="G498" s="98" t="n">
        <v>3.06</v>
      </c>
      <c r="H498" s="98" t="n">
        <v>3.66</v>
      </c>
      <c r="I498" s="98" t="n">
        <v>1.44</v>
      </c>
      <c r="J498" s="98" t="n">
        <v>0.4888053466653552</v>
      </c>
      <c r="K498" s="98" t="n">
        <v>0</v>
      </c>
      <c r="L498" s="73" t="n">
        <v>66.2</v>
      </c>
      <c r="M498" s="18" t="n">
        <v>0</v>
      </c>
      <c r="N498" s="19" t="n">
        <v>36.4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9" t="inlineStr">
        <is>
          <t>📈 Good</t>
        </is>
      </c>
      <c r="S498" s="99" t="inlineStr">
        <is>
          <t>⏳ New Fund</t>
        </is>
      </c>
      <c r="T498" s="99" t="inlineStr">
        <is>
          <t>📈 Momentum Only</t>
        </is>
      </c>
      <c r="U498" s="100" t="inlineStr">
        <is>
          <t>MOMENTUM_ONLY</t>
        </is>
      </c>
    </row>
    <row r="499" ht="16" customHeight="1">
      <c r="A499" s="95" t="n">
        <v>495</v>
      </c>
      <c r="B499" s="96" t="inlineStr">
        <is>
          <t>SBI Energy Opportunities Fund - Regular Plan - Growth</t>
        </is>
      </c>
      <c r="C499" s="96" t="inlineStr">
        <is>
          <t>SBI Mutual Fund</t>
        </is>
      </c>
      <c r="D499" s="96" t="inlineStr">
        <is>
          <t>Sectoral/ Thematic</t>
        </is>
      </c>
      <c r="E499" s="96" t="inlineStr">
        <is>
          <t>Sectoral/ Thematic</t>
        </is>
      </c>
      <c r="F499" s="97" t="n">
        <v>-2.82</v>
      </c>
      <c r="G499" s="98" t="n">
        <v>3.06</v>
      </c>
      <c r="H499" s="98" t="n">
        <v>3.66</v>
      </c>
      <c r="I499" s="98" t="n">
        <v>1.44</v>
      </c>
      <c r="J499" s="98" t="n">
        <v>0.4888053466653552</v>
      </c>
      <c r="K499" s="98" t="n">
        <v>0</v>
      </c>
      <c r="L499" s="73" t="n">
        <v>66.2</v>
      </c>
      <c r="M499" s="18" t="n">
        <v>0</v>
      </c>
      <c r="N499" s="19" t="n">
        <v>36.4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9" t="inlineStr">
        <is>
          <t>📈 Good</t>
        </is>
      </c>
      <c r="S499" s="99" t="inlineStr">
        <is>
          <t>⏳ New Fund</t>
        </is>
      </c>
      <c r="T499" s="99" t="inlineStr">
        <is>
          <t>📈 Momentum Only</t>
        </is>
      </c>
      <c r="U499" s="100" t="inlineStr">
        <is>
          <t>MOMENTUM_ONLY</t>
        </is>
      </c>
    </row>
    <row r="500" ht="16" customHeight="1">
      <c r="A500" s="95" t="n">
        <v>496</v>
      </c>
      <c r="B500" s="96" t="inlineStr">
        <is>
          <t>Motilal Oswal Services Fund - Regular Plan - Growth</t>
        </is>
      </c>
      <c r="C500" s="96" t="inlineStr">
        <is>
          <t>Motilal Oswal Mutual Fund</t>
        </is>
      </c>
      <c r="D500" s="96" t="inlineStr">
        <is>
          <t>Sectoral/ Thematic</t>
        </is>
      </c>
      <c r="E500" s="96" t="inlineStr">
        <is>
          <t>Sectoral/ Thematic</t>
        </is>
      </c>
      <c r="F500" s="97" t="n">
        <v>-1.81</v>
      </c>
      <c r="G500" s="98" t="n">
        <v>7.72</v>
      </c>
      <c r="H500" s="97" t="n">
        <v>-3.54</v>
      </c>
      <c r="I500" s="98" t="n">
        <v>0</v>
      </c>
      <c r="J500" s="98" t="n">
        <v>0</v>
      </c>
      <c r="K500" s="98" t="n">
        <v>0</v>
      </c>
      <c r="L500" s="73" t="n">
        <v>64.90000000000001</v>
      </c>
      <c r="M500" s="18" t="n">
        <v>0</v>
      </c>
      <c r="N500" s="19" t="n">
        <v>35.7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9" t="inlineStr">
        <is>
          <t>📈 Good</t>
        </is>
      </c>
      <c r="S500" s="99" t="inlineStr">
        <is>
          <t>⏳ New Fund</t>
        </is>
      </c>
      <c r="T500" s="99" t="inlineStr">
        <is>
          <t>📈 Momentum Only</t>
        </is>
      </c>
      <c r="U500" s="100" t="inlineStr">
        <is>
          <t>MOMENTUM_ONLY</t>
        </is>
      </c>
    </row>
    <row r="501" ht="16" customHeight="1">
      <c r="A501" s="95" t="n">
        <v>497</v>
      </c>
      <c r="B501" s="96" t="inlineStr">
        <is>
          <t>Tata India Innovation Fund- Regular Growth</t>
        </is>
      </c>
      <c r="C501" s="96" t="inlineStr">
        <is>
          <t>Tata Mutual Fund</t>
        </is>
      </c>
      <c r="D501" s="96" t="inlineStr">
        <is>
          <t>Sectoral/ Thematic</t>
        </is>
      </c>
      <c r="E501" s="96" t="inlineStr">
        <is>
          <t>Sectoral/ Thematic</t>
        </is>
      </c>
      <c r="F501" s="97" t="n">
        <v>-0.68</v>
      </c>
      <c r="G501" s="98" t="n">
        <v>7.96</v>
      </c>
      <c r="H501" s="97" t="n">
        <v>-4.75</v>
      </c>
      <c r="I501" s="97" t="n">
        <v>-3.07</v>
      </c>
      <c r="J501" s="98" t="n">
        <v>0</v>
      </c>
      <c r="K501" s="98" t="n">
        <v>0</v>
      </c>
      <c r="L501" s="73" t="n">
        <v>64.40000000000001</v>
      </c>
      <c r="M501" s="18" t="n">
        <v>0</v>
      </c>
      <c r="N501" s="19" t="n">
        <v>35.4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9" t="inlineStr">
        <is>
          <t>📈 Good</t>
        </is>
      </c>
      <c r="S501" s="99" t="inlineStr">
        <is>
          <t>⏳ New Fund</t>
        </is>
      </c>
      <c r="T501" s="99" t="inlineStr">
        <is>
          <t>📈 Momentum Only</t>
        </is>
      </c>
      <c r="U501" s="100" t="inlineStr">
        <is>
          <t>MOMENTUM_ONLY</t>
        </is>
      </c>
    </row>
    <row r="502" ht="16" customHeight="1">
      <c r="A502" s="95" t="n">
        <v>498</v>
      </c>
      <c r="B502" s="96" t="inlineStr">
        <is>
          <t>Samco Special Opportunities Fund - Regular Plan - Growth</t>
        </is>
      </c>
      <c r="C502" s="96" t="inlineStr">
        <is>
          <t>Samco Mutual Fund</t>
        </is>
      </c>
      <c r="D502" s="96" t="inlineStr">
        <is>
          <t>Sectoral/ Thematic</t>
        </is>
      </c>
      <c r="E502" s="96" t="inlineStr">
        <is>
          <t>Sectoral/ Thematic</t>
        </is>
      </c>
      <c r="F502" s="97" t="n">
        <v>-0.6</v>
      </c>
      <c r="G502" s="98" t="n">
        <v>7.03</v>
      </c>
      <c r="H502" s="97" t="n">
        <v>-2.14</v>
      </c>
      <c r="I502" s="97" t="n">
        <v>-4.97</v>
      </c>
      <c r="J502" s="98" t="n">
        <v>0</v>
      </c>
      <c r="K502" s="98" t="n">
        <v>0</v>
      </c>
      <c r="L502" s="73" t="n">
        <v>64.3</v>
      </c>
      <c r="M502" s="18" t="n">
        <v>0</v>
      </c>
      <c r="N502" s="19" t="n">
        <v>35.4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9" t="inlineStr">
        <is>
          <t>📈 Good</t>
        </is>
      </c>
      <c r="S502" s="99" t="inlineStr">
        <is>
          <t>⏳ New Fund</t>
        </is>
      </c>
      <c r="T502" s="99" t="inlineStr">
        <is>
          <t>📈 Momentum Only</t>
        </is>
      </c>
      <c r="U502" s="100" t="inlineStr">
        <is>
          <t>MOMENTUM_ONLY</t>
        </is>
      </c>
    </row>
    <row r="503" ht="16" customHeight="1">
      <c r="A503" s="95" t="n">
        <v>499</v>
      </c>
      <c r="B503" s="96" t="inlineStr">
        <is>
          <t>Mirae Asset Infrastructure Fund - Regular Plan - Growth</t>
        </is>
      </c>
      <c r="C503" s="96" t="inlineStr">
        <is>
          <t>Mirae Asset Mutual Fund</t>
        </is>
      </c>
      <c r="D503" s="96" t="inlineStr">
        <is>
          <t>Sectoral/ Thematic</t>
        </is>
      </c>
      <c r="E503" s="96" t="inlineStr">
        <is>
          <t>Sectoral/ Thematic</t>
        </is>
      </c>
      <c r="F503" s="97" t="n">
        <v>-2.99</v>
      </c>
      <c r="G503" s="98" t="n">
        <v>5.6</v>
      </c>
      <c r="H503" s="98" t="n">
        <v>3.95</v>
      </c>
      <c r="I503" s="98" t="n">
        <v>0</v>
      </c>
      <c r="J503" s="98" t="n">
        <v>0</v>
      </c>
      <c r="K503" s="98" t="n">
        <v>0</v>
      </c>
      <c r="L503" s="73" t="n">
        <v>63.2</v>
      </c>
      <c r="M503" s="18" t="n">
        <v>0</v>
      </c>
      <c r="N503" s="19" t="n">
        <v>34.8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9" t="inlineStr">
        <is>
          <t>📈 Good</t>
        </is>
      </c>
      <c r="S503" s="99" t="inlineStr">
        <is>
          <t>⏳ New Fund</t>
        </is>
      </c>
      <c r="T503" s="99" t="inlineStr">
        <is>
          <t>📈 Momentum Only</t>
        </is>
      </c>
      <c r="U503" s="100" t="inlineStr">
        <is>
          <t>MOMENTUM_ONLY</t>
        </is>
      </c>
    </row>
    <row r="504" ht="16" customHeight="1">
      <c r="A504" s="95" t="n">
        <v>500</v>
      </c>
      <c r="B504" s="96" t="inlineStr">
        <is>
          <t>PGIM India Multi Cap Fund - Regular Plan - Growth Option</t>
        </is>
      </c>
      <c r="C504" s="96" t="inlineStr">
        <is>
          <t>PGIM India Mutual Fund</t>
        </is>
      </c>
      <c r="D504" s="96" t="inlineStr">
        <is>
          <t>Multi Cap Fund</t>
        </is>
      </c>
      <c r="E504" s="96" t="inlineStr">
        <is>
          <t>Multi Cap Fund</t>
        </is>
      </c>
      <c r="F504" s="97" t="n">
        <v>-2.31</v>
      </c>
      <c r="G504" s="98" t="n">
        <v>4.52</v>
      </c>
      <c r="H504" s="97" t="n">
        <v>-2.41</v>
      </c>
      <c r="I504" s="98" t="n">
        <v>0.31</v>
      </c>
      <c r="J504" s="98" t="n">
        <v>0</v>
      </c>
      <c r="K504" s="98" t="n">
        <v>0</v>
      </c>
      <c r="L504" s="73" t="n">
        <v>62.3</v>
      </c>
      <c r="M504" s="18" t="n">
        <v>0</v>
      </c>
      <c r="N504" s="19" t="n">
        <v>34.3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9" t="inlineStr">
        <is>
          <t>📈 Good</t>
        </is>
      </c>
      <c r="S504" s="99" t="inlineStr">
        <is>
          <t>⏳ New Fund</t>
        </is>
      </c>
      <c r="T504" s="99" t="inlineStr">
        <is>
          <t>📈 Momentum Only</t>
        </is>
      </c>
      <c r="U504" s="100" t="inlineStr">
        <is>
          <t>MOMENTUM_ONLY</t>
        </is>
      </c>
    </row>
    <row r="505" ht="16" customHeight="1">
      <c r="A505" s="95" t="n">
        <v>501</v>
      </c>
      <c r="B505" s="96" t="inlineStr">
        <is>
          <t>Baroda BNP Paribas Manufacturing Fund - Regular Plan - Growth Option</t>
        </is>
      </c>
      <c r="C505" s="96" t="inlineStr">
        <is>
          <t>Baroda BNP Paribas Mutual Fund</t>
        </is>
      </c>
      <c r="D505" s="96" t="inlineStr">
        <is>
          <t>Sectoral/ Thematic</t>
        </is>
      </c>
      <c r="E505" s="96" t="inlineStr">
        <is>
          <t>Sectoral/ Thematic</t>
        </is>
      </c>
      <c r="F505" s="97" t="n">
        <v>-4.29</v>
      </c>
      <c r="G505" s="98" t="n">
        <v>2.79</v>
      </c>
      <c r="H505" s="98" t="n">
        <v>3.23</v>
      </c>
      <c r="I505" s="98" t="n">
        <v>7.7</v>
      </c>
      <c r="J505" s="98" t="n">
        <v>0</v>
      </c>
      <c r="K505" s="98" t="n">
        <v>0</v>
      </c>
      <c r="L505" s="73" t="n">
        <v>61.9</v>
      </c>
      <c r="M505" s="18" t="n">
        <v>0</v>
      </c>
      <c r="N505" s="19" t="n">
        <v>34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9" t="inlineStr">
        <is>
          <t>📈 Good</t>
        </is>
      </c>
      <c r="S505" s="99" t="inlineStr">
        <is>
          <t>⏳ New Fund</t>
        </is>
      </c>
      <c r="T505" s="99" t="inlineStr">
        <is>
          <t>📈 Momentum Only</t>
        </is>
      </c>
      <c r="U505" s="100" t="inlineStr">
        <is>
          <t>MOMENTUM_ONLY</t>
        </is>
      </c>
    </row>
    <row r="506" ht="16" customHeight="1">
      <c r="A506" s="95" t="n">
        <v>502</v>
      </c>
      <c r="B506" s="96" t="inlineStr">
        <is>
          <t>Motilal Oswal Infrastructure Fund-Regular-Growth</t>
        </is>
      </c>
      <c r="C506" s="96" t="inlineStr">
        <is>
          <t>Motilal Oswal Mutual Fund</t>
        </is>
      </c>
      <c r="D506" s="96" t="inlineStr">
        <is>
          <t>Sectoral/ Thematic</t>
        </is>
      </c>
      <c r="E506" s="96" t="inlineStr">
        <is>
          <t>Sectoral/ Thematic</t>
        </is>
      </c>
      <c r="F506" s="97" t="n">
        <v>-4.12</v>
      </c>
      <c r="G506" s="98" t="n">
        <v>3.53</v>
      </c>
      <c r="H506" s="98" t="n">
        <v>2.95</v>
      </c>
      <c r="I506" s="98" t="n">
        <v>8.949999999999999</v>
      </c>
      <c r="J506" s="98" t="n">
        <v>0</v>
      </c>
      <c r="K506" s="98" t="n">
        <v>0</v>
      </c>
      <c r="L506" s="73" t="n">
        <v>61.7</v>
      </c>
      <c r="M506" s="18" t="n">
        <v>0</v>
      </c>
      <c r="N506" s="19" t="n">
        <v>33.9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9" t="inlineStr">
        <is>
          <t>📈 Good</t>
        </is>
      </c>
      <c r="S506" s="99" t="inlineStr">
        <is>
          <t>⏳ New Fund</t>
        </is>
      </c>
      <c r="T506" s="99" t="inlineStr">
        <is>
          <t>📈 Momentum Only</t>
        </is>
      </c>
      <c r="U506" s="100" t="inlineStr">
        <is>
          <t>MOMENTUM_ONLY</t>
        </is>
      </c>
    </row>
    <row r="507" ht="16" customHeight="1">
      <c r="A507" s="95" t="n">
        <v>503</v>
      </c>
      <c r="B507" s="96" t="inlineStr">
        <is>
          <t>Groww Banking &amp; Financial Services Fund - Regular - Growth</t>
        </is>
      </c>
      <c r="C507" s="96" t="inlineStr">
        <is>
          <t>Groww Mutual Fund</t>
        </is>
      </c>
      <c r="D507" s="96" t="inlineStr">
        <is>
          <t>Sectoral/ Thematic</t>
        </is>
      </c>
      <c r="E507" s="96" t="inlineStr">
        <is>
          <t>Sectoral/ Thematic</t>
        </is>
      </c>
      <c r="F507" s="97" t="n">
        <v>-3.12</v>
      </c>
      <c r="G507" s="98" t="n">
        <v>6.09</v>
      </c>
      <c r="H507" s="97" t="n">
        <v>-0.8</v>
      </c>
      <c r="I507" s="98" t="n">
        <v>0.78</v>
      </c>
      <c r="J507" s="98" t="n">
        <v>6.700515462672452</v>
      </c>
      <c r="K507" s="98" t="n">
        <v>0</v>
      </c>
      <c r="L507" s="73" t="n">
        <v>60.9</v>
      </c>
      <c r="M507" s="18" t="n">
        <v>0</v>
      </c>
      <c r="N507" s="19" t="n">
        <v>33.5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9" t="inlineStr">
        <is>
          <t>📈 Good</t>
        </is>
      </c>
      <c r="S507" s="99" t="inlineStr">
        <is>
          <t>⏳ New Fund</t>
        </is>
      </c>
      <c r="T507" s="99" t="inlineStr">
        <is>
          <t>📈 Momentum Only</t>
        </is>
      </c>
      <c r="U507" s="100" t="inlineStr">
        <is>
          <t>MOMENTUM_ONLY</t>
        </is>
      </c>
    </row>
    <row r="508" ht="16" customHeight="1">
      <c r="A508" s="95" t="n">
        <v>504</v>
      </c>
      <c r="B508" s="96" t="inlineStr">
        <is>
          <t>BAJAJ FINSERV ELSS TAX SAVER FUND - REGULAR - GROWTH</t>
        </is>
      </c>
      <c r="C508" s="96" t="inlineStr">
        <is>
          <t>Bajaj Finserv Mutual Fund</t>
        </is>
      </c>
      <c r="D508" s="96" t="inlineStr">
        <is>
          <t>Elss</t>
        </is>
      </c>
      <c r="E508" s="96" t="inlineStr">
        <is>
          <t>Elss</t>
        </is>
      </c>
      <c r="F508" s="97" t="n">
        <v>-4.12</v>
      </c>
      <c r="G508" s="98" t="n">
        <v>2.68</v>
      </c>
      <c r="H508" s="97" t="n">
        <v>-4.8</v>
      </c>
      <c r="I508" s="97" t="n">
        <v>-4.18</v>
      </c>
      <c r="J508" s="98" t="n">
        <v>0</v>
      </c>
      <c r="K508" s="98" t="n">
        <v>0</v>
      </c>
      <c r="L508" s="73" t="n">
        <v>60.7</v>
      </c>
      <c r="M508" s="18" t="n">
        <v>0</v>
      </c>
      <c r="N508" s="19" t="n">
        <v>33.4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9" t="inlineStr">
        <is>
          <t>📈 Good</t>
        </is>
      </c>
      <c r="S508" s="99" t="inlineStr">
        <is>
          <t>⏳ New Fund</t>
        </is>
      </c>
      <c r="T508" s="99" t="inlineStr">
        <is>
          <t>📈 Momentum Only</t>
        </is>
      </c>
      <c r="U508" s="100" t="inlineStr">
        <is>
          <t>MOMENTUM_ONLY</t>
        </is>
      </c>
    </row>
    <row r="509" ht="16" customHeight="1">
      <c r="A509" s="95" t="n">
        <v>505</v>
      </c>
      <c r="B509" s="96" t="inlineStr">
        <is>
          <t>Edelweiss Technology Fund - Regular Plan - Growth</t>
        </is>
      </c>
      <c r="C509" s="96" t="inlineStr">
        <is>
          <t>Edelweiss Mutual Fund</t>
        </is>
      </c>
      <c r="D509" s="96" t="inlineStr">
        <is>
          <t>Sectoral/ Thematic</t>
        </is>
      </c>
      <c r="E509" s="96" t="inlineStr">
        <is>
          <t>Sectoral/ Thematic</t>
        </is>
      </c>
      <c r="F509" s="97" t="n">
        <v>-1.35</v>
      </c>
      <c r="G509" s="98" t="n">
        <v>8.460000000000001</v>
      </c>
      <c r="H509" s="97" t="n">
        <v>-7.26</v>
      </c>
      <c r="I509" s="97" t="n">
        <v>-0.27</v>
      </c>
      <c r="J509" s="98" t="n">
        <v>5.275828184821241</v>
      </c>
      <c r="K509" s="98" t="n">
        <v>0</v>
      </c>
      <c r="L509" s="73" t="n">
        <v>60.6</v>
      </c>
      <c r="M509" s="18" t="n">
        <v>0</v>
      </c>
      <c r="N509" s="19" t="n">
        <v>33.3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9" t="inlineStr">
        <is>
          <t>📈 Good</t>
        </is>
      </c>
      <c r="S509" s="99" t="inlineStr">
        <is>
          <t>⏳ New Fund</t>
        </is>
      </c>
      <c r="T509" s="99" t="inlineStr">
        <is>
          <t>📈 Momentum Only</t>
        </is>
      </c>
      <c r="U509" s="100" t="inlineStr">
        <is>
          <t>MOMENTUM_ONLY</t>
        </is>
      </c>
    </row>
    <row r="510" ht="16" customHeight="1">
      <c r="A510" s="95" t="n">
        <v>506</v>
      </c>
      <c r="B510" s="96" t="inlineStr">
        <is>
          <t>Motilal Oswal Consumption Fund-Regular-Growth</t>
        </is>
      </c>
      <c r="C510" s="96" t="inlineStr">
        <is>
          <t>Motilal Oswal Mutual Fund</t>
        </is>
      </c>
      <c r="D510" s="96" t="inlineStr">
        <is>
          <t>Sectoral/ Thematic</t>
        </is>
      </c>
      <c r="E510" s="96" t="inlineStr">
        <is>
          <t>Sectoral/ Thematic</t>
        </is>
      </c>
      <c r="F510" s="97" t="n">
        <v>-2.35</v>
      </c>
      <c r="G510" s="98" t="n">
        <v>9.18</v>
      </c>
      <c r="H510" s="97" t="n">
        <v>-5.72</v>
      </c>
      <c r="I510" s="98" t="n">
        <v>0</v>
      </c>
      <c r="J510" s="98" t="n">
        <v>0</v>
      </c>
      <c r="K510" s="98" t="n">
        <v>0</v>
      </c>
      <c r="L510" s="73" t="n">
        <v>60.5</v>
      </c>
      <c r="M510" s="18" t="n">
        <v>0</v>
      </c>
      <c r="N510" s="19" t="n">
        <v>33.3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9" t="inlineStr">
        <is>
          <t>📈 Good</t>
        </is>
      </c>
      <c r="S510" s="99" t="inlineStr">
        <is>
          <t>⏳ New Fund</t>
        </is>
      </c>
      <c r="T510" s="99" t="inlineStr">
        <is>
          <t>📈 Momentum Only</t>
        </is>
      </c>
      <c r="U510" s="100" t="inlineStr">
        <is>
          <t>MOMENTUM_ONLY</t>
        </is>
      </c>
    </row>
    <row r="511" ht="16" customHeight="1">
      <c r="A511" s="95" t="n">
        <v>507</v>
      </c>
      <c r="B511" s="96" t="inlineStr">
        <is>
          <t>Union Business Cycle Fund - Regular Plan - Growth Option</t>
        </is>
      </c>
      <c r="C511" s="96" t="inlineStr">
        <is>
          <t>Union Mutual Fund</t>
        </is>
      </c>
      <c r="D511" s="96" t="inlineStr">
        <is>
          <t>Sectoral/ Thematic</t>
        </is>
      </c>
      <c r="E511" s="96" t="inlineStr">
        <is>
          <t>Sectoral/ Thematic</t>
        </is>
      </c>
      <c r="F511" s="97" t="n">
        <v>-2.28</v>
      </c>
      <c r="G511" s="98" t="n">
        <v>4.12</v>
      </c>
      <c r="H511" s="97" t="n">
        <v>-1.94</v>
      </c>
      <c r="I511" s="98" t="n">
        <v>0</v>
      </c>
      <c r="J511" s="98" t="n">
        <v>0.9108517454887055</v>
      </c>
      <c r="K511" s="98" t="n">
        <v>0</v>
      </c>
      <c r="L511" s="73" t="n">
        <v>60.3</v>
      </c>
      <c r="M511" s="18" t="n">
        <v>0</v>
      </c>
      <c r="N511" s="19" t="n">
        <v>33.2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9" t="inlineStr">
        <is>
          <t>📈 Good</t>
        </is>
      </c>
      <c r="S511" s="99" t="inlineStr">
        <is>
          <t>⏳ New Fund</t>
        </is>
      </c>
      <c r="T511" s="99" t="inlineStr">
        <is>
          <t>📈 Momentum Only</t>
        </is>
      </c>
      <c r="U511" s="100" t="inlineStr">
        <is>
          <t>MOMENTUM_ONLY</t>
        </is>
      </c>
    </row>
    <row r="512" ht="16" customHeight="1">
      <c r="A512" s="95" t="n">
        <v>508</v>
      </c>
      <c r="B512" s="96" t="inlineStr">
        <is>
          <t>LIC MF Mid Cap Fund-Regular Plan-Growth</t>
        </is>
      </c>
      <c r="C512" s="96" t="inlineStr">
        <is>
          <t>LIC Mutual Fund</t>
        </is>
      </c>
      <c r="D512" s="96" t="inlineStr">
        <is>
          <t>Mid Cap Fund</t>
        </is>
      </c>
      <c r="E512" s="96" t="inlineStr">
        <is>
          <t>Mid Cap Fund</t>
        </is>
      </c>
      <c r="F512" s="97" t="n">
        <v>-2.93</v>
      </c>
      <c r="G512" s="98" t="n">
        <v>6.64</v>
      </c>
      <c r="H512" s="97" t="n">
        <v>-1.06</v>
      </c>
      <c r="I512" s="97" t="n">
        <v>-3.88</v>
      </c>
      <c r="J512" s="98" t="n">
        <v>2.156742312977067</v>
      </c>
      <c r="K512" s="98" t="n">
        <v>0</v>
      </c>
      <c r="L512" s="73" t="n">
        <v>60.1</v>
      </c>
      <c r="M512" s="18" t="n">
        <v>0</v>
      </c>
      <c r="N512" s="19" t="n">
        <v>33.1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9" t="inlineStr">
        <is>
          <t>📈 Good</t>
        </is>
      </c>
      <c r="S512" s="99" t="inlineStr">
        <is>
          <t>⏳ New Fund</t>
        </is>
      </c>
      <c r="T512" s="99" t="inlineStr">
        <is>
          <t>📈 Momentum Only</t>
        </is>
      </c>
      <c r="U512" s="100" t="inlineStr">
        <is>
          <t>MOMENTUM_ONLY</t>
        </is>
      </c>
    </row>
    <row r="513" ht="16" customHeight="1">
      <c r="A513" s="95" t="n">
        <v>509</v>
      </c>
      <c r="B513" s="96" t="inlineStr">
        <is>
          <t>Bajaj Finserv Banking and Financial Services Fund - Regular - Growth</t>
        </is>
      </c>
      <c r="C513" s="96" t="inlineStr">
        <is>
          <t>Bajaj Finserv Mutual Fund</t>
        </is>
      </c>
      <c r="D513" s="96" t="inlineStr">
        <is>
          <t>Sectoral/ Thematic</t>
        </is>
      </c>
      <c r="E513" s="96" t="inlineStr">
        <is>
          <t>Sectoral/ Thematic</t>
        </is>
      </c>
      <c r="F513" s="97" t="n">
        <v>-0.59</v>
      </c>
      <c r="G513" s="98" t="n">
        <v>1.77</v>
      </c>
      <c r="H513" s="97" t="n">
        <v>-5.89</v>
      </c>
      <c r="I513" s="98" t="n">
        <v>0</v>
      </c>
      <c r="J513" s="98" t="n">
        <v>0</v>
      </c>
      <c r="K513" s="98" t="n">
        <v>0</v>
      </c>
      <c r="L513" s="73" t="n">
        <v>58</v>
      </c>
      <c r="M513" s="18" t="n">
        <v>0</v>
      </c>
      <c r="N513" s="19" t="n">
        <v>31.9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9" t="inlineStr">
        <is>
          <t>➡️ Neutral</t>
        </is>
      </c>
      <c r="S513" s="99" t="inlineStr">
        <is>
          <t>⏳ New Fund</t>
        </is>
      </c>
      <c r="T513" s="99" t="inlineStr">
        <is>
          <t>⏳ New Fund</t>
        </is>
      </c>
      <c r="U513" s="100" t="inlineStr">
        <is>
          <t>MOMENTUM_ONLY</t>
        </is>
      </c>
    </row>
    <row r="514" ht="16" customHeight="1">
      <c r="A514" s="95" t="n">
        <v>510</v>
      </c>
      <c r="B514" s="96" t="inlineStr">
        <is>
          <t>quant Consumption Fund - Growth Option - Regular Plan</t>
        </is>
      </c>
      <c r="C514" s="96" t="inlineStr">
        <is>
          <t>quant Mutual Fund</t>
        </is>
      </c>
      <c r="D514" s="96" t="inlineStr">
        <is>
          <t>Sectoral/ Thematic</t>
        </is>
      </c>
      <c r="E514" s="96" t="inlineStr">
        <is>
          <t>Sectoral/ Thematic</t>
        </is>
      </c>
      <c r="F514" s="97" t="n">
        <v>-1.81</v>
      </c>
      <c r="G514" s="98" t="n">
        <v>8.390000000000001</v>
      </c>
      <c r="H514" s="97" t="n">
        <v>-1.4</v>
      </c>
      <c r="I514" s="97" t="n">
        <v>-9.09</v>
      </c>
      <c r="J514" s="97" t="n">
        <v>-7.366312823033971</v>
      </c>
      <c r="K514" s="98" t="n">
        <v>0</v>
      </c>
      <c r="L514" s="73" t="n">
        <v>57.7</v>
      </c>
      <c r="M514" s="18" t="n">
        <v>0</v>
      </c>
      <c r="N514" s="19" t="n">
        <v>31.7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9" t="inlineStr">
        <is>
          <t>➡️ Neutral</t>
        </is>
      </c>
      <c r="S514" s="99" t="inlineStr">
        <is>
          <t>⏳ New Fund</t>
        </is>
      </c>
      <c r="T514" s="99" t="inlineStr">
        <is>
          <t>⏳ New Fund</t>
        </is>
      </c>
      <c r="U514" s="100" t="inlineStr">
        <is>
          <t>MOMENTUM_ONLY</t>
        </is>
      </c>
    </row>
    <row r="515" ht="16" customHeight="1">
      <c r="A515" s="95" t="n">
        <v>511</v>
      </c>
      <c r="B515" s="96" t="inlineStr">
        <is>
          <t>HDFC Manufacturing fund - Growth Option - Regular Plan</t>
        </is>
      </c>
      <c r="C515" s="96" t="inlineStr">
        <is>
          <t>HDFC Mutual Fund</t>
        </is>
      </c>
      <c r="D515" s="96" t="inlineStr">
        <is>
          <t>Sectoral/ Thematic</t>
        </is>
      </c>
      <c r="E515" s="96" t="inlineStr">
        <is>
          <t>Sectoral/ Thematic</t>
        </is>
      </c>
      <c r="F515" s="97" t="n">
        <v>-3.44</v>
      </c>
      <c r="G515" s="98" t="n">
        <v>3.45</v>
      </c>
      <c r="H515" s="97" t="n">
        <v>-0.25</v>
      </c>
      <c r="I515" s="98" t="n">
        <v>3.47</v>
      </c>
      <c r="J515" s="98" t="n">
        <v>2.308357429879604</v>
      </c>
      <c r="K515" s="98" t="n">
        <v>0</v>
      </c>
      <c r="L515" s="73" t="n">
        <v>57.3</v>
      </c>
      <c r="M515" s="18" t="n">
        <v>0</v>
      </c>
      <c r="N515" s="19" t="n">
        <v>31.5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9" t="inlineStr">
        <is>
          <t>➡️ Neutral</t>
        </is>
      </c>
      <c r="S515" s="99" t="inlineStr">
        <is>
          <t>⏳ New Fund</t>
        </is>
      </c>
      <c r="T515" s="99" t="inlineStr">
        <is>
          <t>⏳ New Fund</t>
        </is>
      </c>
      <c r="U515" s="100" t="inlineStr">
        <is>
          <t>MOMENTUM_ONLY</t>
        </is>
      </c>
    </row>
    <row r="516" ht="16" customHeight="1">
      <c r="A516" s="95" t="n">
        <v>512</v>
      </c>
      <c r="B516" s="96" t="inlineStr">
        <is>
          <t>Nippon India MNC Fund- Regular Plan-Growth Option</t>
        </is>
      </c>
      <c r="C516" s="96" t="inlineStr">
        <is>
          <t>Nippon India Mutual Fund</t>
        </is>
      </c>
      <c r="D516" s="96" t="inlineStr">
        <is>
          <t>Sectoral/ Thematic</t>
        </is>
      </c>
      <c r="E516" s="96" t="inlineStr">
        <is>
          <t>Sectoral/ Thematic</t>
        </is>
      </c>
      <c r="F516" s="97" t="n">
        <v>-2.04</v>
      </c>
      <c r="G516" s="98" t="n">
        <v>2.64</v>
      </c>
      <c r="H516" s="97" t="n">
        <v>-3.62</v>
      </c>
      <c r="I516" s="98" t="n">
        <v>0</v>
      </c>
      <c r="J516" s="98" t="n">
        <v>0</v>
      </c>
      <c r="K516" s="98" t="n">
        <v>0</v>
      </c>
      <c r="L516" s="73" t="n">
        <v>57</v>
      </c>
      <c r="M516" s="18" t="n">
        <v>0</v>
      </c>
      <c r="N516" s="19" t="n">
        <v>31.3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9" t="inlineStr">
        <is>
          <t>➡️ Neutral</t>
        </is>
      </c>
      <c r="S516" s="99" t="inlineStr">
        <is>
          <t>⏳ New Fund</t>
        </is>
      </c>
      <c r="T516" s="99" t="inlineStr">
        <is>
          <t>⏳ New Fund</t>
        </is>
      </c>
      <c r="U516" s="100" t="inlineStr">
        <is>
          <t>MOMENTUM_ONLY</t>
        </is>
      </c>
    </row>
    <row r="517" ht="16" customHeight="1">
      <c r="A517" s="95" t="n">
        <v>513</v>
      </c>
      <c r="B517" s="96" t="inlineStr">
        <is>
          <t>Mahindra Manulife Business Cycle Fund-  Regular Plan - Growth</t>
        </is>
      </c>
      <c r="C517" s="96" t="inlineStr">
        <is>
          <t>Mahindra Manulife Mutual Fund</t>
        </is>
      </c>
      <c r="D517" s="96" t="inlineStr">
        <is>
          <t>Sectoral/ Thematic</t>
        </is>
      </c>
      <c r="E517" s="96" t="inlineStr">
        <is>
          <t>Sectoral/ Thematic</t>
        </is>
      </c>
      <c r="F517" s="97" t="n">
        <v>-2.62</v>
      </c>
      <c r="G517" s="98" t="n">
        <v>1.48</v>
      </c>
      <c r="H517" s="97" t="n">
        <v>-1.44</v>
      </c>
      <c r="I517" s="98" t="n">
        <v>1.88</v>
      </c>
      <c r="J517" s="98" t="n">
        <v>3.788245962632963</v>
      </c>
      <c r="K517" s="98" t="n">
        <v>0</v>
      </c>
      <c r="L517" s="73" t="n">
        <v>56.8</v>
      </c>
      <c r="M517" s="18" t="n">
        <v>0</v>
      </c>
      <c r="N517" s="19" t="n">
        <v>31.2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9" t="inlineStr">
        <is>
          <t>➡️ Neutral</t>
        </is>
      </c>
      <c r="S517" s="99" t="inlineStr">
        <is>
          <t>⏳ New Fund</t>
        </is>
      </c>
      <c r="T517" s="99" t="inlineStr">
        <is>
          <t>⏳ New Fund</t>
        </is>
      </c>
      <c r="U517" s="100" t="inlineStr">
        <is>
          <t>MOMENTUM_ONLY</t>
        </is>
      </c>
    </row>
    <row r="518" ht="16" customHeight="1">
      <c r="A518" s="95" t="n">
        <v>514</v>
      </c>
      <c r="B518" s="96" t="inlineStr">
        <is>
          <t>Bank of India Mid Cap Fund - Regular Plan Growth</t>
        </is>
      </c>
      <c r="C518" s="96" t="inlineStr">
        <is>
          <t>Bank of India Mutual Fund</t>
        </is>
      </c>
      <c r="D518" s="96" t="inlineStr">
        <is>
          <t>Mid Cap Fund</t>
        </is>
      </c>
      <c r="E518" s="96" t="inlineStr">
        <is>
          <t>Mid Cap Fund</t>
        </is>
      </c>
      <c r="F518" s="97" t="n">
        <v>-4.03</v>
      </c>
      <c r="G518" s="98" t="n">
        <v>5.05</v>
      </c>
      <c r="H518" s="98" t="n">
        <v>1.03</v>
      </c>
      <c r="I518" s="98" t="n">
        <v>0</v>
      </c>
      <c r="J518" s="98" t="n">
        <v>0</v>
      </c>
      <c r="K518" s="98" t="n">
        <v>0</v>
      </c>
      <c r="L518" s="73" t="n">
        <v>56.6</v>
      </c>
      <c r="M518" s="18" t="n">
        <v>0</v>
      </c>
      <c r="N518" s="19" t="n">
        <v>31.1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9" t="inlineStr">
        <is>
          <t>➡️ Neutral</t>
        </is>
      </c>
      <c r="S518" s="99" t="inlineStr">
        <is>
          <t>⏳ New Fund</t>
        </is>
      </c>
      <c r="T518" s="99" t="inlineStr">
        <is>
          <t>⏳ New Fund</t>
        </is>
      </c>
      <c r="U518" s="100" t="inlineStr">
        <is>
          <t>MOMENTUM_ONLY</t>
        </is>
      </c>
    </row>
    <row r="519" ht="16" customHeight="1">
      <c r="A519" s="95" t="n">
        <v>515</v>
      </c>
      <c r="B519" s="96" t="inlineStr">
        <is>
          <t>Mahindra Manulife Manufacturing Fund - Regular Plan - Growth</t>
        </is>
      </c>
      <c r="C519" s="96" t="inlineStr">
        <is>
          <t>Mahindra Manulife Mutual Fund</t>
        </is>
      </c>
      <c r="D519" s="96" t="inlineStr">
        <is>
          <t>Sectoral/ Thematic</t>
        </is>
      </c>
      <c r="E519" s="96" t="inlineStr">
        <is>
          <t>Sectoral/ Thematic</t>
        </is>
      </c>
      <c r="F519" s="97" t="n">
        <v>-3.5</v>
      </c>
      <c r="G519" s="98" t="n">
        <v>3.71</v>
      </c>
      <c r="H519" s="98" t="n">
        <v>0.04</v>
      </c>
      <c r="I519" s="98" t="n">
        <v>1.73</v>
      </c>
      <c r="J519" s="98" t="n">
        <v>0</v>
      </c>
      <c r="K519" s="98" t="n">
        <v>0</v>
      </c>
      <c r="L519" s="73" t="n">
        <v>56.6</v>
      </c>
      <c r="M519" s="18" t="n">
        <v>0</v>
      </c>
      <c r="N519" s="19" t="n">
        <v>31.1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9" t="inlineStr">
        <is>
          <t>➡️ Neutral</t>
        </is>
      </c>
      <c r="S519" s="99" t="inlineStr">
        <is>
          <t>⏳ New Fund</t>
        </is>
      </c>
      <c r="T519" s="99" t="inlineStr">
        <is>
          <t>⏳ New Fund</t>
        </is>
      </c>
      <c r="U519" s="100" t="inlineStr">
        <is>
          <t>MOMENTUM_ONLY</t>
        </is>
      </c>
    </row>
    <row r="520" ht="16" customHeight="1">
      <c r="A520" s="95" t="n">
        <v>516</v>
      </c>
      <c r="B520" s="96" t="inlineStr">
        <is>
          <t>ITI Large &amp; Midcap Fund - Regular Plan - Growth</t>
        </is>
      </c>
      <c r="C520" s="96" t="inlineStr">
        <is>
          <t>ITI Mutual Fund</t>
        </is>
      </c>
      <c r="D520" s="96" t="inlineStr">
        <is>
          <t>Large &amp; Mid Cap Fund</t>
        </is>
      </c>
      <c r="E520" s="96" t="inlineStr">
        <is>
          <t>Large &amp; Mid Cap Fund</t>
        </is>
      </c>
      <c r="F520" s="97" t="n">
        <v>-3.03</v>
      </c>
      <c r="G520" s="98" t="n">
        <v>5.21</v>
      </c>
      <c r="H520" s="97" t="n">
        <v>-3.7</v>
      </c>
      <c r="I520" s="97" t="n">
        <v>-7.79</v>
      </c>
      <c r="J520" s="98" t="n">
        <v>0</v>
      </c>
      <c r="K520" s="98" t="n">
        <v>0</v>
      </c>
      <c r="L520" s="73" t="n">
        <v>55.6</v>
      </c>
      <c r="M520" s="18" t="n">
        <v>0</v>
      </c>
      <c r="N520" s="19" t="n">
        <v>30.6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9" t="inlineStr">
        <is>
          <t>➡️ Neutral</t>
        </is>
      </c>
      <c r="S520" s="99" t="inlineStr">
        <is>
          <t>⏳ New Fund</t>
        </is>
      </c>
      <c r="T520" s="99" t="inlineStr">
        <is>
          <t>⏳ New Fund</t>
        </is>
      </c>
      <c r="U520" s="100" t="inlineStr">
        <is>
          <t>MOMENTUM_ONLY</t>
        </is>
      </c>
    </row>
    <row r="521" ht="16" customHeight="1">
      <c r="A521" s="95" t="n">
        <v>517</v>
      </c>
      <c r="B521" s="96" t="inlineStr">
        <is>
          <t>THE WEALTH COMPANY FLEXI CAP FUND - REGULAR GROWTH</t>
        </is>
      </c>
      <c r="C521" s="96" t="inlineStr">
        <is>
          <t>The Wealth Company Mutual Fund</t>
        </is>
      </c>
      <c r="D521" s="96" t="inlineStr">
        <is>
          <t>Flexi Cap Fund</t>
        </is>
      </c>
      <c r="E521" s="96" t="inlineStr">
        <is>
          <t>Flexi Cap Fund</t>
        </is>
      </c>
      <c r="F521" s="97" t="n">
        <v>-3.73</v>
      </c>
      <c r="G521" s="98" t="n">
        <v>2.76</v>
      </c>
      <c r="H521" s="97" t="n">
        <v>-5.43</v>
      </c>
      <c r="I521" s="98" t="n">
        <v>0</v>
      </c>
      <c r="J521" s="98" t="n">
        <v>0</v>
      </c>
      <c r="K521" s="98" t="n">
        <v>0</v>
      </c>
      <c r="L521" s="73" t="n">
        <v>55.3</v>
      </c>
      <c r="M521" s="18" t="n">
        <v>0</v>
      </c>
      <c r="N521" s="19" t="n">
        <v>30.4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9" t="inlineStr">
        <is>
          <t>➡️ Neutral</t>
        </is>
      </c>
      <c r="S521" s="99" t="inlineStr">
        <is>
          <t>⏳ New Fund</t>
        </is>
      </c>
      <c r="T521" s="99" t="inlineStr">
        <is>
          <t>⏳ New Fund</t>
        </is>
      </c>
      <c r="U521" s="100" t="inlineStr">
        <is>
          <t>MOMENTUM_ONLY</t>
        </is>
      </c>
    </row>
    <row r="522" ht="16" customHeight="1">
      <c r="A522" s="95" t="n">
        <v>518</v>
      </c>
      <c r="B522" s="96" t="inlineStr">
        <is>
          <t>Bank of India Business Cycle Fund - Regular Plan - Growth</t>
        </is>
      </c>
      <c r="C522" s="96" t="inlineStr">
        <is>
          <t>Bank of India Mutual Fund</t>
        </is>
      </c>
      <c r="D522" s="96" t="inlineStr">
        <is>
          <t>Sectoral/ Thematic</t>
        </is>
      </c>
      <c r="E522" s="96" t="inlineStr">
        <is>
          <t>Sectoral/ Thematic</t>
        </is>
      </c>
      <c r="F522" s="97" t="n">
        <v>-2.73</v>
      </c>
      <c r="G522" s="98" t="n">
        <v>5.08</v>
      </c>
      <c r="H522" s="97" t="n">
        <v>-1</v>
      </c>
      <c r="I522" s="97" t="n">
        <v>-3.89</v>
      </c>
      <c r="J522" s="98" t="n">
        <v>0</v>
      </c>
      <c r="K522" s="98" t="n">
        <v>0</v>
      </c>
      <c r="L522" s="73" t="n">
        <v>55</v>
      </c>
      <c r="M522" s="18" t="n">
        <v>0</v>
      </c>
      <c r="N522" s="19" t="n">
        <v>30.3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9" t="inlineStr">
        <is>
          <t>➡️ Neutral</t>
        </is>
      </c>
      <c r="S522" s="99" t="inlineStr">
        <is>
          <t>⏳ New Fund</t>
        </is>
      </c>
      <c r="T522" s="99" t="inlineStr">
        <is>
          <t>⏳ New Fund</t>
        </is>
      </c>
      <c r="U522" s="100" t="inlineStr">
        <is>
          <t>MOMENTUM_ONLY</t>
        </is>
      </c>
    </row>
    <row r="523" ht="16" customHeight="1">
      <c r="A523" s="95" t="n">
        <v>519</v>
      </c>
      <c r="B523" s="96" t="inlineStr">
        <is>
          <t>quant PSU Fund - Growth Option - Regular Plan</t>
        </is>
      </c>
      <c r="C523" s="96" t="inlineStr">
        <is>
          <t>quant Mutual Fund</t>
        </is>
      </c>
      <c r="D523" s="96" t="inlineStr">
        <is>
          <t>Sectoral/ Thematic</t>
        </is>
      </c>
      <c r="E523" s="96" t="inlineStr">
        <is>
          <t>Sectoral/ Thematic</t>
        </is>
      </c>
      <c r="F523" s="97" t="n">
        <v>-6.06</v>
      </c>
      <c r="G523" s="98" t="n">
        <v>8.359999999999999</v>
      </c>
      <c r="H523" s="98" t="n">
        <v>3.35</v>
      </c>
      <c r="I523" s="97" t="n">
        <v>-1.45</v>
      </c>
      <c r="J523" s="97" t="n">
        <v>-3.781498660600624</v>
      </c>
      <c r="K523" s="98" t="n">
        <v>0</v>
      </c>
      <c r="L523" s="73" t="n">
        <v>54.4</v>
      </c>
      <c r="M523" s="18" t="n">
        <v>0</v>
      </c>
      <c r="N523" s="19" t="n">
        <v>29.9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9" t="inlineStr">
        <is>
          <t>➡️ Neutral</t>
        </is>
      </c>
      <c r="S523" s="99" t="inlineStr">
        <is>
          <t>⏳ New Fund</t>
        </is>
      </c>
      <c r="T523" s="99" t="inlineStr">
        <is>
          <t>⏳ New Fund</t>
        </is>
      </c>
      <c r="U523" s="100" t="inlineStr">
        <is>
          <t>MOMENTUM_ONLY</t>
        </is>
      </c>
    </row>
    <row r="524" ht="16" customHeight="1">
      <c r="A524" s="95" t="n">
        <v>520</v>
      </c>
      <c r="B524" s="96" t="inlineStr">
        <is>
          <t>DSP Banking &amp; Financial Services Fund - Regular - Growth</t>
        </is>
      </c>
      <c r="C524" s="96" t="inlineStr">
        <is>
          <t>DSP Mutual Fund</t>
        </is>
      </c>
      <c r="D524" s="96" t="inlineStr">
        <is>
          <t>Sectoral/ Thematic</t>
        </is>
      </c>
      <c r="E524" s="96" t="inlineStr">
        <is>
          <t>Sectoral/ Thematic</t>
        </is>
      </c>
      <c r="F524" s="97" t="n">
        <v>-3.04</v>
      </c>
      <c r="G524" s="98" t="n">
        <v>2.03</v>
      </c>
      <c r="H524" s="97" t="n">
        <v>-2.6</v>
      </c>
      <c r="I524" s="98" t="n">
        <v>1.96</v>
      </c>
      <c r="J524" s="98" t="n">
        <v>13.54294341789806</v>
      </c>
      <c r="K524" s="98" t="n">
        <v>0</v>
      </c>
      <c r="L524" s="73" t="n">
        <v>54.2</v>
      </c>
      <c r="M524" s="18" t="n">
        <v>0</v>
      </c>
      <c r="N524" s="19" t="n">
        <v>29.8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9" t="inlineStr">
        <is>
          <t>➡️ Neutral</t>
        </is>
      </c>
      <c r="S524" s="99" t="inlineStr">
        <is>
          <t>⏳ New Fund</t>
        </is>
      </c>
      <c r="T524" s="99" t="inlineStr">
        <is>
          <t>⏳ New Fund</t>
        </is>
      </c>
      <c r="U524" s="100" t="inlineStr">
        <is>
          <t>MOMENTUM_ONLY</t>
        </is>
      </c>
    </row>
    <row r="525" ht="16" customHeight="1">
      <c r="A525" s="95" t="n">
        <v>521</v>
      </c>
      <c r="B525" s="96" t="inlineStr">
        <is>
          <t>Aditya Birla Sun Life Quant Fund - Regular Growth</t>
        </is>
      </c>
      <c r="C525" s="96" t="inlineStr">
        <is>
          <t>Aditya Birla Sun Life Mutual Fund</t>
        </is>
      </c>
      <c r="D525" s="96" t="inlineStr">
        <is>
          <t>Sectoral/ Thematic</t>
        </is>
      </c>
      <c r="E525" s="96" t="inlineStr">
        <is>
          <t>Sectoral/ Thematic</t>
        </is>
      </c>
      <c r="F525" s="97" t="n">
        <v>-2.72</v>
      </c>
      <c r="G525" s="98" t="n">
        <v>1.05</v>
      </c>
      <c r="H525" s="97" t="n">
        <v>-3.11</v>
      </c>
      <c r="I525" s="98" t="n">
        <v>1.9</v>
      </c>
      <c r="J525" s="98" t="n">
        <v>0</v>
      </c>
      <c r="K525" s="98" t="n">
        <v>0</v>
      </c>
      <c r="L525" s="73" t="n">
        <v>54</v>
      </c>
      <c r="M525" s="18" t="n">
        <v>0</v>
      </c>
      <c r="N525" s="19" t="n">
        <v>29.7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9" t="inlineStr">
        <is>
          <t>➡️ Neutral</t>
        </is>
      </c>
      <c r="S525" s="99" t="inlineStr">
        <is>
          <t>⏳ New Fund</t>
        </is>
      </c>
      <c r="T525" s="99" t="inlineStr">
        <is>
          <t>⏳ New Fund</t>
        </is>
      </c>
      <c r="U525" s="100" t="inlineStr">
        <is>
          <t>MOMENTUM_ONLY</t>
        </is>
      </c>
    </row>
    <row r="526" ht="16" customHeight="1">
      <c r="A526" s="95" t="n">
        <v>522</v>
      </c>
      <c r="B526" s="96" t="inlineStr">
        <is>
          <t>Baroda BNP Paribas Innovation Fund Regular plan - Growth Option</t>
        </is>
      </c>
      <c r="C526" s="96" t="inlineStr">
        <is>
          <t>Baroda BNP Paribas Mutual Fund</t>
        </is>
      </c>
      <c r="D526" s="96" t="inlineStr">
        <is>
          <t>Sectoral/ Thematic</t>
        </is>
      </c>
      <c r="E526" s="96" t="inlineStr">
        <is>
          <t>Sectoral/ Thematic</t>
        </is>
      </c>
      <c r="F526" s="97" t="n">
        <v>-3.91</v>
      </c>
      <c r="G526" s="98" t="n">
        <v>5.13</v>
      </c>
      <c r="H526" s="97" t="n">
        <v>-2.47</v>
      </c>
      <c r="I526" s="98" t="n">
        <v>2.31</v>
      </c>
      <c r="J526" s="98" t="n">
        <v>4.823661451029282</v>
      </c>
      <c r="K526" s="98" t="n">
        <v>0</v>
      </c>
      <c r="L526" s="73" t="n">
        <v>53.8</v>
      </c>
      <c r="M526" s="18" t="n">
        <v>0</v>
      </c>
      <c r="N526" s="19" t="n">
        <v>29.6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9" t="inlineStr">
        <is>
          <t>➡️ Neutral</t>
        </is>
      </c>
      <c r="S526" s="99" t="inlineStr">
        <is>
          <t>⏳ New Fund</t>
        </is>
      </c>
      <c r="T526" s="99" t="inlineStr">
        <is>
          <t>⏳ New Fund</t>
        </is>
      </c>
      <c r="U526" s="100" t="inlineStr">
        <is>
          <t>MOMENTUM_ONLY</t>
        </is>
      </c>
    </row>
    <row r="527" ht="16" customHeight="1">
      <c r="A527" s="95" t="n">
        <v>523</v>
      </c>
      <c r="B527" s="96" t="inlineStr">
        <is>
          <t>LIC MF Focused Fund-Regular Plan-Growth</t>
        </is>
      </c>
      <c r="C527" s="96" t="inlineStr">
        <is>
          <t>LIC Mutual Fund</t>
        </is>
      </c>
      <c r="D527" s="96" t="inlineStr">
        <is>
          <t>Focused Fund</t>
        </is>
      </c>
      <c r="E527" s="96" t="inlineStr">
        <is>
          <t>Focused Fund</t>
        </is>
      </c>
      <c r="F527" s="97" t="n">
        <v>-1.05</v>
      </c>
      <c r="G527" s="98" t="n">
        <v>1.85</v>
      </c>
      <c r="H527" s="97" t="n">
        <v>-5.67</v>
      </c>
      <c r="I527" s="97" t="n">
        <v>-9.73</v>
      </c>
      <c r="J527" s="98" t="n">
        <v>0.1299156096718157</v>
      </c>
      <c r="K527" s="98" t="n">
        <v>0</v>
      </c>
      <c r="L527" s="73" t="n">
        <v>53.5</v>
      </c>
      <c r="M527" s="18" t="n">
        <v>0</v>
      </c>
      <c r="N527" s="19" t="n">
        <v>29.4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9" t="inlineStr">
        <is>
          <t>➡️ Neutral</t>
        </is>
      </c>
      <c r="S527" s="99" t="inlineStr">
        <is>
          <t>⏳ New Fund</t>
        </is>
      </c>
      <c r="T527" s="99" t="inlineStr">
        <is>
          <t>⏳ New Fund</t>
        </is>
      </c>
      <c r="U527" s="100" t="inlineStr">
        <is>
          <t>MOMENTUM_ONLY</t>
        </is>
      </c>
    </row>
    <row r="528" ht="16" customHeight="1">
      <c r="A528" s="95" t="n">
        <v>524</v>
      </c>
      <c r="B528" s="96" t="inlineStr">
        <is>
          <t>Kotak Energy Opportunities Fund-Regular-Growth</t>
        </is>
      </c>
      <c r="C528" s="96" t="inlineStr">
        <is>
          <t>Kotak Mahindra Mutual Fund</t>
        </is>
      </c>
      <c r="D528" s="96" t="inlineStr">
        <is>
          <t>Sectoral/ Thematic</t>
        </is>
      </c>
      <c r="E528" s="96" t="inlineStr">
        <is>
          <t>Sectoral/ Thematic</t>
        </is>
      </c>
      <c r="F528" s="97" t="n">
        <v>-3.44</v>
      </c>
      <c r="G528" s="98" t="n">
        <v>1.28</v>
      </c>
      <c r="H528" s="98" t="n">
        <v>2.83</v>
      </c>
      <c r="I528" s="97" t="n">
        <v>-0.2</v>
      </c>
      <c r="J528" s="98" t="n">
        <v>0</v>
      </c>
      <c r="K528" s="98" t="n">
        <v>0</v>
      </c>
      <c r="L528" s="73" t="n">
        <v>53.2</v>
      </c>
      <c r="M528" s="18" t="n">
        <v>0</v>
      </c>
      <c r="N528" s="19" t="n">
        <v>29.3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9" t="inlineStr">
        <is>
          <t>➡️ Neutral</t>
        </is>
      </c>
      <c r="S528" s="99" t="inlineStr">
        <is>
          <t>⏳ New Fund</t>
        </is>
      </c>
      <c r="T528" s="99" t="inlineStr">
        <is>
          <t>⏳ New Fund</t>
        </is>
      </c>
      <c r="U528" s="100" t="inlineStr">
        <is>
          <t>MOMENTUM_ONLY</t>
        </is>
      </c>
    </row>
    <row r="529" ht="16" customHeight="1">
      <c r="A529" s="95" t="n">
        <v>525</v>
      </c>
      <c r="B529" s="96" t="inlineStr">
        <is>
          <t>Shriram Multi Sector Rotation Fund - Regular Plan Growth Option</t>
        </is>
      </c>
      <c r="C529" s="96" t="inlineStr">
        <is>
          <t>Shriram Mutual Fund</t>
        </is>
      </c>
      <c r="D529" s="96" t="inlineStr">
        <is>
          <t>Sectoral/ Thematic</t>
        </is>
      </c>
      <c r="E529" s="96" t="inlineStr">
        <is>
          <t>Sectoral/ Thematic</t>
        </is>
      </c>
      <c r="F529" s="97" t="n">
        <v>-1.9</v>
      </c>
      <c r="G529" s="98" t="n">
        <v>3.22</v>
      </c>
      <c r="H529" s="97" t="n">
        <v>-4.8</v>
      </c>
      <c r="I529" s="97" t="n">
        <v>-4.34</v>
      </c>
      <c r="J529" s="98" t="n">
        <v>0</v>
      </c>
      <c r="K529" s="98" t="n">
        <v>0</v>
      </c>
      <c r="L529" s="73" t="n">
        <v>52.7</v>
      </c>
      <c r="M529" s="18" t="n">
        <v>0</v>
      </c>
      <c r="N529" s="19" t="n">
        <v>29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9" t="inlineStr">
        <is>
          <t>➡️ Neutral</t>
        </is>
      </c>
      <c r="S529" s="99" t="inlineStr">
        <is>
          <t>⏳ New Fund</t>
        </is>
      </c>
      <c r="T529" s="99" t="inlineStr">
        <is>
          <t>⏳ New Fund</t>
        </is>
      </c>
      <c r="U529" s="100" t="inlineStr">
        <is>
          <t>MOMENTUM_ONLY</t>
        </is>
      </c>
    </row>
    <row r="530" ht="16" customHeight="1">
      <c r="A530" s="95" t="n">
        <v>526</v>
      </c>
      <c r="B530" s="96" t="inlineStr">
        <is>
          <t>HSBC Financial Services Fund - Regular Growth</t>
        </is>
      </c>
      <c r="C530" s="96" t="inlineStr">
        <is>
          <t>HSBC Mutual Fund</t>
        </is>
      </c>
      <c r="D530" s="96" t="inlineStr">
        <is>
          <t>Sectoral/ Thematic</t>
        </is>
      </c>
      <c r="E530" s="96" t="inlineStr">
        <is>
          <t>Sectoral/ Thematic</t>
        </is>
      </c>
      <c r="F530" s="97" t="n">
        <v>-3.22</v>
      </c>
      <c r="G530" s="98" t="n">
        <v>2.36</v>
      </c>
      <c r="H530" s="97" t="n">
        <v>-1.97</v>
      </c>
      <c r="I530" s="98" t="n">
        <v>0.27</v>
      </c>
      <c r="J530" s="98" t="n">
        <v>0</v>
      </c>
      <c r="K530" s="98" t="n">
        <v>0</v>
      </c>
      <c r="L530" s="73" t="n">
        <v>52.6</v>
      </c>
      <c r="M530" s="18" t="n">
        <v>0</v>
      </c>
      <c r="N530" s="19" t="n">
        <v>28.9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9" t="inlineStr">
        <is>
          <t>➡️ Neutral</t>
        </is>
      </c>
      <c r="S530" s="99" t="inlineStr">
        <is>
          <t>⏳ New Fund</t>
        </is>
      </c>
      <c r="T530" s="99" t="inlineStr">
        <is>
          <t>⏳ New Fund</t>
        </is>
      </c>
      <c r="U530" s="100" t="inlineStr">
        <is>
          <t>MOMENTUM_ONLY</t>
        </is>
      </c>
    </row>
    <row r="531" ht="16" customHeight="1">
      <c r="A531" s="95" t="n">
        <v>527</v>
      </c>
      <c r="B531" s="96" t="inlineStr">
        <is>
          <t>DSP Business Cycle Fund - Regular - Growth</t>
        </is>
      </c>
      <c r="C531" s="96" t="inlineStr">
        <is>
          <t>DSP Mutual Fund</t>
        </is>
      </c>
      <c r="D531" s="96" t="inlineStr">
        <is>
          <t>Sectoral/ Thematic</t>
        </is>
      </c>
      <c r="E531" s="96" t="inlineStr">
        <is>
          <t>Sectoral/ Thematic</t>
        </is>
      </c>
      <c r="F531" s="97" t="n">
        <v>-2.5</v>
      </c>
      <c r="G531" s="98" t="n">
        <v>1.51</v>
      </c>
      <c r="H531" s="97" t="n">
        <v>-3.43</v>
      </c>
      <c r="I531" s="97" t="n">
        <v>-1.22</v>
      </c>
      <c r="J531" s="98" t="n">
        <v>0</v>
      </c>
      <c r="K531" s="98" t="n">
        <v>0</v>
      </c>
      <c r="L531" s="73" t="n">
        <v>52.4</v>
      </c>
      <c r="M531" s="18" t="n">
        <v>0</v>
      </c>
      <c r="N531" s="19" t="n">
        <v>28.8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9" t="inlineStr">
        <is>
          <t>➡️ Neutral</t>
        </is>
      </c>
      <c r="S531" s="99" t="inlineStr">
        <is>
          <t>⏳ New Fund</t>
        </is>
      </c>
      <c r="T531" s="99" t="inlineStr">
        <is>
          <t>⏳ New Fund</t>
        </is>
      </c>
      <c r="U531" s="100" t="inlineStr">
        <is>
          <t>MOMENTUM_ONLY</t>
        </is>
      </c>
    </row>
    <row r="532" ht="16" customHeight="1">
      <c r="A532" s="95" t="n">
        <v>528</v>
      </c>
      <c r="B532" s="96" t="inlineStr">
        <is>
          <t>Nippon India Innovation Fund-Regular Plan-Growth Option</t>
        </is>
      </c>
      <c r="C532" s="96" t="inlineStr">
        <is>
          <t>Nippon India Mutual Fund</t>
        </is>
      </c>
      <c r="D532" s="96" t="inlineStr">
        <is>
          <t>Sectoral/ Thematic</t>
        </is>
      </c>
      <c r="E532" s="96" t="inlineStr">
        <is>
          <t>Sectoral/ Thematic</t>
        </is>
      </c>
      <c r="F532" s="97" t="n">
        <v>-2.12</v>
      </c>
      <c r="G532" s="98" t="n">
        <v>4.51</v>
      </c>
      <c r="H532" s="97" t="n">
        <v>-6.36</v>
      </c>
      <c r="I532" s="97" t="n">
        <v>-3.49</v>
      </c>
      <c r="J532" s="98" t="n">
        <v>0.6329965766696199</v>
      </c>
      <c r="K532" s="98" t="n">
        <v>0</v>
      </c>
      <c r="L532" s="73" t="n">
        <v>51.9</v>
      </c>
      <c r="M532" s="18" t="n">
        <v>0</v>
      </c>
      <c r="N532" s="19" t="n">
        <v>28.5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9" t="inlineStr">
        <is>
          <t>➡️ Neutral</t>
        </is>
      </c>
      <c r="S532" s="99" t="inlineStr">
        <is>
          <t>⏳ New Fund</t>
        </is>
      </c>
      <c r="T532" s="99" t="inlineStr">
        <is>
          <t>⏳ New Fund</t>
        </is>
      </c>
      <c r="U532" s="100" t="inlineStr">
        <is>
          <t>MOMENTUM_ONLY</t>
        </is>
      </c>
    </row>
    <row r="533" ht="16" customHeight="1">
      <c r="A533" s="95" t="n">
        <v>529</v>
      </c>
      <c r="B533" s="96" t="inlineStr">
        <is>
          <t>Aditya Birla Sun Life Conglomerate Fund-Regular Growth</t>
        </is>
      </c>
      <c r="C533" s="96" t="inlineStr">
        <is>
          <t>Aditya Birla Sun Life Mutual Fund</t>
        </is>
      </c>
      <c r="D533" s="96" t="inlineStr">
        <is>
          <t>Sectoral/ Thematic</t>
        </is>
      </c>
      <c r="E533" s="96" t="inlineStr">
        <is>
          <t>Sectoral/ Thematic</t>
        </is>
      </c>
      <c r="F533" s="97" t="n">
        <v>-2.55</v>
      </c>
      <c r="G533" s="98" t="n">
        <v>6.07</v>
      </c>
      <c r="H533" s="97" t="n">
        <v>-5.5</v>
      </c>
      <c r="I533" s="97" t="n">
        <v>-4.45</v>
      </c>
      <c r="J533" s="98" t="n">
        <v>0</v>
      </c>
      <c r="K533" s="98" t="n">
        <v>0</v>
      </c>
      <c r="L533" s="73" t="n">
        <v>51.5</v>
      </c>
      <c r="M533" s="18" t="n">
        <v>0</v>
      </c>
      <c r="N533" s="19" t="n">
        <v>28.3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9" t="inlineStr">
        <is>
          <t>➡️ Neutral</t>
        </is>
      </c>
      <c r="S533" s="99" t="inlineStr">
        <is>
          <t>⏳ New Fund</t>
        </is>
      </c>
      <c r="T533" s="99" t="inlineStr">
        <is>
          <t>⏳ New Fund</t>
        </is>
      </c>
      <c r="U533" s="100" t="inlineStr">
        <is>
          <t>MOMENTUM_ONLY</t>
        </is>
      </c>
    </row>
    <row r="534" ht="16" customHeight="1">
      <c r="A534" s="95" t="n">
        <v>530</v>
      </c>
      <c r="B534" s="96" t="inlineStr">
        <is>
          <t>quant Teck Fund - Growth Option - Regular Plan</t>
        </is>
      </c>
      <c r="C534" s="96" t="inlineStr">
        <is>
          <t>quant Mutual Fund</t>
        </is>
      </c>
      <c r="D534" s="96" t="inlineStr">
        <is>
          <t>Sectoral/ Thematic</t>
        </is>
      </c>
      <c r="E534" s="96" t="inlineStr">
        <is>
          <t>Sectoral/ Thematic</t>
        </is>
      </c>
      <c r="F534" s="97" t="n">
        <v>-0.24</v>
      </c>
      <c r="G534" s="98" t="n">
        <v>19.89</v>
      </c>
      <c r="H534" s="97" t="n">
        <v>-8.880000000000001</v>
      </c>
      <c r="I534" s="97" t="n">
        <v>-19.67</v>
      </c>
      <c r="J534" s="97" t="n">
        <v>-7.820826647230128</v>
      </c>
      <c r="K534" s="98" t="n">
        <v>0</v>
      </c>
      <c r="L534" s="73" t="n">
        <v>51.3</v>
      </c>
      <c r="M534" s="18" t="n">
        <v>0</v>
      </c>
      <c r="N534" s="19" t="n">
        <v>28.2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9" t="inlineStr">
        <is>
          <t>➡️ Neutral</t>
        </is>
      </c>
      <c r="S534" s="99" t="inlineStr">
        <is>
          <t>⏳ New Fund</t>
        </is>
      </c>
      <c r="T534" s="99" t="inlineStr">
        <is>
          <t>⏳ New Fund</t>
        </is>
      </c>
      <c r="U534" s="100" t="inlineStr">
        <is>
          <t>MOMENTUM_ONLY</t>
        </is>
      </c>
    </row>
    <row r="535" ht="16" customHeight="1">
      <c r="A535" s="95" t="n">
        <v>531</v>
      </c>
      <c r="B535" s="96" t="inlineStr">
        <is>
          <t>ICICI Prudential Active Momentum Fund - Growth</t>
        </is>
      </c>
      <c r="C535" s="96" t="inlineStr">
        <is>
          <t>ICICI Prudential Mutual Fund</t>
        </is>
      </c>
      <c r="D535" s="96" t="inlineStr">
        <is>
          <t>Sectoral/ Thematic</t>
        </is>
      </c>
      <c r="E535" s="96" t="inlineStr">
        <is>
          <t>Sectoral/ Thematic</t>
        </is>
      </c>
      <c r="F535" s="97" t="n">
        <v>-3.27</v>
      </c>
      <c r="G535" s="98" t="n">
        <v>1.87</v>
      </c>
      <c r="H535" s="97" t="n">
        <v>-1.34</v>
      </c>
      <c r="I535" s="98" t="n">
        <v>0</v>
      </c>
      <c r="J535" s="98" t="n">
        <v>0</v>
      </c>
      <c r="K535" s="98" t="n">
        <v>0</v>
      </c>
      <c r="L535" s="78" t="n">
        <v>49.9</v>
      </c>
      <c r="M535" s="18" t="n">
        <v>0</v>
      </c>
      <c r="N535" s="19" t="n">
        <v>27.5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9" t="inlineStr">
        <is>
          <t>➡️ Neutral</t>
        </is>
      </c>
      <c r="S535" s="99" t="inlineStr">
        <is>
          <t>⏳ New Fund</t>
        </is>
      </c>
      <c r="T535" s="99" t="inlineStr">
        <is>
          <t>⏳ New Fund</t>
        </is>
      </c>
      <c r="U535" s="100" t="inlineStr">
        <is>
          <t>MOMENTUM_ONLY</t>
        </is>
      </c>
    </row>
    <row r="536" ht="16" customHeight="1">
      <c r="A536" s="95" t="n">
        <v>532</v>
      </c>
      <c r="B536" s="96" t="inlineStr">
        <is>
          <t>HDFC Transportation and Logistics Fund - Growth Option</t>
        </is>
      </c>
      <c r="C536" s="96" t="inlineStr">
        <is>
          <t>HDFC Mutual Fund</t>
        </is>
      </c>
      <c r="D536" s="96" t="inlineStr">
        <is>
          <t>Sectoral/ Thematic</t>
        </is>
      </c>
      <c r="E536" s="96" t="inlineStr">
        <is>
          <t>Sectoral/ Thematic</t>
        </is>
      </c>
      <c r="F536" s="97" t="n">
        <v>-3.37</v>
      </c>
      <c r="G536" s="98" t="n">
        <v>1.9</v>
      </c>
      <c r="H536" s="97" t="n">
        <v>-6.86</v>
      </c>
      <c r="I536" s="98" t="n">
        <v>8.300000000000001</v>
      </c>
      <c r="J536" s="98" t="n">
        <v>4.857045542967686</v>
      </c>
      <c r="K536" s="98" t="n">
        <v>0</v>
      </c>
      <c r="L536" s="78" t="n">
        <v>49.7</v>
      </c>
      <c r="M536" s="18" t="n">
        <v>0</v>
      </c>
      <c r="N536" s="19" t="n">
        <v>27.4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9" t="inlineStr">
        <is>
          <t>➡️ Neutral</t>
        </is>
      </c>
      <c r="S536" s="99" t="inlineStr">
        <is>
          <t>⏳ New Fund</t>
        </is>
      </c>
      <c r="T536" s="99" t="inlineStr">
        <is>
          <t>⏳ New Fund</t>
        </is>
      </c>
      <c r="U536" s="100" t="inlineStr">
        <is>
          <t>MOMENTUM_ONLY</t>
        </is>
      </c>
    </row>
    <row r="537" ht="16" customHeight="1">
      <c r="A537" s="95" t="n">
        <v>533</v>
      </c>
      <c r="B537" s="96" t="inlineStr">
        <is>
          <t>Kotak Active Momentum Fund - Regular Plan - Growth</t>
        </is>
      </c>
      <c r="C537" s="96" t="inlineStr">
        <is>
          <t>Kotak Mahindra Mutual Fund</t>
        </is>
      </c>
      <c r="D537" s="96" t="inlineStr">
        <is>
          <t>Sectoral/ Thematic</t>
        </is>
      </c>
      <c r="E537" s="96" t="inlineStr">
        <is>
          <t>Sectoral/ Thematic</t>
        </is>
      </c>
      <c r="F537" s="97" t="n">
        <v>-3.16</v>
      </c>
      <c r="G537" s="98" t="n">
        <v>1.94</v>
      </c>
      <c r="H537" s="97" t="n">
        <v>-2.8</v>
      </c>
      <c r="I537" s="98" t="n">
        <v>0</v>
      </c>
      <c r="J537" s="98" t="n">
        <v>0</v>
      </c>
      <c r="K537" s="98" t="n">
        <v>0</v>
      </c>
      <c r="L537" s="78" t="n">
        <v>49.1</v>
      </c>
      <c r="M537" s="18" t="n">
        <v>0</v>
      </c>
      <c r="N537" s="19" t="n">
        <v>27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9" t="inlineStr">
        <is>
          <t>➡️ Neutral</t>
        </is>
      </c>
      <c r="S537" s="99" t="inlineStr">
        <is>
          <t>⏳ New Fund</t>
        </is>
      </c>
      <c r="T537" s="99" t="inlineStr">
        <is>
          <t>⏳ New Fund</t>
        </is>
      </c>
      <c r="U537" s="100" t="inlineStr">
        <is>
          <t>MOMENTUM_ONLY</t>
        </is>
      </c>
    </row>
    <row r="538" ht="16" customHeight="1">
      <c r="A538" s="95" t="n">
        <v>534</v>
      </c>
      <c r="B538" s="96" t="inlineStr">
        <is>
          <t>Motilal Owsal Manufacturing Fund - Regular Plan - Growth</t>
        </is>
      </c>
      <c r="C538" s="96" t="inlineStr">
        <is>
          <t>Motilal Oswal Mutual Fund</t>
        </is>
      </c>
      <c r="D538" s="96" t="inlineStr">
        <is>
          <t>Sectoral/ Thematic</t>
        </is>
      </c>
      <c r="E538" s="96" t="inlineStr">
        <is>
          <t>Sectoral/ Thematic</t>
        </is>
      </c>
      <c r="F538" s="97" t="n">
        <v>-3.28</v>
      </c>
      <c r="G538" s="98" t="n">
        <v>4.66</v>
      </c>
      <c r="H538" s="97" t="n">
        <v>-2.44</v>
      </c>
      <c r="I538" s="97" t="n">
        <v>-3.71</v>
      </c>
      <c r="J538" s="98" t="n">
        <v>0</v>
      </c>
      <c r="K538" s="98" t="n">
        <v>0</v>
      </c>
      <c r="L538" s="78" t="n">
        <v>49</v>
      </c>
      <c r="M538" s="18" t="n">
        <v>0</v>
      </c>
      <c r="N538" s="19" t="n">
        <v>27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9" t="inlineStr">
        <is>
          <t>➡️ Neutral</t>
        </is>
      </c>
      <c r="S538" s="99" t="inlineStr">
        <is>
          <t>⏳ New Fund</t>
        </is>
      </c>
      <c r="T538" s="99" t="inlineStr">
        <is>
          <t>⏳ New Fund</t>
        </is>
      </c>
      <c r="U538" s="100" t="inlineStr">
        <is>
          <t>MOMENTUM_ONLY</t>
        </is>
      </c>
    </row>
    <row r="539" ht="16" customHeight="1">
      <c r="A539" s="95" t="n">
        <v>535</v>
      </c>
      <c r="B539" s="96" t="inlineStr">
        <is>
          <t>Franklin India Multi Cap Fund - Growth</t>
        </is>
      </c>
      <c r="C539" s="96" t="inlineStr">
        <is>
          <t>Franklin Templeton Mutual Fund</t>
        </is>
      </c>
      <c r="D539" s="96" t="inlineStr">
        <is>
          <t>Multi Cap Fund</t>
        </is>
      </c>
      <c r="E539" s="96" t="inlineStr">
        <is>
          <t>Multi Cap Fund</t>
        </is>
      </c>
      <c r="F539" s="97" t="n">
        <v>-2.24</v>
      </c>
      <c r="G539" s="98" t="n">
        <v>4.36</v>
      </c>
      <c r="H539" s="97" t="n">
        <v>-4.88</v>
      </c>
      <c r="I539" s="97" t="n">
        <v>-0.8100000000000001</v>
      </c>
      <c r="J539" s="98" t="n">
        <v>0</v>
      </c>
      <c r="K539" s="98" t="n">
        <v>0</v>
      </c>
      <c r="L539" s="78" t="n">
        <v>48.9</v>
      </c>
      <c r="M539" s="18" t="n">
        <v>0</v>
      </c>
      <c r="N539" s="19" t="n">
        <v>26.9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9" t="inlineStr">
        <is>
          <t>➡️ Neutral</t>
        </is>
      </c>
      <c r="S539" s="99" t="inlineStr">
        <is>
          <t>⏳ New Fund</t>
        </is>
      </c>
      <c r="T539" s="99" t="inlineStr">
        <is>
          <t>⏳ New Fund</t>
        </is>
      </c>
      <c r="U539" s="100" t="inlineStr">
        <is>
          <t>MOMENTUM_ONLY</t>
        </is>
      </c>
    </row>
    <row r="540" ht="16" customHeight="1">
      <c r="A540" s="95" t="n">
        <v>536</v>
      </c>
      <c r="B540" s="96" t="inlineStr">
        <is>
          <t>Motilal Oswal Multi Cap Fund Regular Plan Growth</t>
        </is>
      </c>
      <c r="C540" s="96" t="inlineStr">
        <is>
          <t>Motilal Oswal Mutual Fund</t>
        </is>
      </c>
      <c r="D540" s="96" t="inlineStr">
        <is>
          <t>Multi Cap Fund</t>
        </is>
      </c>
      <c r="E540" s="96" t="inlineStr">
        <is>
          <t>Multi Cap Fund</t>
        </is>
      </c>
      <c r="F540" s="97" t="n">
        <v>-1.36</v>
      </c>
      <c r="G540" s="98" t="n">
        <v>10.45</v>
      </c>
      <c r="H540" s="97" t="n">
        <v>-7.77</v>
      </c>
      <c r="I540" s="97" t="n">
        <v>-7.52</v>
      </c>
      <c r="J540" s="98" t="n">
        <v>0</v>
      </c>
      <c r="K540" s="98" t="n">
        <v>0</v>
      </c>
      <c r="L540" s="78" t="n">
        <v>48.6</v>
      </c>
      <c r="M540" s="18" t="n">
        <v>0</v>
      </c>
      <c r="N540" s="19" t="n">
        <v>26.7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9" t="inlineStr">
        <is>
          <t>➡️ Neutral</t>
        </is>
      </c>
      <c r="S540" s="99" t="inlineStr">
        <is>
          <t>⏳ New Fund</t>
        </is>
      </c>
      <c r="T540" s="99" t="inlineStr">
        <is>
          <t>⏳ New Fund</t>
        </is>
      </c>
      <c r="U540" s="100" t="inlineStr">
        <is>
          <t>MOMENTUM_ONLY</t>
        </is>
      </c>
    </row>
    <row r="541" ht="16" customHeight="1">
      <c r="A541" s="95" t="n">
        <v>537</v>
      </c>
      <c r="B541" s="96" t="inlineStr">
        <is>
          <t>DSP Multicap Fund - Regular - Growth</t>
        </is>
      </c>
      <c r="C541" s="96" t="inlineStr">
        <is>
          <t>DSP Mutual Fund</t>
        </is>
      </c>
      <c r="D541" s="96" t="inlineStr">
        <is>
          <t>Multi Cap Fund</t>
        </is>
      </c>
      <c r="E541" s="96" t="inlineStr">
        <is>
          <t>Multi Cap Fund</t>
        </is>
      </c>
      <c r="F541" s="97" t="n">
        <v>-2.39</v>
      </c>
      <c r="G541" s="98" t="n">
        <v>5.22</v>
      </c>
      <c r="H541" s="97" t="n">
        <v>-3.54</v>
      </c>
      <c r="I541" s="97" t="n">
        <v>-3.95</v>
      </c>
      <c r="J541" s="98" t="n">
        <v>1.331140327147207</v>
      </c>
      <c r="K541" s="98" t="n">
        <v>0</v>
      </c>
      <c r="L541" s="78" t="n">
        <v>48.4</v>
      </c>
      <c r="M541" s="18" t="n">
        <v>0</v>
      </c>
      <c r="N541" s="19" t="n">
        <v>26.6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9" t="inlineStr">
        <is>
          <t>➡️ Neutral</t>
        </is>
      </c>
      <c r="S541" s="99" t="inlineStr">
        <is>
          <t>⏳ New Fund</t>
        </is>
      </c>
      <c r="T541" s="99" t="inlineStr">
        <is>
          <t>⏳ New Fund</t>
        </is>
      </c>
      <c r="U541" s="100" t="inlineStr">
        <is>
          <t>MOMENTUM_ONLY</t>
        </is>
      </c>
    </row>
    <row r="542" ht="16" customHeight="1">
      <c r="A542" s="95" t="n">
        <v>538</v>
      </c>
      <c r="B542" s="96" t="inlineStr">
        <is>
          <t>ITI Bharat Consumption Fund - Regular Plan Plan - Growth</t>
        </is>
      </c>
      <c r="C542" s="96" t="inlineStr">
        <is>
          <t>ITI Mutual Fund</t>
        </is>
      </c>
      <c r="D542" s="96" t="inlineStr">
        <is>
          <t>Sectoral/ Thematic</t>
        </is>
      </c>
      <c r="E542" s="96" t="inlineStr">
        <is>
          <t>Sectoral/ Thematic</t>
        </is>
      </c>
      <c r="F542" s="97" t="n">
        <v>-2.25</v>
      </c>
      <c r="G542" s="98" t="n">
        <v>3.64</v>
      </c>
      <c r="H542" s="97" t="n">
        <v>-6.64</v>
      </c>
      <c r="I542" s="97" t="n">
        <v>-3.99</v>
      </c>
      <c r="J542" s="98" t="n">
        <v>0</v>
      </c>
      <c r="K542" s="98" t="n">
        <v>0</v>
      </c>
      <c r="L542" s="78" t="n">
        <v>48.2</v>
      </c>
      <c r="M542" s="18" t="n">
        <v>0</v>
      </c>
      <c r="N542" s="19" t="n">
        <v>26.5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9" t="inlineStr">
        <is>
          <t>➡️ Neutral</t>
        </is>
      </c>
      <c r="S542" s="99" t="inlineStr">
        <is>
          <t>⏳ New Fund</t>
        </is>
      </c>
      <c r="T542" s="99" t="inlineStr">
        <is>
          <t>⏳ New Fund</t>
        </is>
      </c>
      <c r="U542" s="100" t="inlineStr">
        <is>
          <t>MOMENTUM_ONLY</t>
        </is>
      </c>
    </row>
    <row r="543" ht="16" customHeight="1">
      <c r="A543" s="95" t="n">
        <v>539</v>
      </c>
      <c r="B543" s="96" t="inlineStr">
        <is>
          <t>Baroda BNP Paribas Energy Opportunities Fund - Regular Plan - Growth Option</t>
        </is>
      </c>
      <c r="C543" s="96" t="inlineStr">
        <is>
          <t>Baroda BNP Paribas Mutual Fund</t>
        </is>
      </c>
      <c r="D543" s="96" t="inlineStr">
        <is>
          <t>Sectoral/ Thematic</t>
        </is>
      </c>
      <c r="E543" s="96" t="inlineStr">
        <is>
          <t>Sectoral/ Thematic</t>
        </is>
      </c>
      <c r="F543" s="97" t="n">
        <v>-4.84</v>
      </c>
      <c r="G543" s="97" t="n">
        <v>-0.61</v>
      </c>
      <c r="H543" s="98" t="n">
        <v>2.72</v>
      </c>
      <c r="I543" s="98" t="n">
        <v>1.65</v>
      </c>
      <c r="J543" s="98" t="n">
        <v>0</v>
      </c>
      <c r="K543" s="98" t="n">
        <v>0</v>
      </c>
      <c r="L543" s="78" t="n">
        <v>48</v>
      </c>
      <c r="M543" s="18" t="n">
        <v>0</v>
      </c>
      <c r="N543" s="19" t="n">
        <v>26.4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9" t="inlineStr">
        <is>
          <t>➡️ Neutral</t>
        </is>
      </c>
      <c r="S543" s="99" t="inlineStr">
        <is>
          <t>⏳ New Fund</t>
        </is>
      </c>
      <c r="T543" s="99" t="inlineStr">
        <is>
          <t>⏳ New Fund</t>
        </is>
      </c>
      <c r="U543" s="100" t="inlineStr">
        <is>
          <t>MOMENTUM_ONLY</t>
        </is>
      </c>
    </row>
    <row r="544" ht="16" customHeight="1">
      <c r="A544" s="95" t="n">
        <v>540</v>
      </c>
      <c r="B544" s="96" t="inlineStr">
        <is>
          <t>Baroda BNP Paribas Energy Opportunities Fund - Regular Plan - ICDW Option</t>
        </is>
      </c>
      <c r="C544" s="96" t="inlineStr">
        <is>
          <t>Baroda BNP Paribas Mutual Fund</t>
        </is>
      </c>
      <c r="D544" s="96" t="inlineStr">
        <is>
          <t>Sectoral/ Thematic</t>
        </is>
      </c>
      <c r="E544" s="96" t="inlineStr">
        <is>
          <t>Sectoral/ Thematic</t>
        </is>
      </c>
      <c r="F544" s="97" t="n">
        <v>-4.84</v>
      </c>
      <c r="G544" s="97" t="n">
        <v>-0.61</v>
      </c>
      <c r="H544" s="98" t="n">
        <v>2.72</v>
      </c>
      <c r="I544" s="98" t="n">
        <v>1.65</v>
      </c>
      <c r="J544" s="98" t="n">
        <v>0</v>
      </c>
      <c r="K544" s="98" t="n">
        <v>0</v>
      </c>
      <c r="L544" s="78" t="n">
        <v>48</v>
      </c>
      <c r="M544" s="18" t="n">
        <v>0</v>
      </c>
      <c r="N544" s="19" t="n">
        <v>26.4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9" t="inlineStr">
        <is>
          <t>➡️ Neutral</t>
        </is>
      </c>
      <c r="S544" s="99" t="inlineStr">
        <is>
          <t>⏳ New Fund</t>
        </is>
      </c>
      <c r="T544" s="99" t="inlineStr">
        <is>
          <t>⏳ New Fund</t>
        </is>
      </c>
      <c r="U544" s="100" t="inlineStr">
        <is>
          <t>MOMENTUM_ONLY</t>
        </is>
      </c>
    </row>
    <row r="545" ht="16" customHeight="1">
      <c r="A545" s="95" t="n">
        <v>541</v>
      </c>
      <c r="B545" s="96" t="inlineStr">
        <is>
          <t>CAPITALMIND FLEXI CAP FUND REGULAR GROWTH</t>
        </is>
      </c>
      <c r="C545" s="96" t="inlineStr">
        <is>
          <t>Capitalmind Mutual Fund</t>
        </is>
      </c>
      <c r="D545" s="96" t="inlineStr">
        <is>
          <t>Flexi Cap Fund</t>
        </is>
      </c>
      <c r="E545" s="96" t="inlineStr">
        <is>
          <t>Flexi Cap Fund</t>
        </is>
      </c>
      <c r="F545" s="97" t="n">
        <v>-3.56</v>
      </c>
      <c r="G545" s="97" t="n">
        <v>-3.29</v>
      </c>
      <c r="H545" s="97" t="n">
        <v>-4.97</v>
      </c>
      <c r="I545" s="98" t="n">
        <v>0</v>
      </c>
      <c r="J545" s="98" t="n">
        <v>0</v>
      </c>
      <c r="K545" s="98" t="n">
        <v>0</v>
      </c>
      <c r="L545" s="78" t="n">
        <v>47.2</v>
      </c>
      <c r="M545" s="18" t="n">
        <v>0</v>
      </c>
      <c r="N545" s="19" t="n">
        <v>25.9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99" t="inlineStr">
        <is>
          <t>➡️ Neutral</t>
        </is>
      </c>
      <c r="S545" s="99" t="inlineStr">
        <is>
          <t>⏳ New Fund</t>
        </is>
      </c>
      <c r="T545" s="99" t="inlineStr">
        <is>
          <t>⏳ New Fund</t>
        </is>
      </c>
      <c r="U545" s="100" t="inlineStr">
        <is>
          <t>MOMENTUM_ONLY</t>
        </is>
      </c>
    </row>
    <row r="546" ht="16" customHeight="1">
      <c r="A546" s="95" t="n">
        <v>542</v>
      </c>
      <c r="B546" s="96" t="inlineStr">
        <is>
          <t>NJ ELSS Tax Saver Scheme Regular Growth</t>
        </is>
      </c>
      <c r="C546" s="96" t="inlineStr">
        <is>
          <t>NJ Mutual Fund</t>
        </is>
      </c>
      <c r="D546" s="96" t="inlineStr">
        <is>
          <t>Elss</t>
        </is>
      </c>
      <c r="E546" s="96" t="inlineStr">
        <is>
          <t>Elss</t>
        </is>
      </c>
      <c r="F546" s="97" t="n">
        <v>-3.28</v>
      </c>
      <c r="G546" s="98" t="n">
        <v>1.3</v>
      </c>
      <c r="H546" s="97" t="n">
        <v>-6.35</v>
      </c>
      <c r="I546" s="97" t="n">
        <v>-8.48</v>
      </c>
      <c r="J546" s="97" t="n">
        <v>-2.917560805262009</v>
      </c>
      <c r="K546" s="98" t="n">
        <v>0</v>
      </c>
      <c r="L546" s="78" t="n">
        <v>46.1</v>
      </c>
      <c r="M546" s="18" t="n">
        <v>0</v>
      </c>
      <c r="N546" s="19" t="n">
        <v>25.3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99" t="inlineStr">
        <is>
          <t>➡️ Neutral</t>
        </is>
      </c>
      <c r="S546" s="99" t="inlineStr">
        <is>
          <t>⏳ New Fund</t>
        </is>
      </c>
      <c r="T546" s="99" t="inlineStr">
        <is>
          <t>⏳ New Fund</t>
        </is>
      </c>
      <c r="U546" s="100" t="inlineStr">
        <is>
          <t>MOMENTUM_ONLY</t>
        </is>
      </c>
    </row>
    <row r="547" ht="16" customHeight="1">
      <c r="A547" s="95" t="n">
        <v>543</v>
      </c>
      <c r="B547" s="96" t="inlineStr">
        <is>
          <t>THE WEALTH COMPANY ETHICAL FUND REGULAR GROWTH</t>
        </is>
      </c>
      <c r="C547" s="96" t="inlineStr">
        <is>
          <t>The Wealth Company Mutual Fund</t>
        </is>
      </c>
      <c r="D547" s="96" t="inlineStr">
        <is>
          <t>Sectoral/ Thematic</t>
        </is>
      </c>
      <c r="E547" s="96" t="inlineStr">
        <is>
          <t>Sectoral/ Thematic</t>
        </is>
      </c>
      <c r="F547" s="97" t="n">
        <v>-3.19</v>
      </c>
      <c r="G547" s="98" t="n">
        <v>1.71</v>
      </c>
      <c r="H547" s="97" t="n">
        <v>-5.89</v>
      </c>
      <c r="I547" s="98" t="n">
        <v>0</v>
      </c>
      <c r="J547" s="98" t="n">
        <v>0</v>
      </c>
      <c r="K547" s="98" t="n">
        <v>0</v>
      </c>
      <c r="L547" s="78" t="n">
        <v>44.6</v>
      </c>
      <c r="M547" s="18" t="n">
        <v>0</v>
      </c>
      <c r="N547" s="19" t="n">
        <v>24.5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99" t="inlineStr">
        <is>
          <t>➡️ Neutral</t>
        </is>
      </c>
      <c r="S547" s="99" t="inlineStr">
        <is>
          <t>⏳ New Fund</t>
        </is>
      </c>
      <c r="T547" s="99" t="inlineStr">
        <is>
          <t>⏳ New Fund</t>
        </is>
      </c>
      <c r="U547" s="100" t="inlineStr">
        <is>
          <t>MOMENTUM_ONLY</t>
        </is>
      </c>
    </row>
    <row r="548" ht="16" customHeight="1">
      <c r="A548" s="95" t="n">
        <v>544</v>
      </c>
      <c r="B548" s="96" t="inlineStr">
        <is>
          <t>Edelweiss Multi Cap Fund - Regular Plan - Growth</t>
        </is>
      </c>
      <c r="C548" s="96" t="inlineStr">
        <is>
          <t>Edelweiss Mutual Fund</t>
        </is>
      </c>
      <c r="D548" s="96" t="inlineStr">
        <is>
          <t>Multi Cap Fund</t>
        </is>
      </c>
      <c r="E548" s="96" t="inlineStr">
        <is>
          <t>Multi Cap Fund</t>
        </is>
      </c>
      <c r="F548" s="97" t="n">
        <v>-3.13</v>
      </c>
      <c r="G548" s="98" t="n">
        <v>2.62</v>
      </c>
      <c r="H548" s="97" t="n">
        <v>-3.3</v>
      </c>
      <c r="I548" s="97" t="n">
        <v>-1.65</v>
      </c>
      <c r="J548" s="98" t="n">
        <v>3.749698794743495</v>
      </c>
      <c r="K548" s="98" t="n">
        <v>0</v>
      </c>
      <c r="L548" s="78" t="n">
        <v>44.5</v>
      </c>
      <c r="M548" s="18" t="n">
        <v>0</v>
      </c>
      <c r="N548" s="19" t="n">
        <v>24.5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99" t="inlineStr">
        <is>
          <t>➡️ Neutral</t>
        </is>
      </c>
      <c r="S548" s="99" t="inlineStr">
        <is>
          <t>⏳ New Fund</t>
        </is>
      </c>
      <c r="T548" s="99" t="inlineStr">
        <is>
          <t>⏳ New Fund</t>
        </is>
      </c>
      <c r="U548" s="100" t="inlineStr">
        <is>
          <t>MOMENTUM_ONLY</t>
        </is>
      </c>
    </row>
    <row r="549" ht="16" customHeight="1">
      <c r="A549" s="95" t="n">
        <v>545</v>
      </c>
      <c r="B549" s="96" t="inlineStr">
        <is>
          <t>Axis Services Opportunities Fund - Regular Plan - Growth Option</t>
        </is>
      </c>
      <c r="C549" s="96" t="inlineStr">
        <is>
          <t>Axis Mutual Fund</t>
        </is>
      </c>
      <c r="D549" s="96" t="inlineStr">
        <is>
          <t>Sectoral/ Thematic</t>
        </is>
      </c>
      <c r="E549" s="96" t="inlineStr">
        <is>
          <t>Sectoral/ Thematic</t>
        </is>
      </c>
      <c r="F549" s="97" t="n">
        <v>-2.58</v>
      </c>
      <c r="G549" s="98" t="n">
        <v>3.3</v>
      </c>
      <c r="H549" s="97" t="n">
        <v>-9.56</v>
      </c>
      <c r="I549" s="98" t="n">
        <v>0</v>
      </c>
      <c r="J549" s="98" t="n">
        <v>0</v>
      </c>
      <c r="K549" s="98" t="n">
        <v>0</v>
      </c>
      <c r="L549" s="78" t="n">
        <v>44.4</v>
      </c>
      <c r="M549" s="18" t="n">
        <v>0</v>
      </c>
      <c r="N549" s="19" t="n">
        <v>24.4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99" t="inlineStr">
        <is>
          <t>➡️ Neutral</t>
        </is>
      </c>
      <c r="S549" s="99" t="inlineStr">
        <is>
          <t>⏳ New Fund</t>
        </is>
      </c>
      <c r="T549" s="99" t="inlineStr">
        <is>
          <t>⏳ New Fund</t>
        </is>
      </c>
      <c r="U549" s="100" t="inlineStr">
        <is>
          <t>MOMENTUM_ONLY</t>
        </is>
      </c>
    </row>
    <row r="550" ht="16" customHeight="1">
      <c r="A550" s="95" t="n">
        <v>546</v>
      </c>
      <c r="B550" s="96" t="inlineStr">
        <is>
          <t>Mahindra Manulife Banking &amp; Financial Services Fund - Regular - Growth</t>
        </is>
      </c>
      <c r="C550" s="96" t="inlineStr">
        <is>
          <t>Mahindra Manulife Mutual Fund</t>
        </is>
      </c>
      <c r="D550" s="96" t="inlineStr">
        <is>
          <t>Sectoral/ Thematic</t>
        </is>
      </c>
      <c r="E550" s="96" t="inlineStr">
        <is>
          <t>Sectoral/ Thematic</t>
        </is>
      </c>
      <c r="F550" s="97" t="n">
        <v>-2.82</v>
      </c>
      <c r="G550" s="97" t="n">
        <v>-0.53</v>
      </c>
      <c r="H550" s="97" t="n">
        <v>-4.81</v>
      </c>
      <c r="I550" s="98" t="n">
        <v>0</v>
      </c>
      <c r="J550" s="98" t="n">
        <v>0</v>
      </c>
      <c r="K550" s="98" t="n">
        <v>0</v>
      </c>
      <c r="L550" s="78" t="n">
        <v>44.2</v>
      </c>
      <c r="M550" s="18" t="n">
        <v>0</v>
      </c>
      <c r="N550" s="19" t="n">
        <v>24.3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99" t="inlineStr">
        <is>
          <t>➡️ Neutral</t>
        </is>
      </c>
      <c r="S550" s="99" t="inlineStr">
        <is>
          <t>⏳ New Fund</t>
        </is>
      </c>
      <c r="T550" s="99" t="inlineStr">
        <is>
          <t>⏳ New Fund</t>
        </is>
      </c>
      <c r="U550" s="100" t="inlineStr">
        <is>
          <t>MOMENTUM_ONLY</t>
        </is>
      </c>
    </row>
    <row r="551" ht="16" customHeight="1">
      <c r="A551" s="95" t="n">
        <v>547</v>
      </c>
      <c r="B551" s="96" t="inlineStr">
        <is>
          <t>ICICI Prudential Equity Minimum Variance Fund - Growth</t>
        </is>
      </c>
      <c r="C551" s="96" t="inlineStr">
        <is>
          <t>ICICI Prudential Mutual Fund</t>
        </is>
      </c>
      <c r="D551" s="96" t="inlineStr">
        <is>
          <t>Sectoral/ Thematic</t>
        </is>
      </c>
      <c r="E551" s="96" t="inlineStr">
        <is>
          <t>Sectoral/ Thematic</t>
        </is>
      </c>
      <c r="F551" s="97" t="n">
        <v>-2.11</v>
      </c>
      <c r="G551" s="98" t="n">
        <v>0.3</v>
      </c>
      <c r="H551" s="97" t="n">
        <v>-7.87</v>
      </c>
      <c r="I551" s="97" t="n">
        <v>-2.95</v>
      </c>
      <c r="J551" s="98" t="n">
        <v>0</v>
      </c>
      <c r="K551" s="98" t="n">
        <v>0</v>
      </c>
      <c r="L551" s="78" t="n">
        <v>42.1</v>
      </c>
      <c r="M551" s="18" t="n">
        <v>0</v>
      </c>
      <c r="N551" s="19" t="n">
        <v>23.1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99" t="inlineStr">
        <is>
          <t>➡️ Neutral</t>
        </is>
      </c>
      <c r="S551" s="99" t="inlineStr">
        <is>
          <t>⏳ New Fund</t>
        </is>
      </c>
      <c r="T551" s="99" t="inlineStr">
        <is>
          <t>⏳ New Fund</t>
        </is>
      </c>
      <c r="U551" s="100" t="inlineStr">
        <is>
          <t>MOMENTUM_ONLY</t>
        </is>
      </c>
    </row>
    <row r="552" ht="16" customHeight="1">
      <c r="A552" s="95" t="n">
        <v>548</v>
      </c>
      <c r="B552" s="96" t="inlineStr">
        <is>
          <t>Kotak Consumption Fund - Regular plan - Growth Option</t>
        </is>
      </c>
      <c r="C552" s="96" t="inlineStr">
        <is>
          <t>Kotak Mahindra Mutual Fund</t>
        </is>
      </c>
      <c r="D552" s="96" t="inlineStr">
        <is>
          <t>Sectoral/ Thematic</t>
        </is>
      </c>
      <c r="E552" s="96" t="inlineStr">
        <is>
          <t>Sectoral/ Thematic</t>
        </is>
      </c>
      <c r="F552" s="97" t="n">
        <v>-2.88</v>
      </c>
      <c r="G552" s="98" t="n">
        <v>3.1</v>
      </c>
      <c r="H552" s="97" t="n">
        <v>-8.94</v>
      </c>
      <c r="I552" s="97" t="n">
        <v>-1.65</v>
      </c>
      <c r="J552" s="98" t="n">
        <v>3.150375665821015</v>
      </c>
      <c r="K552" s="98" t="n">
        <v>0</v>
      </c>
      <c r="L552" s="78" t="n">
        <v>41.2</v>
      </c>
      <c r="M552" s="18" t="n">
        <v>0</v>
      </c>
      <c r="N552" s="19" t="n">
        <v>22.7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99" t="inlineStr">
        <is>
          <t>➡️ Neutral</t>
        </is>
      </c>
      <c r="S552" s="99" t="inlineStr">
        <is>
          <t>⏳ New Fund</t>
        </is>
      </c>
      <c r="T552" s="99" t="inlineStr">
        <is>
          <t>⏳ New Fund</t>
        </is>
      </c>
      <c r="U552" s="100" t="inlineStr">
        <is>
          <t>MOMENTUM_ONLY</t>
        </is>
      </c>
    </row>
    <row r="553" ht="16" customHeight="1">
      <c r="A553" s="95" t="n">
        <v>549</v>
      </c>
      <c r="B553" s="96" t="inlineStr">
        <is>
          <t>WhiteOak Capital Digital Bharat Fund Regular Plan Growth</t>
        </is>
      </c>
      <c r="C553" s="96" t="inlineStr">
        <is>
          <t>WhiteOak Capital Mutual Fund</t>
        </is>
      </c>
      <c r="D553" s="96" t="inlineStr">
        <is>
          <t>Sectoral/ Thematic</t>
        </is>
      </c>
      <c r="E553" s="96" t="inlineStr">
        <is>
          <t>Sectoral/ Thematic</t>
        </is>
      </c>
      <c r="F553" s="97" t="n">
        <v>-0.9</v>
      </c>
      <c r="G553" s="98" t="n">
        <v>6.97</v>
      </c>
      <c r="H553" s="97" t="n">
        <v>-17.16</v>
      </c>
      <c r="I553" s="97" t="n">
        <v>-13.64</v>
      </c>
      <c r="J553" s="98" t="n">
        <v>0</v>
      </c>
      <c r="K553" s="98" t="n">
        <v>0</v>
      </c>
      <c r="L553" s="78" t="n">
        <v>41</v>
      </c>
      <c r="M553" s="18" t="n">
        <v>0</v>
      </c>
      <c r="N553" s="19" t="n">
        <v>22.6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99" t="inlineStr">
        <is>
          <t>➡️ Neutral</t>
        </is>
      </c>
      <c r="S553" s="99" t="inlineStr">
        <is>
          <t>⏳ New Fund</t>
        </is>
      </c>
      <c r="T553" s="99" t="inlineStr">
        <is>
          <t>⏳ New Fund</t>
        </is>
      </c>
      <c r="U553" s="100" t="inlineStr">
        <is>
          <t>MOMENTUM_ONLY</t>
        </is>
      </c>
    </row>
    <row r="554" ht="16" customHeight="1">
      <c r="A554" s="95" t="n">
        <v>550</v>
      </c>
      <c r="B554" s="96" t="inlineStr">
        <is>
          <t>WhiteOak Capital Banking &amp; Financial Services Fund - Regular Growth</t>
        </is>
      </c>
      <c r="C554" s="96" t="inlineStr">
        <is>
          <t>WhiteOak Capital Mutual Fund</t>
        </is>
      </c>
      <c r="D554" s="96" t="inlineStr">
        <is>
          <t>Sectoral/ Thematic</t>
        </is>
      </c>
      <c r="E554" s="96" t="inlineStr">
        <is>
          <t>Sectoral/ Thematic</t>
        </is>
      </c>
      <c r="F554" s="97" t="n">
        <v>-2.66</v>
      </c>
      <c r="G554" s="98" t="n">
        <v>0.41</v>
      </c>
      <c r="H554" s="97" t="n">
        <v>-6.58</v>
      </c>
      <c r="I554" s="97" t="n">
        <v>-3.2</v>
      </c>
      <c r="J554" s="98" t="n">
        <v>8.314357312408038</v>
      </c>
      <c r="K554" s="98" t="n">
        <v>0</v>
      </c>
      <c r="L554" s="78" t="n">
        <v>40.7</v>
      </c>
      <c r="M554" s="18" t="n">
        <v>0</v>
      </c>
      <c r="N554" s="19" t="n">
        <v>22.4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99" t="inlineStr">
        <is>
          <t>➡️ Neutral</t>
        </is>
      </c>
      <c r="S554" s="99" t="inlineStr">
        <is>
          <t>⏳ New Fund</t>
        </is>
      </c>
      <c r="T554" s="99" t="inlineStr">
        <is>
          <t>⏳ New Fund</t>
        </is>
      </c>
      <c r="U554" s="100" t="inlineStr">
        <is>
          <t>MOMENTUM_ONLY</t>
        </is>
      </c>
    </row>
    <row r="555" ht="16" customHeight="1">
      <c r="A555" s="95" t="n">
        <v>551</v>
      </c>
      <c r="B555" s="96" t="inlineStr">
        <is>
          <t>Mirae Asset Multicap Fund - Regular Plan - Growth</t>
        </is>
      </c>
      <c r="C555" s="96" t="inlineStr">
        <is>
          <t>Mirae Asset Mutual Fund</t>
        </is>
      </c>
      <c r="D555" s="96" t="inlineStr">
        <is>
          <t>Multi Cap Fund</t>
        </is>
      </c>
      <c r="E555" s="96" t="inlineStr">
        <is>
          <t>Multi Cap Fund</t>
        </is>
      </c>
      <c r="F555" s="97" t="n">
        <v>-2.17</v>
      </c>
      <c r="G555" s="98" t="n">
        <v>2.54</v>
      </c>
      <c r="H555" s="97" t="n">
        <v>-6.12</v>
      </c>
      <c r="I555" s="97" t="n">
        <v>-3.27</v>
      </c>
      <c r="J555" s="98" t="n">
        <v>3.363436475380399</v>
      </c>
      <c r="K555" s="98" t="n">
        <v>0</v>
      </c>
      <c r="L555" s="78" t="n">
        <v>40.1</v>
      </c>
      <c r="M555" s="18" t="n">
        <v>0</v>
      </c>
      <c r="N555" s="19" t="n">
        <v>22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99" t="inlineStr">
        <is>
          <t>➡️ Neutral</t>
        </is>
      </c>
      <c r="S555" s="99" t="inlineStr">
        <is>
          <t>⏳ New Fund</t>
        </is>
      </c>
      <c r="T555" s="99" t="inlineStr">
        <is>
          <t>⏳ New Fund</t>
        </is>
      </c>
      <c r="U555" s="100" t="inlineStr">
        <is>
          <t>MOMENTUM_ONLY</t>
        </is>
      </c>
    </row>
    <row r="556" ht="16" customHeight="1">
      <c r="A556" s="95" t="n">
        <v>552</v>
      </c>
      <c r="B556" s="96" t="inlineStr">
        <is>
          <t>Kotak Quant Fund - Regular Plan - Growth Option</t>
        </is>
      </c>
      <c r="C556" s="96" t="inlineStr">
        <is>
          <t>Kotak Mahindra Mutual Fund</t>
        </is>
      </c>
      <c r="D556" s="96" t="inlineStr">
        <is>
          <t>Sectoral/ Thematic</t>
        </is>
      </c>
      <c r="E556" s="96" t="inlineStr">
        <is>
          <t>Sectoral/ Thematic</t>
        </is>
      </c>
      <c r="F556" s="97" t="n">
        <v>-3.34</v>
      </c>
      <c r="G556" s="97" t="n">
        <v>-0.53</v>
      </c>
      <c r="H556" s="97" t="n">
        <v>-4.59</v>
      </c>
      <c r="I556" s="97" t="n">
        <v>-1.84</v>
      </c>
      <c r="J556" s="97" t="n">
        <v>-1.668926579641161</v>
      </c>
      <c r="K556" s="98" t="n">
        <v>0</v>
      </c>
      <c r="L556" s="78" t="n">
        <v>39.8</v>
      </c>
      <c r="M556" s="18" t="n">
        <v>0</v>
      </c>
      <c r="N556" s="19" t="n">
        <v>21.9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99" t="inlineStr">
        <is>
          <t>📉 Weak</t>
        </is>
      </c>
      <c r="S556" s="99" t="inlineStr">
        <is>
          <t>⏳ New Fund</t>
        </is>
      </c>
      <c r="T556" s="99" t="inlineStr">
        <is>
          <t>⏳ New Fund</t>
        </is>
      </c>
      <c r="U556" s="100" t="inlineStr">
        <is>
          <t>MOMENTUM_ONLY</t>
        </is>
      </c>
    </row>
    <row r="557" ht="16" customHeight="1">
      <c r="A557" s="95" t="n">
        <v>553</v>
      </c>
      <c r="B557" s="96" t="inlineStr">
        <is>
          <t>ICICI Prudential Quality Fund - Growth</t>
        </is>
      </c>
      <c r="C557" s="96" t="inlineStr">
        <is>
          <t>ICICI Prudential Mutual Fund</t>
        </is>
      </c>
      <c r="D557" s="96" t="inlineStr">
        <is>
          <t>Sectoral/ Thematic</t>
        </is>
      </c>
      <c r="E557" s="96" t="inlineStr">
        <is>
          <t>Sectoral/ Thematic</t>
        </is>
      </c>
      <c r="F557" s="97" t="n">
        <v>-2.66</v>
      </c>
      <c r="G557" s="98" t="n">
        <v>0.3</v>
      </c>
      <c r="H557" s="97" t="n">
        <v>-6.71</v>
      </c>
      <c r="I557" s="97" t="n">
        <v>-3.52</v>
      </c>
      <c r="J557" s="98" t="n">
        <v>0</v>
      </c>
      <c r="K557" s="98" t="n">
        <v>0</v>
      </c>
      <c r="L557" s="78" t="n">
        <v>39.4</v>
      </c>
      <c r="M557" s="18" t="n">
        <v>0</v>
      </c>
      <c r="N557" s="19" t="n">
        <v>21.7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99" t="inlineStr">
        <is>
          <t>📉 Weak</t>
        </is>
      </c>
      <c r="S557" s="99" t="inlineStr">
        <is>
          <t>⏳ New Fund</t>
        </is>
      </c>
      <c r="T557" s="99" t="inlineStr">
        <is>
          <t>⏳ New Fund</t>
        </is>
      </c>
      <c r="U557" s="100" t="inlineStr">
        <is>
          <t>MOMENTUM_ONLY</t>
        </is>
      </c>
    </row>
    <row r="558" ht="16" customHeight="1">
      <c r="A558" s="95" t="n">
        <v>554</v>
      </c>
      <c r="B558" s="96" t="inlineStr">
        <is>
          <t>ICICI Prudential Conglomerate Fund - Growth</t>
        </is>
      </c>
      <c r="C558" s="96" t="inlineStr">
        <is>
          <t>ICICI Prudential Mutual Fund</t>
        </is>
      </c>
      <c r="D558" s="96" t="inlineStr">
        <is>
          <t>Sectoral/ Thematic</t>
        </is>
      </c>
      <c r="E558" s="96" t="inlineStr">
        <is>
          <t>Sectoral/ Thematic</t>
        </is>
      </c>
      <c r="F558" s="97" t="n">
        <v>-4.75</v>
      </c>
      <c r="G558" s="98" t="n">
        <v>1.05</v>
      </c>
      <c r="H558" s="97" t="n">
        <v>-3.12</v>
      </c>
      <c r="I558" s="98" t="n">
        <v>0</v>
      </c>
      <c r="J558" s="98" t="n">
        <v>0</v>
      </c>
      <c r="K558" s="98" t="n">
        <v>0</v>
      </c>
      <c r="L558" s="78" t="n">
        <v>39</v>
      </c>
      <c r="M558" s="18" t="n">
        <v>0</v>
      </c>
      <c r="N558" s="19" t="n">
        <v>21.5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99" t="inlineStr">
        <is>
          <t>📉 Weak</t>
        </is>
      </c>
      <c r="S558" s="99" t="inlineStr">
        <is>
          <t>⏳ New Fund</t>
        </is>
      </c>
      <c r="T558" s="99" t="inlineStr">
        <is>
          <t>⏳ New Fund</t>
        </is>
      </c>
      <c r="U558" s="100" t="inlineStr">
        <is>
          <t>MOMENTUM_ONLY</t>
        </is>
      </c>
    </row>
    <row r="559" ht="16" customHeight="1">
      <c r="A559" s="95" t="n">
        <v>555</v>
      </c>
      <c r="B559" s="96" t="inlineStr">
        <is>
          <t>SBI Innovative Opportunities Fund - Regular Plan - Income Distribution Cum Capital Withdrawal Option</t>
        </is>
      </c>
      <c r="C559" s="96" t="inlineStr">
        <is>
          <t>SBI Mutual Fund</t>
        </is>
      </c>
      <c r="D559" s="96" t="inlineStr">
        <is>
          <t>Sectoral/ Thematic</t>
        </is>
      </c>
      <c r="E559" s="96" t="inlineStr">
        <is>
          <t>Sectoral/ Thematic</t>
        </is>
      </c>
      <c r="F559" s="97" t="n">
        <v>-3.01</v>
      </c>
      <c r="G559" s="98" t="n">
        <v>5.94</v>
      </c>
      <c r="H559" s="97" t="n">
        <v>-8.84</v>
      </c>
      <c r="I559" s="97" t="n">
        <v>-7.01</v>
      </c>
      <c r="J559" s="98" t="n">
        <v>0</v>
      </c>
      <c r="K559" s="98" t="n">
        <v>0</v>
      </c>
      <c r="L559" s="78" t="n">
        <v>37.6</v>
      </c>
      <c r="M559" s="18" t="n">
        <v>0</v>
      </c>
      <c r="N559" s="19" t="n">
        <v>20.7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99" t="inlineStr">
        <is>
          <t>📉 Weak</t>
        </is>
      </c>
      <c r="S559" s="99" t="inlineStr">
        <is>
          <t>⏳ New Fund</t>
        </is>
      </c>
      <c r="T559" s="99" t="inlineStr">
        <is>
          <t>⏳ New Fund</t>
        </is>
      </c>
      <c r="U559" s="100" t="inlineStr">
        <is>
          <t>MOMENTUM_ONLY</t>
        </is>
      </c>
    </row>
    <row r="560" ht="16" customHeight="1">
      <c r="A560" s="95" t="n">
        <v>556</v>
      </c>
      <c r="B560" s="96" t="inlineStr">
        <is>
          <t>SBI Innovative Opportunities Fund - Regular Plan - Growth</t>
        </is>
      </c>
      <c r="C560" s="96" t="inlineStr">
        <is>
          <t>SBI Mutual Fund</t>
        </is>
      </c>
      <c r="D560" s="96" t="inlineStr">
        <is>
          <t>Sectoral/ Thematic</t>
        </is>
      </c>
      <c r="E560" s="96" t="inlineStr">
        <is>
          <t>Sectoral/ Thematic</t>
        </is>
      </c>
      <c r="F560" s="97" t="n">
        <v>-3.01</v>
      </c>
      <c r="G560" s="98" t="n">
        <v>5.94</v>
      </c>
      <c r="H560" s="97" t="n">
        <v>-8.84</v>
      </c>
      <c r="I560" s="97" t="n">
        <v>-7.01</v>
      </c>
      <c r="J560" s="98" t="n">
        <v>0</v>
      </c>
      <c r="K560" s="98" t="n">
        <v>0</v>
      </c>
      <c r="L560" s="78" t="n">
        <v>37.6</v>
      </c>
      <c r="M560" s="18" t="n">
        <v>0</v>
      </c>
      <c r="N560" s="19" t="n">
        <v>20.7</v>
      </c>
      <c r="O560" s="105">
        <f>COUNTIFS($E:$E,$E560,$L:$L,"&gt;"&amp;$L560)+1</f>
        <v/>
      </c>
      <c r="P560" s="105">
        <f>COUNTIFS($E:$E,$E560,$M:$M,"&gt;"&amp;$M560)+1</f>
        <v/>
      </c>
      <c r="Q560" s="105">
        <f>COUNTIFS($E:$E,$E560,$N:$N,"&gt;"&amp;$N560)+1</f>
        <v/>
      </c>
      <c r="R560" s="99" t="inlineStr">
        <is>
          <t>📉 Weak</t>
        </is>
      </c>
      <c r="S560" s="99" t="inlineStr">
        <is>
          <t>⏳ New Fund</t>
        </is>
      </c>
      <c r="T560" s="99" t="inlineStr">
        <is>
          <t>⏳ New Fund</t>
        </is>
      </c>
      <c r="U560" s="100" t="inlineStr">
        <is>
          <t>MOMENTUM_ONLY</t>
        </is>
      </c>
    </row>
    <row r="561" ht="16" customHeight="1">
      <c r="A561" s="95" t="n">
        <v>557</v>
      </c>
      <c r="B561" s="96" t="inlineStr">
        <is>
          <t>LIC MF Consumption Fund-Regular Plan-Growth</t>
        </is>
      </c>
      <c r="C561" s="96" t="inlineStr">
        <is>
          <t>LIC Mutual Fund</t>
        </is>
      </c>
      <c r="D561" s="96" t="inlineStr">
        <is>
          <t>Sectoral/ Thematic</t>
        </is>
      </c>
      <c r="E561" s="96" t="inlineStr">
        <is>
          <t>Sectoral/ Thematic</t>
        </is>
      </c>
      <c r="F561" s="97" t="n">
        <v>-3.73</v>
      </c>
      <c r="G561" s="98" t="n">
        <v>2.53</v>
      </c>
      <c r="H561" s="97" t="n">
        <v>-8.23</v>
      </c>
      <c r="I561" s="98" t="n">
        <v>0</v>
      </c>
      <c r="J561" s="98" t="n">
        <v>0</v>
      </c>
      <c r="K561" s="98" t="n">
        <v>0</v>
      </c>
      <c r="L561" s="78" t="n">
        <v>37.6</v>
      </c>
      <c r="M561" s="18" t="n">
        <v>0</v>
      </c>
      <c r="N561" s="19" t="n">
        <v>20.7</v>
      </c>
      <c r="O561" s="105">
        <f>COUNTIFS($E:$E,$E561,$L:$L,"&gt;"&amp;$L561)+1</f>
        <v/>
      </c>
      <c r="P561" s="105">
        <f>COUNTIFS($E:$E,$E561,$M:$M,"&gt;"&amp;$M561)+1</f>
        <v/>
      </c>
      <c r="Q561" s="105">
        <f>COUNTIFS($E:$E,$E561,$N:$N,"&gt;"&amp;$N561)+1</f>
        <v/>
      </c>
      <c r="R561" s="99" t="inlineStr">
        <is>
          <t>📉 Weak</t>
        </is>
      </c>
      <c r="S561" s="99" t="inlineStr">
        <is>
          <t>⏳ New Fund</t>
        </is>
      </c>
      <c r="T561" s="99" t="inlineStr">
        <is>
          <t>⏳ New Fund</t>
        </is>
      </c>
      <c r="U561" s="100" t="inlineStr">
        <is>
          <t>MOMENTUM_ONLY</t>
        </is>
      </c>
    </row>
    <row r="562" ht="16" customHeight="1">
      <c r="A562" s="95" t="n">
        <v>558</v>
      </c>
      <c r="B562" s="96" t="inlineStr">
        <is>
          <t>Motilal Oswal Large Cap Regular Plan Growth</t>
        </is>
      </c>
      <c r="C562" s="96" t="inlineStr">
        <is>
          <t>Motilal Oswal Mutual Fund</t>
        </is>
      </c>
      <c r="D562" s="96" t="inlineStr">
        <is>
          <t>Large Cap Fund</t>
        </is>
      </c>
      <c r="E562" s="96" t="inlineStr">
        <is>
          <t>Large Cap Fund</t>
        </is>
      </c>
      <c r="F562" s="97" t="n">
        <v>-2.97</v>
      </c>
      <c r="G562" s="98" t="n">
        <v>0.05</v>
      </c>
      <c r="H562" s="97" t="n">
        <v>-9.31</v>
      </c>
      <c r="I562" s="97" t="n">
        <v>-6.83</v>
      </c>
      <c r="J562" s="98" t="n">
        <v>6.841003364813081</v>
      </c>
      <c r="K562" s="98" t="n">
        <v>0</v>
      </c>
      <c r="L562" s="78" t="n">
        <v>37.1</v>
      </c>
      <c r="M562" s="18" t="n">
        <v>0</v>
      </c>
      <c r="N562" s="19" t="n">
        <v>20.4</v>
      </c>
      <c r="O562" s="105">
        <f>COUNTIFS($E:$E,$E562,$L:$L,"&gt;"&amp;$L562)+1</f>
        <v/>
      </c>
      <c r="P562" s="105">
        <f>COUNTIFS($E:$E,$E562,$M:$M,"&gt;"&amp;$M562)+1</f>
        <v/>
      </c>
      <c r="Q562" s="105">
        <f>COUNTIFS($E:$E,$E562,$N:$N,"&gt;"&amp;$N562)+1</f>
        <v/>
      </c>
      <c r="R562" s="99" t="inlineStr">
        <is>
          <t>📉 Weak</t>
        </is>
      </c>
      <c r="S562" s="99" t="inlineStr">
        <is>
          <t>⏳ New Fund</t>
        </is>
      </c>
      <c r="T562" s="99" t="inlineStr">
        <is>
          <t>⏳ New Fund</t>
        </is>
      </c>
      <c r="U562" s="100" t="inlineStr">
        <is>
          <t>MOMENTUM_ONLY</t>
        </is>
      </c>
    </row>
    <row r="563" ht="16" customHeight="1">
      <c r="A563" s="95" t="n">
        <v>559</v>
      </c>
      <c r="B563" s="96" t="inlineStr">
        <is>
          <t>Bandhan Multi-Factor Fund - Regular Plan - Growth</t>
        </is>
      </c>
      <c r="C563" s="96" t="inlineStr">
        <is>
          <t>Bandhan Mutual Fund</t>
        </is>
      </c>
      <c r="D563" s="96" t="inlineStr">
        <is>
          <t>Sectoral/ Thematic</t>
        </is>
      </c>
      <c r="E563" s="96" t="inlineStr">
        <is>
          <t>Sectoral/ Thematic</t>
        </is>
      </c>
      <c r="F563" s="97" t="n">
        <v>-2.56</v>
      </c>
      <c r="G563" s="97" t="n">
        <v>-4.37</v>
      </c>
      <c r="H563" s="97" t="n">
        <v>-6.14</v>
      </c>
      <c r="I563" s="98" t="n">
        <v>0</v>
      </c>
      <c r="J563" s="98" t="n">
        <v>0</v>
      </c>
      <c r="K563" s="98" t="n">
        <v>0</v>
      </c>
      <c r="L563" s="78" t="n">
        <v>36.9</v>
      </c>
      <c r="M563" s="18" t="n">
        <v>0</v>
      </c>
      <c r="N563" s="19" t="n">
        <v>20.3</v>
      </c>
      <c r="O563" s="105">
        <f>COUNTIFS($E:$E,$E563,$L:$L,"&gt;"&amp;$L563)+1</f>
        <v/>
      </c>
      <c r="P563" s="105">
        <f>COUNTIFS($E:$E,$E563,$M:$M,"&gt;"&amp;$M563)+1</f>
        <v/>
      </c>
      <c r="Q563" s="105">
        <f>COUNTIFS($E:$E,$E563,$N:$N,"&gt;"&amp;$N563)+1</f>
        <v/>
      </c>
      <c r="R563" s="99" t="inlineStr">
        <is>
          <t>📉 Weak</t>
        </is>
      </c>
      <c r="S563" s="99" t="inlineStr">
        <is>
          <t>⏳ New Fund</t>
        </is>
      </c>
      <c r="T563" s="99" t="inlineStr">
        <is>
          <t>⏳ New Fund</t>
        </is>
      </c>
      <c r="U563" s="100" t="inlineStr">
        <is>
          <t>MOMENTUM_ONLY</t>
        </is>
      </c>
    </row>
    <row r="564" ht="16" customHeight="1">
      <c r="A564" s="95" t="n">
        <v>560</v>
      </c>
      <c r="B564" s="96" t="inlineStr">
        <is>
          <t>BAJAJ FINSERV CONSUMPTION FUND - REGULAR - GROWTH</t>
        </is>
      </c>
      <c r="C564" s="96" t="inlineStr">
        <is>
          <t>Bajaj Finserv Mutual Fund</t>
        </is>
      </c>
      <c r="D564" s="96" t="inlineStr">
        <is>
          <t>Sectoral/ Thematic</t>
        </is>
      </c>
      <c r="E564" s="96" t="inlineStr">
        <is>
          <t>Sectoral/ Thematic</t>
        </is>
      </c>
      <c r="F564" s="97" t="n">
        <v>-2.48</v>
      </c>
      <c r="G564" s="98" t="n">
        <v>4.37</v>
      </c>
      <c r="H564" s="97" t="n">
        <v>-9.050000000000001</v>
      </c>
      <c r="I564" s="97" t="n">
        <v>-11.01</v>
      </c>
      <c r="J564" s="98" t="n">
        <v>0</v>
      </c>
      <c r="K564" s="98" t="n">
        <v>0</v>
      </c>
      <c r="L564" s="78" t="n">
        <v>36.6</v>
      </c>
      <c r="M564" s="18" t="n">
        <v>0</v>
      </c>
      <c r="N564" s="19" t="n">
        <v>20.1</v>
      </c>
      <c r="O564" s="105">
        <f>COUNTIFS($E:$E,$E564,$L:$L,"&gt;"&amp;$L564)+1</f>
        <v/>
      </c>
      <c r="P564" s="105">
        <f>COUNTIFS($E:$E,$E564,$M:$M,"&gt;"&amp;$M564)+1</f>
        <v/>
      </c>
      <c r="Q564" s="105">
        <f>COUNTIFS($E:$E,$E564,$N:$N,"&gt;"&amp;$N564)+1</f>
        <v/>
      </c>
      <c r="R564" s="99" t="inlineStr">
        <is>
          <t>📉 Weak</t>
        </is>
      </c>
      <c r="S564" s="99" t="inlineStr">
        <is>
          <t>⏳ New Fund</t>
        </is>
      </c>
      <c r="T564" s="99" t="inlineStr">
        <is>
          <t>⏳ New Fund</t>
        </is>
      </c>
      <c r="U564" s="100" t="inlineStr">
        <is>
          <t>MOMENTUM_ONLY</t>
        </is>
      </c>
    </row>
    <row r="565" ht="16" customHeight="1">
      <c r="A565" s="95" t="n">
        <v>561</v>
      </c>
      <c r="B565" s="96" t="inlineStr">
        <is>
          <t>Franklin India Multi-Factor Fund- Growth</t>
        </is>
      </c>
      <c r="C565" s="96" t="inlineStr">
        <is>
          <t>Franklin Templeton Mutual Fund</t>
        </is>
      </c>
      <c r="D565" s="96" t="inlineStr">
        <is>
          <t>Sectoral/ Thematic</t>
        </is>
      </c>
      <c r="E565" s="96" t="inlineStr">
        <is>
          <t>Sectoral/ Thematic</t>
        </is>
      </c>
      <c r="F565" s="97" t="n">
        <v>-2.85</v>
      </c>
      <c r="G565" s="97" t="n">
        <v>-1.79</v>
      </c>
      <c r="H565" s="97" t="n">
        <v>-8.09</v>
      </c>
      <c r="I565" s="98" t="n">
        <v>0</v>
      </c>
      <c r="J565" s="98" t="n">
        <v>0</v>
      </c>
      <c r="K565" s="98" t="n">
        <v>0</v>
      </c>
      <c r="L565" s="78" t="n">
        <v>36.5</v>
      </c>
      <c r="M565" s="18" t="n">
        <v>0</v>
      </c>
      <c r="N565" s="19" t="n">
        <v>20.1</v>
      </c>
      <c r="O565" s="105">
        <f>COUNTIFS($E:$E,$E565,$L:$L,"&gt;"&amp;$L565)+1</f>
        <v/>
      </c>
      <c r="P565" s="105">
        <f>COUNTIFS($E:$E,$E565,$M:$M,"&gt;"&amp;$M565)+1</f>
        <v/>
      </c>
      <c r="Q565" s="105">
        <f>COUNTIFS($E:$E,$E565,$N:$N,"&gt;"&amp;$N565)+1</f>
        <v/>
      </c>
      <c r="R565" s="99" t="inlineStr">
        <is>
          <t>📉 Weak</t>
        </is>
      </c>
      <c r="S565" s="99" t="inlineStr">
        <is>
          <t>⏳ New Fund</t>
        </is>
      </c>
      <c r="T565" s="99" t="inlineStr">
        <is>
          <t>⏳ New Fund</t>
        </is>
      </c>
      <c r="U565" s="100" t="inlineStr">
        <is>
          <t>MOMENTUM_ONLY</t>
        </is>
      </c>
    </row>
    <row r="566" ht="16" customHeight="1">
      <c r="A566" s="95" t="n">
        <v>562</v>
      </c>
      <c r="B566" s="96" t="inlineStr">
        <is>
          <t>Samco Small Cap Fund - Regular Plan</t>
        </is>
      </c>
      <c r="C566" s="96" t="inlineStr">
        <is>
          <t>Samco Mutual Fund</t>
        </is>
      </c>
      <c r="D566" s="96" t="inlineStr">
        <is>
          <t>Small Cap Fund</t>
        </is>
      </c>
      <c r="E566" s="96" t="inlineStr">
        <is>
          <t>Small Cap Fund</t>
        </is>
      </c>
      <c r="F566" s="97" t="n">
        <v>-3.82</v>
      </c>
      <c r="G566" s="98" t="n">
        <v>7.02</v>
      </c>
      <c r="H566" s="98" t="n">
        <v>1.82</v>
      </c>
      <c r="I566" s="98" t="n">
        <v>0</v>
      </c>
      <c r="J566" s="98" t="n">
        <v>0</v>
      </c>
      <c r="K566" s="98" t="n">
        <v>0</v>
      </c>
      <c r="L566" s="78" t="n">
        <v>35.8</v>
      </c>
      <c r="M566" s="18" t="n">
        <v>0</v>
      </c>
      <c r="N566" s="19" t="n">
        <v>19.7</v>
      </c>
      <c r="O566" s="105">
        <f>COUNTIFS($E:$E,$E566,$L:$L,"&gt;"&amp;$L566)+1</f>
        <v/>
      </c>
      <c r="P566" s="105">
        <f>COUNTIFS($E:$E,$E566,$M:$M,"&gt;"&amp;$M566)+1</f>
        <v/>
      </c>
      <c r="Q566" s="105">
        <f>COUNTIFS($E:$E,$E566,$N:$N,"&gt;"&amp;$N566)+1</f>
        <v/>
      </c>
      <c r="R566" s="99" t="inlineStr">
        <is>
          <t>📉 Weak</t>
        </is>
      </c>
      <c r="S566" s="99" t="inlineStr">
        <is>
          <t>⏳ New Fund</t>
        </is>
      </c>
      <c r="T566" s="99" t="inlineStr">
        <is>
          <t>⏳ New Fund</t>
        </is>
      </c>
      <c r="U566" s="100" t="inlineStr">
        <is>
          <t>MOMENTUM_ONLY</t>
        </is>
      </c>
    </row>
    <row r="567" ht="16" customHeight="1">
      <c r="A567" s="95" t="n">
        <v>563</v>
      </c>
      <c r="B567" s="96" t="inlineStr">
        <is>
          <t>Baroda BNP Paribas Small Cap Fund - Regular Plan - Growth option</t>
        </is>
      </c>
      <c r="C567" s="96" t="inlineStr">
        <is>
          <t>Baroda BNP Paribas Mutual Fund</t>
        </is>
      </c>
      <c r="D567" s="96" t="inlineStr">
        <is>
          <t>Small Cap Fund</t>
        </is>
      </c>
      <c r="E567" s="96" t="inlineStr">
        <is>
          <t>Small Cap Fund</t>
        </is>
      </c>
      <c r="F567" s="97" t="n">
        <v>-4.49</v>
      </c>
      <c r="G567" s="98" t="n">
        <v>7.49</v>
      </c>
      <c r="H567" s="98" t="n">
        <v>2.46</v>
      </c>
      <c r="I567" s="97" t="n">
        <v>-0.97</v>
      </c>
      <c r="J567" s="98" t="n">
        <v>1.336074524327224</v>
      </c>
      <c r="K567" s="98" t="n">
        <v>0</v>
      </c>
      <c r="L567" s="78" t="n">
        <v>35.7</v>
      </c>
      <c r="M567" s="18" t="n">
        <v>0</v>
      </c>
      <c r="N567" s="19" t="n">
        <v>19.6</v>
      </c>
      <c r="O567" s="105">
        <f>COUNTIFS($E:$E,$E567,$L:$L,"&gt;"&amp;$L567)+1</f>
        <v/>
      </c>
      <c r="P567" s="105">
        <f>COUNTIFS($E:$E,$E567,$M:$M,"&gt;"&amp;$M567)+1</f>
        <v/>
      </c>
      <c r="Q567" s="105">
        <f>COUNTIFS($E:$E,$E567,$N:$N,"&gt;"&amp;$N567)+1</f>
        <v/>
      </c>
      <c r="R567" s="99" t="inlineStr">
        <is>
          <t>📉 Weak</t>
        </is>
      </c>
      <c r="S567" s="99" t="inlineStr">
        <is>
          <t>⏳ New Fund</t>
        </is>
      </c>
      <c r="T567" s="99" t="inlineStr">
        <is>
          <t>⏳ New Fund</t>
        </is>
      </c>
      <c r="U567" s="100" t="inlineStr">
        <is>
          <t>MOMENTUM_ONLY</t>
        </is>
      </c>
    </row>
    <row r="568" ht="16" customHeight="1">
      <c r="A568" s="95" t="n">
        <v>564</v>
      </c>
      <c r="B568" s="96" t="inlineStr">
        <is>
          <t>Edelweiss Business Cycle Fund - Regular Plan - Growth</t>
        </is>
      </c>
      <c r="C568" s="96" t="inlineStr">
        <is>
          <t>Edelweiss Mutual Fund</t>
        </is>
      </c>
      <c r="D568" s="96" t="inlineStr">
        <is>
          <t>Sectoral/ Thematic</t>
        </is>
      </c>
      <c r="E568" s="96" t="inlineStr">
        <is>
          <t>Sectoral/ Thematic</t>
        </is>
      </c>
      <c r="F568" s="97" t="n">
        <v>-3.21</v>
      </c>
      <c r="G568" s="97" t="n">
        <v>-0.93</v>
      </c>
      <c r="H568" s="97" t="n">
        <v>-4.53</v>
      </c>
      <c r="I568" s="97" t="n">
        <v>-5.62</v>
      </c>
      <c r="J568" s="98" t="n">
        <v>0</v>
      </c>
      <c r="K568" s="98" t="n">
        <v>0</v>
      </c>
      <c r="L568" s="78" t="n">
        <v>34.8</v>
      </c>
      <c r="M568" s="18" t="n">
        <v>0</v>
      </c>
      <c r="N568" s="19" t="n">
        <v>19.1</v>
      </c>
      <c r="O568" s="105">
        <f>COUNTIFS($E:$E,$E568,$L:$L,"&gt;"&amp;$L568)+1</f>
        <v/>
      </c>
      <c r="P568" s="105">
        <f>COUNTIFS($E:$E,$E568,$M:$M,"&gt;"&amp;$M568)+1</f>
        <v/>
      </c>
      <c r="Q568" s="105">
        <f>COUNTIFS($E:$E,$E568,$N:$N,"&gt;"&amp;$N568)+1</f>
        <v/>
      </c>
      <c r="R568" s="99" t="inlineStr">
        <is>
          <t>📉 Weak</t>
        </is>
      </c>
      <c r="S568" s="99" t="inlineStr">
        <is>
          <t>⏳ New Fund</t>
        </is>
      </c>
      <c r="T568" s="99" t="inlineStr">
        <is>
          <t>⏳ New Fund</t>
        </is>
      </c>
      <c r="U568" s="100" t="inlineStr">
        <is>
          <t>MOMENTUM_ONLY</t>
        </is>
      </c>
    </row>
    <row r="569" ht="16" customHeight="1">
      <c r="A569" s="95" t="n">
        <v>565</v>
      </c>
      <c r="B569" s="96" t="inlineStr">
        <is>
          <t>Edelweiss Consumption Fund - Regular - Growth</t>
        </is>
      </c>
      <c r="C569" s="96" t="inlineStr">
        <is>
          <t>Edelweiss Mutual Fund</t>
        </is>
      </c>
      <c r="D569" s="96" t="inlineStr">
        <is>
          <t>Sectoral/ Thematic</t>
        </is>
      </c>
      <c r="E569" s="96" t="inlineStr">
        <is>
          <t>Sectoral/ Thematic</t>
        </is>
      </c>
      <c r="F569" s="97" t="n">
        <v>-3.06</v>
      </c>
      <c r="G569" s="98" t="n">
        <v>2.48</v>
      </c>
      <c r="H569" s="97" t="n">
        <v>-8.84</v>
      </c>
      <c r="I569" s="97" t="n">
        <v>-5.33</v>
      </c>
      <c r="J569" s="98" t="n">
        <v>0</v>
      </c>
      <c r="K569" s="98" t="n">
        <v>0</v>
      </c>
      <c r="L569" s="78" t="n">
        <v>34.3</v>
      </c>
      <c r="M569" s="18" t="n">
        <v>0</v>
      </c>
      <c r="N569" s="19" t="n">
        <v>18.9</v>
      </c>
      <c r="O569" s="105">
        <f>COUNTIFS($E:$E,$E569,$L:$L,"&gt;"&amp;$L569)+1</f>
        <v/>
      </c>
      <c r="P569" s="105">
        <f>COUNTIFS($E:$E,$E569,$M:$M,"&gt;"&amp;$M569)+1</f>
        <v/>
      </c>
      <c r="Q569" s="105">
        <f>COUNTIFS($E:$E,$E569,$N:$N,"&gt;"&amp;$N569)+1</f>
        <v/>
      </c>
      <c r="R569" s="99" t="inlineStr">
        <is>
          <t>📉 Weak</t>
        </is>
      </c>
      <c r="S569" s="99" t="inlineStr">
        <is>
          <t>⏳ New Fund</t>
        </is>
      </c>
      <c r="T569" s="99" t="inlineStr">
        <is>
          <t>⏳ New Fund</t>
        </is>
      </c>
      <c r="U569" s="100" t="inlineStr">
        <is>
          <t>MOMENTUM_ONLY</t>
        </is>
      </c>
    </row>
    <row r="570" ht="16" customHeight="1">
      <c r="A570" s="95" t="n">
        <v>566</v>
      </c>
      <c r="B570" s="96" t="inlineStr">
        <is>
          <t>Bank of India Consumption Fund - Regular - Growth</t>
        </is>
      </c>
      <c r="C570" s="96" t="inlineStr">
        <is>
          <t>Bank of India Mutual Fund</t>
        </is>
      </c>
      <c r="D570" s="96" t="inlineStr">
        <is>
          <t>Sectoral/ Thematic</t>
        </is>
      </c>
      <c r="E570" s="96" t="inlineStr">
        <is>
          <t>Sectoral/ Thematic</t>
        </is>
      </c>
      <c r="F570" s="97" t="n">
        <v>-2.87</v>
      </c>
      <c r="G570" s="98" t="n">
        <v>1.4</v>
      </c>
      <c r="H570" s="97" t="n">
        <v>-9.140000000000001</v>
      </c>
      <c r="I570" s="97" t="n">
        <v>-4.25</v>
      </c>
      <c r="J570" s="98" t="n">
        <v>0</v>
      </c>
      <c r="K570" s="98" t="n">
        <v>0</v>
      </c>
      <c r="L570" s="78" t="n">
        <v>34.2</v>
      </c>
      <c r="M570" s="18" t="n">
        <v>0</v>
      </c>
      <c r="N570" s="19" t="n">
        <v>18.8</v>
      </c>
      <c r="O570" s="105">
        <f>COUNTIFS($E:$E,$E570,$L:$L,"&gt;"&amp;$L570)+1</f>
        <v/>
      </c>
      <c r="P570" s="105">
        <f>COUNTIFS($E:$E,$E570,$M:$M,"&gt;"&amp;$M570)+1</f>
        <v/>
      </c>
      <c r="Q570" s="105">
        <f>COUNTIFS($E:$E,$E570,$N:$N,"&gt;"&amp;$N570)+1</f>
        <v/>
      </c>
      <c r="R570" s="99" t="inlineStr">
        <is>
          <t>📉 Weak</t>
        </is>
      </c>
      <c r="S570" s="99" t="inlineStr">
        <is>
          <t>⏳ New Fund</t>
        </is>
      </c>
      <c r="T570" s="99" t="inlineStr">
        <is>
          <t>⏳ New Fund</t>
        </is>
      </c>
      <c r="U570" s="100" t="inlineStr">
        <is>
          <t>MOMENTUM_ONLY</t>
        </is>
      </c>
    </row>
    <row r="571" ht="16" customHeight="1">
      <c r="A571" s="95" t="n">
        <v>567</v>
      </c>
      <c r="B571" s="96" t="inlineStr">
        <is>
          <t>Bajaj Finserv Large and Mid Cap Fund- Regular Plan- Growth</t>
        </is>
      </c>
      <c r="C571" s="96" t="inlineStr">
        <is>
          <t>Bajaj Finserv Mutual Fund</t>
        </is>
      </c>
      <c r="D571" s="96" t="inlineStr">
        <is>
          <t>Large &amp; Mid Cap Fund</t>
        </is>
      </c>
      <c r="E571" s="96" t="inlineStr">
        <is>
          <t>Large &amp; Mid Cap Fund</t>
        </is>
      </c>
      <c r="F571" s="97" t="n">
        <v>-2.63</v>
      </c>
      <c r="G571" s="98" t="n">
        <v>0.41</v>
      </c>
      <c r="H571" s="97" t="n">
        <v>-6.61</v>
      </c>
      <c r="I571" s="97" t="n">
        <v>-5.43</v>
      </c>
      <c r="J571" s="98" t="n">
        <v>1.621848044601126</v>
      </c>
      <c r="K571" s="98" t="n">
        <v>0</v>
      </c>
      <c r="L571" s="78" t="n">
        <v>33.5</v>
      </c>
      <c r="M571" s="18" t="n">
        <v>0</v>
      </c>
      <c r="N571" s="19" t="n">
        <v>18.4</v>
      </c>
      <c r="O571" s="105">
        <f>COUNTIFS($E:$E,$E571,$L:$L,"&gt;"&amp;$L571)+1</f>
        <v/>
      </c>
      <c r="P571" s="105">
        <f>COUNTIFS($E:$E,$E571,$M:$M,"&gt;"&amp;$M571)+1</f>
        <v/>
      </c>
      <c r="Q571" s="105">
        <f>COUNTIFS($E:$E,$E571,$N:$N,"&gt;"&amp;$N571)+1</f>
        <v/>
      </c>
      <c r="R571" s="99" t="inlineStr">
        <is>
          <t>📉 Weak</t>
        </is>
      </c>
      <c r="S571" s="99" t="inlineStr">
        <is>
          <t>⏳ New Fund</t>
        </is>
      </c>
      <c r="T571" s="99" t="inlineStr">
        <is>
          <t>⏳ New Fund</t>
        </is>
      </c>
      <c r="U571" s="100" t="inlineStr">
        <is>
          <t>MOMENTUM_ONLY</t>
        </is>
      </c>
    </row>
    <row r="572" ht="16" customHeight="1">
      <c r="A572" s="95" t="n">
        <v>568</v>
      </c>
      <c r="B572" s="96" t="inlineStr">
        <is>
          <t>WhiteOak Capital Quality Equity Fund Regular Plan Growth</t>
        </is>
      </c>
      <c r="C572" s="96" t="inlineStr">
        <is>
          <t>WhiteOak Capital Mutual Fund</t>
        </is>
      </c>
      <c r="D572" s="96" t="inlineStr">
        <is>
          <t>Sectoral/ Thematic</t>
        </is>
      </c>
      <c r="E572" s="96" t="inlineStr">
        <is>
          <t>Sectoral/ Thematic</t>
        </is>
      </c>
      <c r="F572" s="97" t="n">
        <v>-2.61</v>
      </c>
      <c r="G572" s="98" t="n">
        <v>2.64</v>
      </c>
      <c r="H572" s="97" t="n">
        <v>-9.630000000000001</v>
      </c>
      <c r="I572" s="97" t="n">
        <v>-8.56</v>
      </c>
      <c r="J572" s="98" t="n">
        <v>0</v>
      </c>
      <c r="K572" s="98" t="n">
        <v>0</v>
      </c>
      <c r="L572" s="78" t="n">
        <v>32.6</v>
      </c>
      <c r="M572" s="18" t="n">
        <v>0</v>
      </c>
      <c r="N572" s="19" t="n">
        <v>17.9</v>
      </c>
      <c r="O572" s="105">
        <f>COUNTIFS($E:$E,$E572,$L:$L,"&gt;"&amp;$L572)+1</f>
        <v/>
      </c>
      <c r="P572" s="105">
        <f>COUNTIFS($E:$E,$E572,$M:$M,"&gt;"&amp;$M572)+1</f>
        <v/>
      </c>
      <c r="Q572" s="105">
        <f>COUNTIFS($E:$E,$E572,$N:$N,"&gt;"&amp;$N572)+1</f>
        <v/>
      </c>
      <c r="R572" s="99" t="inlineStr">
        <is>
          <t>📉 Weak</t>
        </is>
      </c>
      <c r="S572" s="99" t="inlineStr">
        <is>
          <t>⏳ New Fund</t>
        </is>
      </c>
      <c r="T572" s="99" t="inlineStr">
        <is>
          <t>⏳ New Fund</t>
        </is>
      </c>
      <c r="U572" s="100" t="inlineStr">
        <is>
          <t>MOMENTUM_ONLY</t>
        </is>
      </c>
    </row>
    <row r="573" ht="16" customHeight="1">
      <c r="A573" s="95" t="n">
        <v>569</v>
      </c>
      <c r="B573" s="96" t="inlineStr">
        <is>
          <t>Sundaram Business Cycle Fund Regular Plan Growth</t>
        </is>
      </c>
      <c r="C573" s="96" t="inlineStr">
        <is>
          <t>Sundaram Mutual Fund</t>
        </is>
      </c>
      <c r="D573" s="96" t="inlineStr">
        <is>
          <t>Sectoral/ Thematic</t>
        </is>
      </c>
      <c r="E573" s="96" t="inlineStr">
        <is>
          <t>Sectoral/ Thematic</t>
        </is>
      </c>
      <c r="F573" s="97" t="n">
        <v>-3.79</v>
      </c>
      <c r="G573" s="98" t="n">
        <v>4.82</v>
      </c>
      <c r="H573" s="97" t="n">
        <v>-7.57</v>
      </c>
      <c r="I573" s="97" t="n">
        <v>-8.34</v>
      </c>
      <c r="J573" s="98" t="n">
        <v>0</v>
      </c>
      <c r="K573" s="98" t="n">
        <v>0</v>
      </c>
      <c r="L573" s="78" t="n">
        <v>32</v>
      </c>
      <c r="M573" s="18" t="n">
        <v>0</v>
      </c>
      <c r="N573" s="19" t="n">
        <v>17.6</v>
      </c>
      <c r="O573" s="105">
        <f>COUNTIFS($E:$E,$E573,$L:$L,"&gt;"&amp;$L573)+1</f>
        <v/>
      </c>
      <c r="P573" s="105">
        <f>COUNTIFS($E:$E,$E573,$M:$M,"&gt;"&amp;$M573)+1</f>
        <v/>
      </c>
      <c r="Q573" s="105">
        <f>COUNTIFS($E:$E,$E573,$N:$N,"&gt;"&amp;$N573)+1</f>
        <v/>
      </c>
      <c r="R573" s="99" t="inlineStr">
        <is>
          <t>📉 Weak</t>
        </is>
      </c>
      <c r="S573" s="99" t="inlineStr">
        <is>
          <t>⏳ New Fund</t>
        </is>
      </c>
      <c r="T573" s="99" t="inlineStr">
        <is>
          <t>⏳ New Fund</t>
        </is>
      </c>
      <c r="U573" s="100" t="inlineStr">
        <is>
          <t>MOMENTUM_ONLY</t>
        </is>
      </c>
    </row>
    <row r="574" ht="16" customHeight="1">
      <c r="A574" s="95" t="n">
        <v>570</v>
      </c>
      <c r="B574" s="96" t="inlineStr">
        <is>
          <t>Axis Consumption Fund Regular Plan - Growth</t>
        </is>
      </c>
      <c r="C574" s="96" t="inlineStr">
        <is>
          <t>Axis Mutual Fund</t>
        </is>
      </c>
      <c r="D574" s="96" t="inlineStr">
        <is>
          <t>Sectoral/ Thematic</t>
        </is>
      </c>
      <c r="E574" s="96" t="inlineStr">
        <is>
          <t>Sectoral/ Thematic</t>
        </is>
      </c>
      <c r="F574" s="97" t="n">
        <v>-2.81</v>
      </c>
      <c r="G574" s="98" t="n">
        <v>2.37</v>
      </c>
      <c r="H574" s="97" t="n">
        <v>-10</v>
      </c>
      <c r="I574" s="97" t="n">
        <v>-7.3</v>
      </c>
      <c r="J574" s="98" t="n">
        <v>0</v>
      </c>
      <c r="K574" s="98" t="n">
        <v>0</v>
      </c>
      <c r="L574" s="78" t="n">
        <v>31.8</v>
      </c>
      <c r="M574" s="18" t="n">
        <v>0</v>
      </c>
      <c r="N574" s="19" t="n">
        <v>17.5</v>
      </c>
      <c r="O574" s="105">
        <f>COUNTIFS($E:$E,$E574,$L:$L,"&gt;"&amp;$L574)+1</f>
        <v/>
      </c>
      <c r="P574" s="105">
        <f>COUNTIFS($E:$E,$E574,$M:$M,"&gt;"&amp;$M574)+1</f>
        <v/>
      </c>
      <c r="Q574" s="105">
        <f>COUNTIFS($E:$E,$E574,$N:$N,"&gt;"&amp;$N574)+1</f>
        <v/>
      </c>
      <c r="R574" s="99" t="inlineStr">
        <is>
          <t>📉 Weak</t>
        </is>
      </c>
      <c r="S574" s="99" t="inlineStr">
        <is>
          <t>⏳ New Fund</t>
        </is>
      </c>
      <c r="T574" s="99" t="inlineStr">
        <is>
          <t>⏳ New Fund</t>
        </is>
      </c>
      <c r="U574" s="100" t="inlineStr">
        <is>
          <t>MOMENTUM_ONLY</t>
        </is>
      </c>
    </row>
    <row r="575" ht="16" customHeight="1">
      <c r="A575" s="95" t="n">
        <v>571</v>
      </c>
      <c r="B575" s="96" t="inlineStr">
        <is>
          <t>Bandhan Business Cycle Fund - Regular Plan - Growth</t>
        </is>
      </c>
      <c r="C575" s="96" t="inlineStr">
        <is>
          <t>Bandhan Mutual Fund</t>
        </is>
      </c>
      <c r="D575" s="96" t="inlineStr">
        <is>
          <t>Sectoral/ Thematic</t>
        </is>
      </c>
      <c r="E575" s="96" t="inlineStr">
        <is>
          <t>Sectoral/ Thematic</t>
        </is>
      </c>
      <c r="F575" s="97" t="n">
        <v>-2.86</v>
      </c>
      <c r="G575" s="98" t="n">
        <v>1.64</v>
      </c>
      <c r="H575" s="97" t="n">
        <v>-8.800000000000001</v>
      </c>
      <c r="I575" s="97" t="n">
        <v>-7.6</v>
      </c>
      <c r="J575" s="98" t="n">
        <v>0</v>
      </c>
      <c r="K575" s="98" t="n">
        <v>0</v>
      </c>
      <c r="L575" s="78" t="n">
        <v>31.7</v>
      </c>
      <c r="M575" s="18" t="n">
        <v>0</v>
      </c>
      <c r="N575" s="19" t="n">
        <v>17.4</v>
      </c>
      <c r="O575" s="105">
        <f>COUNTIFS($E:$E,$E575,$L:$L,"&gt;"&amp;$L575)+1</f>
        <v/>
      </c>
      <c r="P575" s="105">
        <f>COUNTIFS($E:$E,$E575,$M:$M,"&gt;"&amp;$M575)+1</f>
        <v/>
      </c>
      <c r="Q575" s="105">
        <f>COUNTIFS($E:$E,$E575,$N:$N,"&gt;"&amp;$N575)+1</f>
        <v/>
      </c>
      <c r="R575" s="99" t="inlineStr">
        <is>
          <t>📉 Weak</t>
        </is>
      </c>
      <c r="S575" s="99" t="inlineStr">
        <is>
          <t>⏳ New Fund</t>
        </is>
      </c>
      <c r="T575" s="99" t="inlineStr">
        <is>
          <t>⏳ New Fund</t>
        </is>
      </c>
      <c r="U575" s="100" t="inlineStr">
        <is>
          <t>MOMENTUM_ONLY</t>
        </is>
      </c>
    </row>
    <row r="576" ht="16" customHeight="1">
      <c r="A576" s="95" t="n">
        <v>572</v>
      </c>
      <c r="B576" s="96" t="inlineStr">
        <is>
          <t>Invesco India Technology Fund - Regular Plan - Growth</t>
        </is>
      </c>
      <c r="C576" s="96" t="inlineStr">
        <is>
          <t>Invesco Mutual Fund</t>
        </is>
      </c>
      <c r="D576" s="96" t="inlineStr">
        <is>
          <t>Sectoral/ Thematic</t>
        </is>
      </c>
      <c r="E576" s="96" t="inlineStr">
        <is>
          <t>Sectoral/ Thematic</t>
        </is>
      </c>
      <c r="F576" s="97" t="n">
        <v>-3.5</v>
      </c>
      <c r="G576" s="98" t="n">
        <v>8.619999999999999</v>
      </c>
      <c r="H576" s="97" t="n">
        <v>-12.33</v>
      </c>
      <c r="I576" s="97" t="n">
        <v>-8.880000000000001</v>
      </c>
      <c r="J576" s="98" t="n">
        <v>0</v>
      </c>
      <c r="K576" s="98" t="n">
        <v>0</v>
      </c>
      <c r="L576" s="78" t="n">
        <v>30.1</v>
      </c>
      <c r="M576" s="18" t="n">
        <v>0</v>
      </c>
      <c r="N576" s="19" t="n">
        <v>16.6</v>
      </c>
      <c r="O576" s="105">
        <f>COUNTIFS($E:$E,$E576,$L:$L,"&gt;"&amp;$L576)+1</f>
        <v/>
      </c>
      <c r="P576" s="105">
        <f>COUNTIFS($E:$E,$E576,$M:$M,"&gt;"&amp;$M576)+1</f>
        <v/>
      </c>
      <c r="Q576" s="105">
        <f>COUNTIFS($E:$E,$E576,$N:$N,"&gt;"&amp;$N576)+1</f>
        <v/>
      </c>
      <c r="R576" s="99" t="inlineStr">
        <is>
          <t>📉 Weak</t>
        </is>
      </c>
      <c r="S576" s="99" t="inlineStr">
        <is>
          <t>⏳ New Fund</t>
        </is>
      </c>
      <c r="T576" s="99" t="inlineStr">
        <is>
          <t>⏳ New Fund</t>
        </is>
      </c>
      <c r="U576" s="100" t="inlineStr">
        <is>
          <t>MOMENTUM_ONLY</t>
        </is>
      </c>
    </row>
    <row r="577" ht="16" customHeight="1">
      <c r="A577" s="95" t="n">
        <v>573</v>
      </c>
      <c r="B577" s="96" t="inlineStr">
        <is>
          <t>HDFC Consumption Fund - Growth Option</t>
        </is>
      </c>
      <c r="C577" s="96" t="inlineStr">
        <is>
          <t>HDFC Mutual Fund</t>
        </is>
      </c>
      <c r="D577" s="96" t="inlineStr">
        <is>
          <t>Sectoral/ Thematic</t>
        </is>
      </c>
      <c r="E577" s="96" t="inlineStr">
        <is>
          <t>Sectoral/ Thematic</t>
        </is>
      </c>
      <c r="F577" s="97" t="n">
        <v>-3.02</v>
      </c>
      <c r="G577" s="98" t="n">
        <v>2.59</v>
      </c>
      <c r="H577" s="97" t="n">
        <v>-9.449999999999999</v>
      </c>
      <c r="I577" s="97" t="n">
        <v>-8.77</v>
      </c>
      <c r="J577" s="97" t="n">
        <v>-1.242721787201939</v>
      </c>
      <c r="K577" s="98" t="n">
        <v>0</v>
      </c>
      <c r="L577" s="78" t="n">
        <v>30.1</v>
      </c>
      <c r="M577" s="18" t="n">
        <v>0</v>
      </c>
      <c r="N577" s="19" t="n">
        <v>16.5</v>
      </c>
      <c r="O577" s="105">
        <f>COUNTIFS($E:$E,$E577,$L:$L,"&gt;"&amp;$L577)+1</f>
        <v/>
      </c>
      <c r="P577" s="105">
        <f>COUNTIFS($E:$E,$E577,$M:$M,"&gt;"&amp;$M577)+1</f>
        <v/>
      </c>
      <c r="Q577" s="105">
        <f>COUNTIFS($E:$E,$E577,$N:$N,"&gt;"&amp;$N577)+1</f>
        <v/>
      </c>
      <c r="R577" s="99" t="inlineStr">
        <is>
          <t>📉 Weak</t>
        </is>
      </c>
      <c r="S577" s="99" t="inlineStr">
        <is>
          <t>⏳ New Fund</t>
        </is>
      </c>
      <c r="T577" s="99" t="inlineStr">
        <is>
          <t>⏳ New Fund</t>
        </is>
      </c>
      <c r="U577" s="100" t="inlineStr">
        <is>
          <t>MOMENTUM_ONLY</t>
        </is>
      </c>
    </row>
    <row r="578" ht="16" customHeight="1">
      <c r="A578" s="95" t="n">
        <v>574</v>
      </c>
      <c r="B578" s="96" t="inlineStr">
        <is>
          <t>Baroda BNP Paribas Business Conglomerates Fund Regular Growth Option</t>
        </is>
      </c>
      <c r="C578" s="96" t="inlineStr">
        <is>
          <t>Baroda BNP Paribas Mutual Fund</t>
        </is>
      </c>
      <c r="D578" s="96" t="inlineStr">
        <is>
          <t>Sectoral/ Thematic</t>
        </is>
      </c>
      <c r="E578" s="96" t="inlineStr">
        <is>
          <t>Sectoral/ Thematic</t>
        </is>
      </c>
      <c r="F578" s="97" t="n">
        <v>-4.14</v>
      </c>
      <c r="G578" s="98" t="n">
        <v>0.02</v>
      </c>
      <c r="H578" s="97" t="n">
        <v>-8.720000000000001</v>
      </c>
      <c r="I578" s="98" t="n">
        <v>0</v>
      </c>
      <c r="J578" s="98" t="n">
        <v>0</v>
      </c>
      <c r="K578" s="98" t="n">
        <v>0</v>
      </c>
      <c r="L578" s="78" t="n">
        <v>30</v>
      </c>
      <c r="M578" s="18" t="n">
        <v>0</v>
      </c>
      <c r="N578" s="19" t="n">
        <v>16.5</v>
      </c>
      <c r="O578" s="105">
        <f>COUNTIFS($E:$E,$E578,$L:$L,"&gt;"&amp;$L578)+1</f>
        <v/>
      </c>
      <c r="P578" s="105">
        <f>COUNTIFS($E:$E,$E578,$M:$M,"&gt;"&amp;$M578)+1</f>
        <v/>
      </c>
      <c r="Q578" s="105">
        <f>COUNTIFS($E:$E,$E578,$N:$N,"&gt;"&amp;$N578)+1</f>
        <v/>
      </c>
      <c r="R578" s="99" t="inlineStr">
        <is>
          <t>📉 Weak</t>
        </is>
      </c>
      <c r="S578" s="99" t="inlineStr">
        <is>
          <t>⏳ New Fund</t>
        </is>
      </c>
      <c r="T578" s="99" t="inlineStr">
        <is>
          <t>⏳ New Fund</t>
        </is>
      </c>
      <c r="U578" s="100" t="inlineStr">
        <is>
          <t>MOMENTUM_ONLY</t>
        </is>
      </c>
    </row>
    <row r="579" ht="16" customHeight="1">
      <c r="A579" s="95" t="n">
        <v>575</v>
      </c>
      <c r="B579" s="96" t="inlineStr">
        <is>
          <t>HSBC Consumption Fund - Regular Growth</t>
        </is>
      </c>
      <c r="C579" s="96" t="inlineStr">
        <is>
          <t>HSBC Mutual Fund</t>
        </is>
      </c>
      <c r="D579" s="96" t="inlineStr">
        <is>
          <t>Sectoral/ Thematic</t>
        </is>
      </c>
      <c r="E579" s="96" t="inlineStr">
        <is>
          <t>Sectoral/ Thematic</t>
        </is>
      </c>
      <c r="F579" s="97" t="n">
        <v>-4.34</v>
      </c>
      <c r="G579" s="98" t="n">
        <v>3.13</v>
      </c>
      <c r="H579" s="97" t="n">
        <v>-7.79</v>
      </c>
      <c r="I579" s="97" t="n">
        <v>-5.62</v>
      </c>
      <c r="J579" s="98" t="n">
        <v>1.784085199995777</v>
      </c>
      <c r="K579" s="98" t="n">
        <v>0</v>
      </c>
      <c r="L579" s="78" t="n">
        <v>29.6</v>
      </c>
      <c r="M579" s="18" t="n">
        <v>0</v>
      </c>
      <c r="N579" s="19" t="n">
        <v>16.3</v>
      </c>
      <c r="O579" s="105">
        <f>COUNTIFS($E:$E,$E579,$L:$L,"&gt;"&amp;$L579)+1</f>
        <v/>
      </c>
      <c r="P579" s="105">
        <f>COUNTIFS($E:$E,$E579,$M:$M,"&gt;"&amp;$M579)+1</f>
        <v/>
      </c>
      <c r="Q579" s="105">
        <f>COUNTIFS($E:$E,$E579,$N:$N,"&gt;"&amp;$N579)+1</f>
        <v/>
      </c>
      <c r="R579" s="99" t="inlineStr">
        <is>
          <t>📉 Weak</t>
        </is>
      </c>
      <c r="S579" s="99" t="inlineStr">
        <is>
          <t>⏳ New Fund</t>
        </is>
      </c>
      <c r="T579" s="99" t="inlineStr">
        <is>
          <t>⏳ New Fund</t>
        </is>
      </c>
      <c r="U579" s="100" t="inlineStr">
        <is>
          <t>MOMENTUM_ONLY</t>
        </is>
      </c>
    </row>
    <row r="580" ht="16" customHeight="1">
      <c r="A580" s="95" t="n">
        <v>576</v>
      </c>
      <c r="B580" s="96" t="inlineStr">
        <is>
          <t>NJ Flexi Cap Fund - Regular Plan - Growth Option</t>
        </is>
      </c>
      <c r="C580" s="96" t="inlineStr">
        <is>
          <t>NJ Mutual Fund</t>
        </is>
      </c>
      <c r="D580" s="96" t="inlineStr">
        <is>
          <t>Flexi Cap Fund</t>
        </is>
      </c>
      <c r="E580" s="96" t="inlineStr">
        <is>
          <t>Flexi Cap Fund</t>
        </is>
      </c>
      <c r="F580" s="97" t="n">
        <v>-2.98</v>
      </c>
      <c r="G580" s="98" t="n">
        <v>1.14</v>
      </c>
      <c r="H580" s="97" t="n">
        <v>-7.4</v>
      </c>
      <c r="I580" s="97" t="n">
        <v>-7.47</v>
      </c>
      <c r="J580" s="97" t="n">
        <v>-4.627047859469091</v>
      </c>
      <c r="K580" s="98" t="n">
        <v>0</v>
      </c>
      <c r="L580" s="78" t="n">
        <v>29.6</v>
      </c>
      <c r="M580" s="18" t="n">
        <v>0</v>
      </c>
      <c r="N580" s="19" t="n">
        <v>16.3</v>
      </c>
      <c r="O580" s="105">
        <f>COUNTIFS($E:$E,$E580,$L:$L,"&gt;"&amp;$L580)+1</f>
        <v/>
      </c>
      <c r="P580" s="105">
        <f>COUNTIFS($E:$E,$E580,$M:$M,"&gt;"&amp;$M580)+1</f>
        <v/>
      </c>
      <c r="Q580" s="105">
        <f>COUNTIFS($E:$E,$E580,$N:$N,"&gt;"&amp;$N580)+1</f>
        <v/>
      </c>
      <c r="R580" s="99" t="inlineStr">
        <is>
          <t>📉 Weak</t>
        </is>
      </c>
      <c r="S580" s="99" t="inlineStr">
        <is>
          <t>⏳ New Fund</t>
        </is>
      </c>
      <c r="T580" s="99" t="inlineStr">
        <is>
          <t>⏳ New Fund</t>
        </is>
      </c>
      <c r="U580" s="100" t="inlineStr">
        <is>
          <t>MOMENTUM_ONLY</t>
        </is>
      </c>
    </row>
    <row r="581" ht="16" customHeight="1">
      <c r="A581" s="95" t="n">
        <v>577</v>
      </c>
      <c r="B581" s="96" t="inlineStr">
        <is>
          <t>Quantum Ethical Fund - Regular Plan Growth Option</t>
        </is>
      </c>
      <c r="C581" s="96" t="inlineStr">
        <is>
          <t>Quantum Mutual Fund</t>
        </is>
      </c>
      <c r="D581" s="96" t="inlineStr">
        <is>
          <t>Sectoral/ Thematic</t>
        </is>
      </c>
      <c r="E581" s="96" t="inlineStr">
        <is>
          <t>Sectoral/ Thematic</t>
        </is>
      </c>
      <c r="F581" s="97" t="n">
        <v>-4.19</v>
      </c>
      <c r="G581" s="98" t="n">
        <v>2.35</v>
      </c>
      <c r="H581" s="97" t="n">
        <v>-6.45</v>
      </c>
      <c r="I581" s="97" t="n">
        <v>-8.42</v>
      </c>
      <c r="J581" s="98" t="n">
        <v>0</v>
      </c>
      <c r="K581" s="98" t="n">
        <v>0</v>
      </c>
      <c r="L581" s="78" t="n">
        <v>29.1</v>
      </c>
      <c r="M581" s="18" t="n">
        <v>0</v>
      </c>
      <c r="N581" s="19" t="n">
        <v>16</v>
      </c>
      <c r="O581" s="105">
        <f>COUNTIFS($E:$E,$E581,$L:$L,"&gt;"&amp;$L581)+1</f>
        <v/>
      </c>
      <c r="P581" s="105">
        <f>COUNTIFS($E:$E,$E581,$M:$M,"&gt;"&amp;$M581)+1</f>
        <v/>
      </c>
      <c r="Q581" s="105">
        <f>COUNTIFS($E:$E,$E581,$N:$N,"&gt;"&amp;$N581)+1</f>
        <v/>
      </c>
      <c r="R581" s="99" t="inlineStr">
        <is>
          <t>📉 Weak</t>
        </is>
      </c>
      <c r="S581" s="99" t="inlineStr">
        <is>
          <t>⏳ New Fund</t>
        </is>
      </c>
      <c r="T581" s="99" t="inlineStr">
        <is>
          <t>⏳ New Fund</t>
        </is>
      </c>
      <c r="U581" s="100" t="inlineStr">
        <is>
          <t>MOMENTUM_ONLY</t>
        </is>
      </c>
    </row>
    <row r="582" ht="16" customHeight="1">
      <c r="A582" s="95" t="n">
        <v>578</v>
      </c>
      <c r="B582" s="96" t="inlineStr">
        <is>
          <t>UTI Quant Fund - Regular Plan - Growth Option</t>
        </is>
      </c>
      <c r="C582" s="96" t="inlineStr">
        <is>
          <t>UTI Mutual Fund</t>
        </is>
      </c>
      <c r="D582" s="96" t="inlineStr">
        <is>
          <t>Sectoral/ Thematic</t>
        </is>
      </c>
      <c r="E582" s="96" t="inlineStr">
        <is>
          <t>Sectoral/ Thematic</t>
        </is>
      </c>
      <c r="F582" s="97" t="n">
        <v>-3.33</v>
      </c>
      <c r="G582" s="98" t="n">
        <v>0.76</v>
      </c>
      <c r="H582" s="97" t="n">
        <v>-7.33</v>
      </c>
      <c r="I582" s="97" t="n">
        <v>-8.01</v>
      </c>
      <c r="J582" s="98" t="n">
        <v>0</v>
      </c>
      <c r="K582" s="98" t="n">
        <v>0</v>
      </c>
      <c r="L582" s="78" t="n">
        <v>29.1</v>
      </c>
      <c r="M582" s="18" t="n">
        <v>0</v>
      </c>
      <c r="N582" s="19" t="n">
        <v>16</v>
      </c>
      <c r="O582" s="105">
        <f>COUNTIFS($E:$E,$E582,$L:$L,"&gt;"&amp;$L582)+1</f>
        <v/>
      </c>
      <c r="P582" s="105">
        <f>COUNTIFS($E:$E,$E582,$M:$M,"&gt;"&amp;$M582)+1</f>
        <v/>
      </c>
      <c r="Q582" s="105">
        <f>COUNTIFS($E:$E,$E582,$N:$N,"&gt;"&amp;$N582)+1</f>
        <v/>
      </c>
      <c r="R582" s="99" t="inlineStr">
        <is>
          <t>📉 Weak</t>
        </is>
      </c>
      <c r="S582" s="99" t="inlineStr">
        <is>
          <t>⏳ New Fund</t>
        </is>
      </c>
      <c r="T582" s="99" t="inlineStr">
        <is>
          <t>⏳ New Fund</t>
        </is>
      </c>
      <c r="U582" s="100" t="inlineStr">
        <is>
          <t>MOMENTUM_ONLY</t>
        </is>
      </c>
    </row>
    <row r="583" ht="16" customHeight="1">
      <c r="A583" s="95" t="n">
        <v>579</v>
      </c>
      <c r="B583" s="96" t="inlineStr">
        <is>
          <t>UTI Multi Cap Fund - Regular Plan - Growth Option</t>
        </is>
      </c>
      <c r="C583" s="96" t="inlineStr">
        <is>
          <t>UTI Mutual Fund</t>
        </is>
      </c>
      <c r="D583" s="96" t="inlineStr">
        <is>
          <t>Multi Cap Fund</t>
        </is>
      </c>
      <c r="E583" s="96" t="inlineStr">
        <is>
          <t>Multi Cap Fund</t>
        </is>
      </c>
      <c r="F583" s="97" t="n">
        <v>-2.54</v>
      </c>
      <c r="G583" s="98" t="n">
        <v>1.3</v>
      </c>
      <c r="H583" s="97" t="n">
        <v>-6.62</v>
      </c>
      <c r="I583" s="97" t="n">
        <v>-3.76</v>
      </c>
      <c r="J583" s="98" t="n">
        <v>0</v>
      </c>
      <c r="K583" s="98" t="n">
        <v>0</v>
      </c>
      <c r="L583" s="78" t="n">
        <v>28.9</v>
      </c>
      <c r="M583" s="18" t="n">
        <v>0</v>
      </c>
      <c r="N583" s="19" t="n">
        <v>15.9</v>
      </c>
      <c r="O583" s="105">
        <f>COUNTIFS($E:$E,$E583,$L:$L,"&gt;"&amp;$L583)+1</f>
        <v/>
      </c>
      <c r="P583" s="105">
        <f>COUNTIFS($E:$E,$E583,$M:$M,"&gt;"&amp;$M583)+1</f>
        <v/>
      </c>
      <c r="Q583" s="105">
        <f>COUNTIFS($E:$E,$E583,$N:$N,"&gt;"&amp;$N583)+1</f>
        <v/>
      </c>
      <c r="R583" s="99" t="inlineStr">
        <is>
          <t>📉 Weak</t>
        </is>
      </c>
      <c r="S583" s="99" t="inlineStr">
        <is>
          <t>⏳ New Fund</t>
        </is>
      </c>
      <c r="T583" s="99" t="inlineStr">
        <is>
          <t>⏳ New Fund</t>
        </is>
      </c>
      <c r="U583" s="100" t="inlineStr">
        <is>
          <t>MOMENTUM_ONLY</t>
        </is>
      </c>
    </row>
    <row r="584" ht="16" customHeight="1">
      <c r="A584" s="95" t="n">
        <v>580</v>
      </c>
      <c r="B584" s="96" t="inlineStr">
        <is>
          <t>Kotak Transportation &amp; Logistics Fund-Regular-Growth</t>
        </is>
      </c>
      <c r="C584" s="96" t="inlineStr">
        <is>
          <t>Kotak Mahindra Mutual Fund</t>
        </is>
      </c>
      <c r="D584" s="96" t="inlineStr">
        <is>
          <t>Sectoral/ Thematic</t>
        </is>
      </c>
      <c r="E584" s="96" t="inlineStr">
        <is>
          <t>Sectoral/ Thematic</t>
        </is>
      </c>
      <c r="F584" s="97" t="n">
        <v>-5.75</v>
      </c>
      <c r="G584" s="97" t="n">
        <v>-0.67</v>
      </c>
      <c r="H584" s="97" t="n">
        <v>-9.98</v>
      </c>
      <c r="I584" s="98" t="n">
        <v>1.11</v>
      </c>
      <c r="J584" s="98" t="n">
        <v>0</v>
      </c>
      <c r="K584" s="98" t="n">
        <v>0</v>
      </c>
      <c r="L584" s="78" t="n">
        <v>26.4</v>
      </c>
      <c r="M584" s="18" t="n">
        <v>0</v>
      </c>
      <c r="N584" s="19" t="n">
        <v>14.5</v>
      </c>
      <c r="O584" s="105">
        <f>COUNTIFS($E:$E,$E584,$L:$L,"&gt;"&amp;$L584)+1</f>
        <v/>
      </c>
      <c r="P584" s="105">
        <f>COUNTIFS($E:$E,$E584,$M:$M,"&gt;"&amp;$M584)+1</f>
        <v/>
      </c>
      <c r="Q584" s="105">
        <f>COUNTIFS($E:$E,$E584,$N:$N,"&gt;"&amp;$N584)+1</f>
        <v/>
      </c>
      <c r="R584" s="99" t="inlineStr">
        <is>
          <t>📉 Weak</t>
        </is>
      </c>
      <c r="S584" s="99" t="inlineStr">
        <is>
          <t>⏳ New Fund</t>
        </is>
      </c>
      <c r="T584" s="99" t="inlineStr">
        <is>
          <t>⏳ New Fund</t>
        </is>
      </c>
      <c r="U584" s="100" t="inlineStr">
        <is>
          <t>MOMENTUM_ONLY</t>
        </is>
      </c>
    </row>
    <row r="585" ht="16" customHeight="1">
      <c r="A585" s="95" t="n">
        <v>581</v>
      </c>
      <c r="B585" s="96" t="inlineStr">
        <is>
          <t>PGIM India Large and Midcap Fund - Regular Plan - Growth Option</t>
        </is>
      </c>
      <c r="C585" s="96" t="inlineStr">
        <is>
          <t>PGIM India Mutual Fund</t>
        </is>
      </c>
      <c r="D585" s="96" t="inlineStr">
        <is>
          <t>Large &amp; Mid Cap Fund</t>
        </is>
      </c>
      <c r="E585" s="96" t="inlineStr">
        <is>
          <t>Large &amp; Mid Cap Fund</t>
        </is>
      </c>
      <c r="F585" s="97" t="n">
        <v>-3.07</v>
      </c>
      <c r="G585" s="98" t="n">
        <v>0.95</v>
      </c>
      <c r="H585" s="97" t="n">
        <v>-6.7</v>
      </c>
      <c r="I585" s="97" t="n">
        <v>-6.1</v>
      </c>
      <c r="J585" s="98" t="n">
        <v>2.620660687797161</v>
      </c>
      <c r="K585" s="98" t="n">
        <v>0</v>
      </c>
      <c r="L585" s="78" t="n">
        <v>26.3</v>
      </c>
      <c r="M585" s="18" t="n">
        <v>0</v>
      </c>
      <c r="N585" s="19" t="n">
        <v>14.5</v>
      </c>
      <c r="O585" s="105">
        <f>COUNTIFS($E:$E,$E585,$L:$L,"&gt;"&amp;$L585)+1</f>
        <v/>
      </c>
      <c r="P585" s="105">
        <f>COUNTIFS($E:$E,$E585,$M:$M,"&gt;"&amp;$M585)+1</f>
        <v/>
      </c>
      <c r="Q585" s="105">
        <f>COUNTIFS($E:$E,$E585,$N:$N,"&gt;"&amp;$N585)+1</f>
        <v/>
      </c>
      <c r="R585" s="99" t="inlineStr">
        <is>
          <t>📉 Weak</t>
        </is>
      </c>
      <c r="S585" s="99" t="inlineStr">
        <is>
          <t>⏳ New Fund</t>
        </is>
      </c>
      <c r="T585" s="99" t="inlineStr">
        <is>
          <t>⏳ New Fund</t>
        </is>
      </c>
      <c r="U585" s="100" t="inlineStr">
        <is>
          <t>MOMENTUM_ONLY</t>
        </is>
      </c>
    </row>
    <row r="586" ht="16" customHeight="1">
      <c r="A586" s="95" t="n">
        <v>582</v>
      </c>
      <c r="B586" s="96" t="inlineStr">
        <is>
          <t>WhiteOak Capital ESG Best-In-Class Strategy Fund Regular Plan Growth</t>
        </is>
      </c>
      <c r="C586" s="96" t="inlineStr">
        <is>
          <t>WhiteOak Capital Mutual Fund</t>
        </is>
      </c>
      <c r="D586" s="96" t="inlineStr">
        <is>
          <t>Sectoral/ Thematic</t>
        </is>
      </c>
      <c r="E586" s="96" t="inlineStr">
        <is>
          <t>Sectoral/ Thematic</t>
        </is>
      </c>
      <c r="F586" s="97" t="n">
        <v>-2.78</v>
      </c>
      <c r="G586" s="98" t="n">
        <v>1.29</v>
      </c>
      <c r="H586" s="97" t="n">
        <v>-11.2</v>
      </c>
      <c r="I586" s="97" t="n">
        <v>-9.42</v>
      </c>
      <c r="J586" s="98" t="n">
        <v>0</v>
      </c>
      <c r="K586" s="98" t="n">
        <v>0</v>
      </c>
      <c r="L586" s="78" t="n">
        <v>25.7</v>
      </c>
      <c r="M586" s="18" t="n">
        <v>0</v>
      </c>
      <c r="N586" s="19" t="n">
        <v>14.1</v>
      </c>
      <c r="O586" s="105">
        <f>COUNTIFS($E:$E,$E586,$L:$L,"&gt;"&amp;$L586)+1</f>
        <v/>
      </c>
      <c r="P586" s="105">
        <f>COUNTIFS($E:$E,$E586,$M:$M,"&gt;"&amp;$M586)+1</f>
        <v/>
      </c>
      <c r="Q586" s="105">
        <f>COUNTIFS($E:$E,$E586,$N:$N,"&gt;"&amp;$N586)+1</f>
        <v/>
      </c>
      <c r="R586" s="99" t="inlineStr">
        <is>
          <t>📉 Weak</t>
        </is>
      </c>
      <c r="S586" s="99" t="inlineStr">
        <is>
          <t>⏳ New Fund</t>
        </is>
      </c>
      <c r="T586" s="99" t="inlineStr">
        <is>
          <t>⏳ New Fund</t>
        </is>
      </c>
      <c r="U586" s="100" t="inlineStr">
        <is>
          <t>MOMENTUM_ONLY</t>
        </is>
      </c>
    </row>
    <row r="587" ht="16" customHeight="1">
      <c r="A587" s="95" t="n">
        <v>583</v>
      </c>
      <c r="B587" s="96" t="inlineStr">
        <is>
          <t>Kotak Technology Fund - Regular Plan - Growth Option</t>
        </is>
      </c>
      <c r="C587" s="96" t="inlineStr">
        <is>
          <t>Kotak Mahindra Mutual Fund</t>
        </is>
      </c>
      <c r="D587" s="96" t="inlineStr">
        <is>
          <t>Sectoral/ Thematic</t>
        </is>
      </c>
      <c r="E587" s="96" t="inlineStr">
        <is>
          <t>Sectoral/ Thematic</t>
        </is>
      </c>
      <c r="F587" s="97" t="n">
        <v>-1.39</v>
      </c>
      <c r="G587" s="97" t="n">
        <v>-1.38</v>
      </c>
      <c r="H587" s="97" t="n">
        <v>-21.13</v>
      </c>
      <c r="I587" s="97" t="n">
        <v>-19.06</v>
      </c>
      <c r="J587" s="97" t="n">
        <v>-4.015626271772755</v>
      </c>
      <c r="K587" s="98" t="n">
        <v>0</v>
      </c>
      <c r="L587" s="78" t="n">
        <v>24.6</v>
      </c>
      <c r="M587" s="18" t="n">
        <v>0</v>
      </c>
      <c r="N587" s="19" t="n">
        <v>13.5</v>
      </c>
      <c r="O587" s="105">
        <f>COUNTIFS($E:$E,$E587,$L:$L,"&gt;"&amp;$L587)+1</f>
        <v/>
      </c>
      <c r="P587" s="105">
        <f>COUNTIFS($E:$E,$E587,$M:$M,"&gt;"&amp;$M587)+1</f>
        <v/>
      </c>
      <c r="Q587" s="105">
        <f>COUNTIFS($E:$E,$E587,$N:$N,"&gt;"&amp;$N587)+1</f>
        <v/>
      </c>
      <c r="R587" s="99" t="inlineStr">
        <is>
          <t>📉 Weak</t>
        </is>
      </c>
      <c r="S587" s="99" t="inlineStr">
        <is>
          <t>⏳ New Fund</t>
        </is>
      </c>
      <c r="T587" s="99" t="inlineStr">
        <is>
          <t>⏳ New Fund</t>
        </is>
      </c>
      <c r="U587" s="100" t="inlineStr">
        <is>
          <t>MOMENTUM_ONLY</t>
        </is>
      </c>
    </row>
    <row r="588" ht="16" customHeight="1">
      <c r="A588" s="95" t="n">
        <v>584</v>
      </c>
      <c r="B588" s="96" t="inlineStr">
        <is>
          <t>UTI Innovation Fund - Regular Plan - Growth Option</t>
        </is>
      </c>
      <c r="C588" s="96" t="inlineStr">
        <is>
          <t>UTI Mutual Fund</t>
        </is>
      </c>
      <c r="D588" s="96" t="inlineStr">
        <is>
          <t>Sectoral/ Thematic</t>
        </is>
      </c>
      <c r="E588" s="96" t="inlineStr">
        <is>
          <t>Sectoral/ Thematic</t>
        </is>
      </c>
      <c r="F588" s="97" t="n">
        <v>-5.09</v>
      </c>
      <c r="G588" s="98" t="n">
        <v>10.31</v>
      </c>
      <c r="H588" s="97" t="n">
        <v>-11.98</v>
      </c>
      <c r="I588" s="97" t="n">
        <v>-13.16</v>
      </c>
      <c r="J588" s="97" t="n">
        <v>-3.041245882591914</v>
      </c>
      <c r="K588" s="98" t="n">
        <v>0</v>
      </c>
      <c r="L588" s="78" t="n">
        <v>24.4</v>
      </c>
      <c r="M588" s="18" t="n">
        <v>0</v>
      </c>
      <c r="N588" s="19" t="n">
        <v>13.4</v>
      </c>
      <c r="O588" s="105">
        <f>COUNTIFS($E:$E,$E588,$L:$L,"&gt;"&amp;$L588)+1</f>
        <v/>
      </c>
      <c r="P588" s="105">
        <f>COUNTIFS($E:$E,$E588,$M:$M,"&gt;"&amp;$M588)+1</f>
        <v/>
      </c>
      <c r="Q588" s="105">
        <f>COUNTIFS($E:$E,$E588,$N:$N,"&gt;"&amp;$N588)+1</f>
        <v/>
      </c>
      <c r="R588" s="99" t="inlineStr">
        <is>
          <t>📉 Weak</t>
        </is>
      </c>
      <c r="S588" s="99" t="inlineStr">
        <is>
          <t>⏳ New Fund</t>
        </is>
      </c>
      <c r="T588" s="99" t="inlineStr">
        <is>
          <t>⏳ New Fund</t>
        </is>
      </c>
      <c r="U588" s="100" t="inlineStr">
        <is>
          <t>MOMENTUM_ONLY</t>
        </is>
      </c>
    </row>
    <row r="589" ht="16" customHeight="1">
      <c r="A589" s="95" t="n">
        <v>585</v>
      </c>
      <c r="B589" s="96" t="inlineStr">
        <is>
          <t>Motilal Oswal Quant Fund - Regular - Growth</t>
        </is>
      </c>
      <c r="C589" s="96" t="inlineStr">
        <is>
          <t>Motilal Oswal Mutual Fund</t>
        </is>
      </c>
      <c r="D589" s="96" t="inlineStr">
        <is>
          <t>Sectoral/ Thematic</t>
        </is>
      </c>
      <c r="E589" s="96" t="inlineStr">
        <is>
          <t>Sectoral/ Thematic</t>
        </is>
      </c>
      <c r="F589" s="97" t="n">
        <v>-5.92</v>
      </c>
      <c r="G589" s="97" t="n">
        <v>-0.55</v>
      </c>
      <c r="H589" s="97" t="n">
        <v>-5.05</v>
      </c>
      <c r="I589" s="97" t="n">
        <v>-7.51</v>
      </c>
      <c r="J589" s="98" t="n">
        <v>0</v>
      </c>
      <c r="K589" s="98" t="n">
        <v>0</v>
      </c>
      <c r="L589" s="78" t="n">
        <v>24.4</v>
      </c>
      <c r="M589" s="18" t="n">
        <v>0</v>
      </c>
      <c r="N589" s="19" t="n">
        <v>13.4</v>
      </c>
      <c r="O589" s="105">
        <f>COUNTIFS($E:$E,$E589,$L:$L,"&gt;"&amp;$L589)+1</f>
        <v/>
      </c>
      <c r="P589" s="105">
        <f>COUNTIFS($E:$E,$E589,$M:$M,"&gt;"&amp;$M589)+1</f>
        <v/>
      </c>
      <c r="Q589" s="105">
        <f>COUNTIFS($E:$E,$E589,$N:$N,"&gt;"&amp;$N589)+1</f>
        <v/>
      </c>
      <c r="R589" s="99" t="inlineStr">
        <is>
          <t>📉 Weak</t>
        </is>
      </c>
      <c r="S589" s="99" t="inlineStr">
        <is>
          <t>⏳ New Fund</t>
        </is>
      </c>
      <c r="T589" s="99" t="inlineStr">
        <is>
          <t>⏳ New Fund</t>
        </is>
      </c>
      <c r="U589" s="100" t="inlineStr">
        <is>
          <t>MOMENTUM_ONLY</t>
        </is>
      </c>
    </row>
    <row r="590" ht="16" customHeight="1">
      <c r="A590" s="95" t="n">
        <v>586</v>
      </c>
      <c r="B590" s="96" t="inlineStr">
        <is>
          <t>BANDHAN FINANCIAL SERVICES FUND - REGULAR PLAN - GROWTH</t>
        </is>
      </c>
      <c r="C590" s="96" t="inlineStr">
        <is>
          <t>Bandhan Mutual Fund</t>
        </is>
      </c>
      <c r="D590" s="96" t="inlineStr">
        <is>
          <t>Sectoral/ Thematic</t>
        </is>
      </c>
      <c r="E590" s="96" t="inlineStr">
        <is>
          <t>Sectoral/ Thematic</t>
        </is>
      </c>
      <c r="F590" s="97" t="n">
        <v>-3.43</v>
      </c>
      <c r="G590" s="98" t="n">
        <v>0.02</v>
      </c>
      <c r="H590" s="97" t="n">
        <v>-9.42</v>
      </c>
      <c r="I590" s="97" t="n">
        <v>-6.73</v>
      </c>
      <c r="J590" s="98" t="n">
        <v>5.138004546405583</v>
      </c>
      <c r="K590" s="98" t="n">
        <v>0</v>
      </c>
      <c r="L590" s="78" t="n">
        <v>24.1</v>
      </c>
      <c r="M590" s="18" t="n">
        <v>0</v>
      </c>
      <c r="N590" s="19" t="n">
        <v>13.3</v>
      </c>
      <c r="O590" s="105">
        <f>COUNTIFS($E:$E,$E590,$L:$L,"&gt;"&amp;$L590)+1</f>
        <v/>
      </c>
      <c r="P590" s="105">
        <f>COUNTIFS($E:$E,$E590,$M:$M,"&gt;"&amp;$M590)+1</f>
        <v/>
      </c>
      <c r="Q590" s="105">
        <f>COUNTIFS($E:$E,$E590,$N:$N,"&gt;"&amp;$N590)+1</f>
        <v/>
      </c>
      <c r="R590" s="99" t="inlineStr">
        <is>
          <t>📉 Weak</t>
        </is>
      </c>
      <c r="S590" s="99" t="inlineStr">
        <is>
          <t>⏳ New Fund</t>
        </is>
      </c>
      <c r="T590" s="99" t="inlineStr">
        <is>
          <t>⏳ New Fund</t>
        </is>
      </c>
      <c r="U590" s="100" t="inlineStr">
        <is>
          <t>MOMENTUM_ONLY</t>
        </is>
      </c>
    </row>
    <row r="591" ht="16" customHeight="1">
      <c r="A591" s="95" t="n">
        <v>587</v>
      </c>
      <c r="B591" s="96" t="inlineStr">
        <is>
          <t>Sundaram Multi-Factor Fund - Regular - Growth</t>
        </is>
      </c>
      <c r="C591" s="96" t="inlineStr">
        <is>
          <t>Sundaram Mutual Fund</t>
        </is>
      </c>
      <c r="D591" s="96" t="inlineStr">
        <is>
          <t>Sectoral/ Thematic</t>
        </is>
      </c>
      <c r="E591" s="96" t="inlineStr">
        <is>
          <t>Sectoral/ Thematic</t>
        </is>
      </c>
      <c r="F591" s="97" t="n">
        <v>-4.38</v>
      </c>
      <c r="G591" s="97" t="n">
        <v>-2.63</v>
      </c>
      <c r="H591" s="97" t="n">
        <v>-9.23</v>
      </c>
      <c r="I591" s="98" t="n">
        <v>0</v>
      </c>
      <c r="J591" s="98" t="n">
        <v>0</v>
      </c>
      <c r="K591" s="98" t="n">
        <v>0</v>
      </c>
      <c r="L591" s="78" t="n">
        <v>24.1</v>
      </c>
      <c r="M591" s="18" t="n">
        <v>0</v>
      </c>
      <c r="N591" s="19" t="n">
        <v>13.2</v>
      </c>
      <c r="O591" s="105">
        <f>COUNTIFS($E:$E,$E591,$L:$L,"&gt;"&amp;$L591)+1</f>
        <v/>
      </c>
      <c r="P591" s="105">
        <f>COUNTIFS($E:$E,$E591,$M:$M,"&gt;"&amp;$M591)+1</f>
        <v/>
      </c>
      <c r="Q591" s="105">
        <f>COUNTIFS($E:$E,$E591,$N:$N,"&gt;"&amp;$N591)+1</f>
        <v/>
      </c>
      <c r="R591" s="99" t="inlineStr">
        <is>
          <t>📉 Weak</t>
        </is>
      </c>
      <c r="S591" s="99" t="inlineStr">
        <is>
          <t>⏳ New Fund</t>
        </is>
      </c>
      <c r="T591" s="99" t="inlineStr">
        <is>
          <t>⏳ New Fund</t>
        </is>
      </c>
      <c r="U591" s="100" t="inlineStr">
        <is>
          <t>MOMENTUM_ONLY</t>
        </is>
      </c>
    </row>
    <row r="592" ht="16" customHeight="1">
      <c r="A592" s="95" t="n">
        <v>588</v>
      </c>
      <c r="B592" s="96" t="inlineStr">
        <is>
          <t>Mirae Asset Small Cap Fund - Regular Plan - Growth</t>
        </is>
      </c>
      <c r="C592" s="96" t="inlineStr">
        <is>
          <t>Mirae Asset Mutual Fund</t>
        </is>
      </c>
      <c r="D592" s="96" t="inlineStr">
        <is>
          <t>Small Cap Fund</t>
        </is>
      </c>
      <c r="E592" s="96" t="inlineStr">
        <is>
          <t>Small Cap Fund</t>
        </is>
      </c>
      <c r="F592" s="97" t="n">
        <v>-4.37</v>
      </c>
      <c r="G592" s="98" t="n">
        <v>4.03</v>
      </c>
      <c r="H592" s="97" t="n">
        <v>-2.07</v>
      </c>
      <c r="I592" s="97" t="n">
        <v>-0.01</v>
      </c>
      <c r="J592" s="98" t="n">
        <v>0</v>
      </c>
      <c r="K592" s="98" t="n">
        <v>0</v>
      </c>
      <c r="L592" s="78" t="n">
        <v>22.2</v>
      </c>
      <c r="M592" s="18" t="n">
        <v>0</v>
      </c>
      <c r="N592" s="19" t="n">
        <v>12.2</v>
      </c>
      <c r="O592" s="105">
        <f>COUNTIFS($E:$E,$E592,$L:$L,"&gt;"&amp;$L592)+1</f>
        <v/>
      </c>
      <c r="P592" s="105">
        <f>COUNTIFS($E:$E,$E592,$M:$M,"&gt;"&amp;$M592)+1</f>
        <v/>
      </c>
      <c r="Q592" s="105">
        <f>COUNTIFS($E:$E,$E592,$N:$N,"&gt;"&amp;$N592)+1</f>
        <v/>
      </c>
      <c r="R592" s="99" t="inlineStr">
        <is>
          <t>📉 Weak</t>
        </is>
      </c>
      <c r="S592" s="99" t="inlineStr">
        <is>
          <t>⏳ New Fund</t>
        </is>
      </c>
      <c r="T592" s="99" t="inlineStr">
        <is>
          <t>⏳ New Fund</t>
        </is>
      </c>
      <c r="U592" s="100" t="inlineStr">
        <is>
          <t>MOMENTUM_ONLY</t>
        </is>
      </c>
    </row>
    <row r="593" ht="16" customHeight="1">
      <c r="A593" s="95" t="n">
        <v>589</v>
      </c>
      <c r="B593" s="96" t="inlineStr">
        <is>
          <t>Samco Multi Cap Fund - Regular Plan - Growth</t>
        </is>
      </c>
      <c r="C593" s="96" t="inlineStr">
        <is>
          <t>Samco Mutual Fund</t>
        </is>
      </c>
      <c r="D593" s="96" t="inlineStr">
        <is>
          <t>Multi Cap Fund</t>
        </is>
      </c>
      <c r="E593" s="96" t="inlineStr">
        <is>
          <t>Multi Cap Fund</t>
        </is>
      </c>
      <c r="F593" s="97" t="n">
        <v>-2.36</v>
      </c>
      <c r="G593" s="98" t="n">
        <v>1.47</v>
      </c>
      <c r="H593" s="97" t="n">
        <v>-6.75</v>
      </c>
      <c r="I593" s="97" t="n">
        <v>-14.71</v>
      </c>
      <c r="J593" s="98" t="n">
        <v>0</v>
      </c>
      <c r="K593" s="98" t="n">
        <v>0</v>
      </c>
      <c r="L593" s="78" t="n">
        <v>21.9</v>
      </c>
      <c r="M593" s="18" t="n">
        <v>0</v>
      </c>
      <c r="N593" s="19" t="n">
        <v>12</v>
      </c>
      <c r="O593" s="105">
        <f>COUNTIFS($E:$E,$E593,$L:$L,"&gt;"&amp;$L593)+1</f>
        <v/>
      </c>
      <c r="P593" s="105">
        <f>COUNTIFS($E:$E,$E593,$M:$M,"&gt;"&amp;$M593)+1</f>
        <v/>
      </c>
      <c r="Q593" s="105">
        <f>COUNTIFS($E:$E,$E593,$N:$N,"&gt;"&amp;$N593)+1</f>
        <v/>
      </c>
      <c r="R593" s="99" t="inlineStr">
        <is>
          <t>📉 Weak</t>
        </is>
      </c>
      <c r="S593" s="99" t="inlineStr">
        <is>
          <t>⏳ New Fund</t>
        </is>
      </c>
      <c r="T593" s="99" t="inlineStr">
        <is>
          <t>⏳ New Fund</t>
        </is>
      </c>
      <c r="U593" s="100" t="inlineStr">
        <is>
          <t>MOMENTUM_ONLY</t>
        </is>
      </c>
    </row>
    <row r="594" ht="16" customHeight="1">
      <c r="A594" s="95" t="n">
        <v>590</v>
      </c>
      <c r="B594" s="96" t="inlineStr">
        <is>
          <t>Kotak Rural Opportunities Fund - Regular Plan - Growth</t>
        </is>
      </c>
      <c r="C594" s="96" t="inlineStr">
        <is>
          <t>Kotak Mahindra Mutual Fund</t>
        </is>
      </c>
      <c r="D594" s="96" t="inlineStr">
        <is>
          <t>Sectoral/ Thematic</t>
        </is>
      </c>
      <c r="E594" s="96" t="inlineStr">
        <is>
          <t>Sectoral/ Thematic</t>
        </is>
      </c>
      <c r="F594" s="97" t="n">
        <v>-6.36</v>
      </c>
      <c r="G594" s="97" t="n">
        <v>-5.02</v>
      </c>
      <c r="H594" s="97" t="n">
        <v>-9.09</v>
      </c>
      <c r="I594" s="98" t="n">
        <v>0</v>
      </c>
      <c r="J594" s="98" t="n">
        <v>0</v>
      </c>
      <c r="K594" s="98" t="n">
        <v>0</v>
      </c>
      <c r="L594" s="78" t="n">
        <v>21.7</v>
      </c>
      <c r="M594" s="18" t="n">
        <v>0</v>
      </c>
      <c r="N594" s="19" t="n">
        <v>11.9</v>
      </c>
      <c r="O594" s="105">
        <f>COUNTIFS($E:$E,$E594,$L:$L,"&gt;"&amp;$L594)+1</f>
        <v/>
      </c>
      <c r="P594" s="105">
        <f>COUNTIFS($E:$E,$E594,$M:$M,"&gt;"&amp;$M594)+1</f>
        <v/>
      </c>
      <c r="Q594" s="105">
        <f>COUNTIFS($E:$E,$E594,$N:$N,"&gt;"&amp;$N594)+1</f>
        <v/>
      </c>
      <c r="R594" s="99" t="inlineStr">
        <is>
          <t>📉 Weak</t>
        </is>
      </c>
      <c r="S594" s="99" t="inlineStr">
        <is>
          <t>⏳ New Fund</t>
        </is>
      </c>
      <c r="T594" s="99" t="inlineStr">
        <is>
          <t>⏳ New Fund</t>
        </is>
      </c>
      <c r="U594" s="100" t="inlineStr">
        <is>
          <t>MOMENTUM_ONLY</t>
        </is>
      </c>
    </row>
    <row r="595" ht="16" customHeight="1">
      <c r="A595" s="95" t="n">
        <v>591</v>
      </c>
      <c r="B595" s="96" t="inlineStr">
        <is>
          <t>Motilal Oswal Digital India Fund - Regular Plan- Growth</t>
        </is>
      </c>
      <c r="C595" s="96" t="inlineStr">
        <is>
          <t>Motilal Oswal Mutual Fund</t>
        </is>
      </c>
      <c r="D595" s="96" t="inlineStr">
        <is>
          <t>Sectoral/ Thematic</t>
        </is>
      </c>
      <c r="E595" s="96" t="inlineStr">
        <is>
          <t>Sectoral/ Thematic</t>
        </is>
      </c>
      <c r="F595" s="97" t="n">
        <v>-5.93</v>
      </c>
      <c r="G595" s="98" t="n">
        <v>6.59</v>
      </c>
      <c r="H595" s="97" t="n">
        <v>-19.51</v>
      </c>
      <c r="I595" s="97" t="n">
        <v>-17.9</v>
      </c>
      <c r="J595" s="98" t="n">
        <v>0</v>
      </c>
      <c r="K595" s="98" t="n">
        <v>0</v>
      </c>
      <c r="L595" s="78" t="n">
        <v>18.9</v>
      </c>
      <c r="M595" s="18" t="n">
        <v>0</v>
      </c>
      <c r="N595" s="19" t="n">
        <v>10.4</v>
      </c>
      <c r="O595" s="105">
        <f>COUNTIFS($E:$E,$E595,$L:$L,"&gt;"&amp;$L595)+1</f>
        <v/>
      </c>
      <c r="P595" s="105">
        <f>COUNTIFS($E:$E,$E595,$M:$M,"&gt;"&amp;$M595)+1</f>
        <v/>
      </c>
      <c r="Q595" s="105">
        <f>COUNTIFS($E:$E,$E595,$N:$N,"&gt;"&amp;$N595)+1</f>
        <v/>
      </c>
      <c r="R595" s="99" t="inlineStr">
        <is>
          <t>📉 Weak</t>
        </is>
      </c>
      <c r="S595" s="99" t="inlineStr">
        <is>
          <t>⏳ New Fund</t>
        </is>
      </c>
      <c r="T595" s="99" t="inlineStr">
        <is>
          <t>⏳ New Fund</t>
        </is>
      </c>
      <c r="U595" s="100" t="inlineStr">
        <is>
          <t>MOMENTUM_ONLY</t>
        </is>
      </c>
    </row>
    <row r="596" ht="16" customHeight="1">
      <c r="A596" s="95" t="n">
        <v>592</v>
      </c>
      <c r="B596" s="96" t="inlineStr">
        <is>
          <t>Canara Robeco Multi Cap Fund - Regular Plan - Growth Option</t>
        </is>
      </c>
      <c r="C596" s="96" t="inlineStr">
        <is>
          <t>Canara Robeco Mutual Fund</t>
        </is>
      </c>
      <c r="D596" s="96" t="inlineStr">
        <is>
          <t>Multi Cap Fund</t>
        </is>
      </c>
      <c r="E596" s="96" t="inlineStr">
        <is>
          <t>Multi Cap Fund</t>
        </is>
      </c>
      <c r="F596" s="97" t="n">
        <v>-3.56</v>
      </c>
      <c r="G596" s="98" t="n">
        <v>1.69</v>
      </c>
      <c r="H596" s="97" t="n">
        <v>-6.74</v>
      </c>
      <c r="I596" s="97" t="n">
        <v>-4.95</v>
      </c>
      <c r="J596" s="98" t="n">
        <v>2.244804268970069</v>
      </c>
      <c r="K596" s="98" t="n">
        <v>0</v>
      </c>
      <c r="L596" s="78" t="n">
        <v>18.7</v>
      </c>
      <c r="M596" s="18" t="n">
        <v>0</v>
      </c>
      <c r="N596" s="19" t="n">
        <v>10.3</v>
      </c>
      <c r="O596" s="105">
        <f>COUNTIFS($E:$E,$E596,$L:$L,"&gt;"&amp;$L596)+1</f>
        <v/>
      </c>
      <c r="P596" s="105">
        <f>COUNTIFS($E:$E,$E596,$M:$M,"&gt;"&amp;$M596)+1</f>
        <v/>
      </c>
      <c r="Q596" s="105">
        <f>COUNTIFS($E:$E,$E596,$N:$N,"&gt;"&amp;$N596)+1</f>
        <v/>
      </c>
      <c r="R596" s="99" t="inlineStr">
        <is>
          <t>📉 Weak</t>
        </is>
      </c>
      <c r="S596" s="99" t="inlineStr">
        <is>
          <t>⏳ New Fund</t>
        </is>
      </c>
      <c r="T596" s="99" t="inlineStr">
        <is>
          <t>⏳ New Fund</t>
        </is>
      </c>
      <c r="U596" s="100" t="inlineStr">
        <is>
          <t>MOMENTUM_ONLY</t>
        </is>
      </c>
    </row>
    <row r="597" ht="16" customHeight="1">
      <c r="A597" s="95" t="n">
        <v>593</v>
      </c>
      <c r="B597" s="96" t="inlineStr">
        <is>
          <t>Axis Momentum Fund - Regular Plan - Growth Option</t>
        </is>
      </c>
      <c r="C597" s="96" t="inlineStr">
        <is>
          <t>Axis Mutual Fund</t>
        </is>
      </c>
      <c r="D597" s="96" t="inlineStr">
        <is>
          <t>Sectoral/ Thematic</t>
        </is>
      </c>
      <c r="E597" s="96" t="inlineStr">
        <is>
          <t>Sectoral/ Thematic</t>
        </is>
      </c>
      <c r="F597" s="97" t="n">
        <v>-4.3</v>
      </c>
      <c r="G597" s="97" t="n">
        <v>-1.29</v>
      </c>
      <c r="H597" s="97" t="n">
        <v>-8.449999999999999</v>
      </c>
      <c r="I597" s="97" t="n">
        <v>-8.35</v>
      </c>
      <c r="J597" s="98" t="n">
        <v>0</v>
      </c>
      <c r="K597" s="98" t="n">
        <v>0</v>
      </c>
      <c r="L597" s="78" t="n">
        <v>18.2</v>
      </c>
      <c r="M597" s="18" t="n">
        <v>0</v>
      </c>
      <c r="N597" s="19" t="n">
        <v>10</v>
      </c>
      <c r="O597" s="105">
        <f>COUNTIFS($E:$E,$E597,$L:$L,"&gt;"&amp;$L597)+1</f>
        <v/>
      </c>
      <c r="P597" s="105">
        <f>COUNTIFS($E:$E,$E597,$M:$M,"&gt;"&amp;$M597)+1</f>
        <v/>
      </c>
      <c r="Q597" s="105">
        <f>COUNTIFS($E:$E,$E597,$N:$N,"&gt;"&amp;$N597)+1</f>
        <v/>
      </c>
      <c r="R597" s="99" t="inlineStr">
        <is>
          <t>📉 Weak</t>
        </is>
      </c>
      <c r="S597" s="99" t="inlineStr">
        <is>
          <t>⏳ New Fund</t>
        </is>
      </c>
      <c r="T597" s="99" t="inlineStr">
        <is>
          <t>⏳ New Fund</t>
        </is>
      </c>
      <c r="U597" s="100" t="inlineStr">
        <is>
          <t>MOMENTUM_ONLY</t>
        </is>
      </c>
    </row>
    <row r="598" ht="16" customHeight="1">
      <c r="A598" s="95" t="n">
        <v>594</v>
      </c>
      <c r="B598" s="96" t="inlineStr">
        <is>
          <t>SBI Quant Fund- Regular Plan- Growth</t>
        </is>
      </c>
      <c r="C598" s="96" t="inlineStr">
        <is>
          <t>SBI Mutual Fund</t>
        </is>
      </c>
      <c r="D598" s="96" t="inlineStr">
        <is>
          <t>Sectoral/ Thematic</t>
        </is>
      </c>
      <c r="E598" s="96" t="inlineStr">
        <is>
          <t>Sectoral/ Thematic</t>
        </is>
      </c>
      <c r="F598" s="97" t="n">
        <v>-3.78</v>
      </c>
      <c r="G598" s="97" t="n">
        <v>-5.15</v>
      </c>
      <c r="H598" s="97" t="n">
        <v>-8.32</v>
      </c>
      <c r="I598" s="97" t="n">
        <v>-4.42</v>
      </c>
      <c r="J598" s="98" t="n">
        <v>0</v>
      </c>
      <c r="K598" s="98" t="n">
        <v>0</v>
      </c>
      <c r="L598" s="78" t="n">
        <v>17.9</v>
      </c>
      <c r="M598" s="18" t="n">
        <v>0</v>
      </c>
      <c r="N598" s="19" t="n">
        <v>9.800000000000001</v>
      </c>
      <c r="O598" s="105">
        <f>COUNTIFS($E:$E,$E598,$L:$L,"&gt;"&amp;$L598)+1</f>
        <v/>
      </c>
      <c r="P598" s="105">
        <f>COUNTIFS($E:$E,$E598,$M:$M,"&gt;"&amp;$M598)+1</f>
        <v/>
      </c>
      <c r="Q598" s="105">
        <f>COUNTIFS($E:$E,$E598,$N:$N,"&gt;"&amp;$N598)+1</f>
        <v/>
      </c>
      <c r="R598" s="99" t="inlineStr">
        <is>
          <t>📉 Weak</t>
        </is>
      </c>
      <c r="S598" s="99" t="inlineStr">
        <is>
          <t>⏳ New Fund</t>
        </is>
      </c>
      <c r="T598" s="99" t="inlineStr">
        <is>
          <t>⏳ New Fund</t>
        </is>
      </c>
      <c r="U598" s="100" t="inlineStr">
        <is>
          <t>MOMENTUM_ONLY</t>
        </is>
      </c>
    </row>
    <row r="599" ht="16" customHeight="1">
      <c r="A599" s="95" t="n">
        <v>595</v>
      </c>
      <c r="B599" s="96" t="inlineStr">
        <is>
          <t>ICICI Prudential Rural Opportunities Fund - Growth</t>
        </is>
      </c>
      <c r="C599" s="96" t="inlineStr">
        <is>
          <t>ICICI Prudential Mutual Fund</t>
        </is>
      </c>
      <c r="D599" s="96" t="inlineStr">
        <is>
          <t>Sectoral/ Thematic</t>
        </is>
      </c>
      <c r="E599" s="96" t="inlineStr">
        <is>
          <t>Sectoral/ Thematic</t>
        </is>
      </c>
      <c r="F599" s="97" t="n">
        <v>-4.49</v>
      </c>
      <c r="G599" s="97" t="n">
        <v>-2.25</v>
      </c>
      <c r="H599" s="97" t="n">
        <v>-9.94</v>
      </c>
      <c r="I599" s="97" t="n">
        <v>-5.1</v>
      </c>
      <c r="J599" s="98" t="n">
        <v>0</v>
      </c>
      <c r="K599" s="98" t="n">
        <v>0</v>
      </c>
      <c r="L599" s="78" t="n">
        <v>16.8</v>
      </c>
      <c r="M599" s="18" t="n">
        <v>0</v>
      </c>
      <c r="N599" s="19" t="n">
        <v>9.300000000000001</v>
      </c>
      <c r="O599" s="105">
        <f>COUNTIFS($E:$E,$E599,$L:$L,"&gt;"&amp;$L599)+1</f>
        <v/>
      </c>
      <c r="P599" s="105">
        <f>COUNTIFS($E:$E,$E599,$M:$M,"&gt;"&amp;$M599)+1</f>
        <v/>
      </c>
      <c r="Q599" s="105">
        <f>COUNTIFS($E:$E,$E599,$N:$N,"&gt;"&amp;$N599)+1</f>
        <v/>
      </c>
      <c r="R599" s="99" t="inlineStr">
        <is>
          <t>📉 Weak</t>
        </is>
      </c>
      <c r="S599" s="99" t="inlineStr">
        <is>
          <t>⏳ New Fund</t>
        </is>
      </c>
      <c r="T599" s="99" t="inlineStr">
        <is>
          <t>⏳ New Fund</t>
        </is>
      </c>
      <c r="U599" s="100" t="inlineStr">
        <is>
          <t>MOMENTUM_ONLY</t>
        </is>
      </c>
    </row>
    <row r="600" ht="16" customHeight="1">
      <c r="A600" s="95" t="n">
        <v>596</v>
      </c>
      <c r="B600" s="96" t="inlineStr">
        <is>
          <t>Motilal Oswal Business Cycle Fund-Regular Plan-Growth</t>
        </is>
      </c>
      <c r="C600" s="96" t="inlineStr">
        <is>
          <t>Motilal Oswal Mutual Fund</t>
        </is>
      </c>
      <c r="D600" s="96" t="inlineStr">
        <is>
          <t>Sectoral/ Thematic</t>
        </is>
      </c>
      <c r="E600" s="96" t="inlineStr">
        <is>
          <t>Sectoral/ Thematic</t>
        </is>
      </c>
      <c r="F600" s="97" t="n">
        <v>-4.6</v>
      </c>
      <c r="G600" s="98" t="n">
        <v>3.18</v>
      </c>
      <c r="H600" s="97" t="n">
        <v>-16.04</v>
      </c>
      <c r="I600" s="97" t="n">
        <v>-12.85</v>
      </c>
      <c r="J600" s="98" t="n">
        <v>0</v>
      </c>
      <c r="K600" s="98" t="n">
        <v>0</v>
      </c>
      <c r="L600" s="78" t="n">
        <v>16.7</v>
      </c>
      <c r="M600" s="18" t="n">
        <v>0</v>
      </c>
      <c r="N600" s="19" t="n">
        <v>9.199999999999999</v>
      </c>
      <c r="O600" s="105">
        <f>COUNTIFS($E:$E,$E600,$L:$L,"&gt;"&amp;$L600)+1</f>
        <v/>
      </c>
      <c r="P600" s="105">
        <f>COUNTIFS($E:$E,$E600,$M:$M,"&gt;"&amp;$M600)+1</f>
        <v/>
      </c>
      <c r="Q600" s="105">
        <f>COUNTIFS($E:$E,$E600,$N:$N,"&gt;"&amp;$N600)+1</f>
        <v/>
      </c>
      <c r="R600" s="99" t="inlineStr">
        <is>
          <t>📉 Weak</t>
        </is>
      </c>
      <c r="S600" s="99" t="inlineStr">
        <is>
          <t>⏳ New Fund</t>
        </is>
      </c>
      <c r="T600" s="99" t="inlineStr">
        <is>
          <t>⏳ New Fund</t>
        </is>
      </c>
      <c r="U600" s="100" t="inlineStr">
        <is>
          <t>MOMENTUM_ONLY</t>
        </is>
      </c>
    </row>
    <row r="601" ht="16" customHeight="1">
      <c r="A601" s="95" t="n">
        <v>597</v>
      </c>
      <c r="B601" s="96" t="inlineStr">
        <is>
          <t>Helios Financial Services Fund - Regular Plan - Growth Option</t>
        </is>
      </c>
      <c r="C601" s="96" t="inlineStr">
        <is>
          <t>Helios Mutual Fund</t>
        </is>
      </c>
      <c r="D601" s="96" t="inlineStr">
        <is>
          <t>Sectoral/ Thematic</t>
        </is>
      </c>
      <c r="E601" s="96" t="inlineStr">
        <is>
          <t>Sectoral/ Thematic</t>
        </is>
      </c>
      <c r="F601" s="97" t="n">
        <v>-5.08</v>
      </c>
      <c r="G601" s="97" t="n">
        <v>-0.47</v>
      </c>
      <c r="H601" s="97" t="n">
        <v>-10.5</v>
      </c>
      <c r="I601" s="97" t="n">
        <v>-7.79</v>
      </c>
      <c r="J601" s="98" t="n">
        <v>0</v>
      </c>
      <c r="K601" s="98" t="n">
        <v>0</v>
      </c>
      <c r="L601" s="78" t="n">
        <v>14.8</v>
      </c>
      <c r="M601" s="18" t="n">
        <v>0</v>
      </c>
      <c r="N601" s="19" t="n">
        <v>8.1</v>
      </c>
      <c r="O601" s="105">
        <f>COUNTIFS($E:$E,$E601,$L:$L,"&gt;"&amp;$L601)+1</f>
        <v/>
      </c>
      <c r="P601" s="105">
        <f>COUNTIFS($E:$E,$E601,$M:$M,"&gt;"&amp;$M601)+1</f>
        <v/>
      </c>
      <c r="Q601" s="105">
        <f>COUNTIFS($E:$E,$E601,$N:$N,"&gt;"&amp;$N601)+1</f>
        <v/>
      </c>
      <c r="R601" s="99" t="inlineStr">
        <is>
          <t>📉 Weak</t>
        </is>
      </c>
      <c r="S601" s="99" t="inlineStr">
        <is>
          <t>⏳ New Fund</t>
        </is>
      </c>
      <c r="T601" s="99" t="inlineStr">
        <is>
          <t>⏳ New Fund</t>
        </is>
      </c>
      <c r="U601" s="100" t="inlineStr">
        <is>
          <t>MOMENTUM_ONLY</t>
        </is>
      </c>
    </row>
    <row r="602" ht="16" customHeight="1">
      <c r="A602" s="95" t="n">
        <v>598</v>
      </c>
      <c r="B602" s="96" t="inlineStr">
        <is>
          <t>HDFC Technology Fund - Growth Option</t>
        </is>
      </c>
      <c r="C602" s="96" t="inlineStr">
        <is>
          <t>HDFC Mutual Fund</t>
        </is>
      </c>
      <c r="D602" s="96" t="inlineStr">
        <is>
          <t>Sectoral/ Thematic</t>
        </is>
      </c>
      <c r="E602" s="96" t="inlineStr">
        <is>
          <t>Sectoral/ Thematic</t>
        </is>
      </c>
      <c r="F602" s="97" t="n">
        <v>-3.78</v>
      </c>
      <c r="G602" s="97" t="n">
        <v>-3.37</v>
      </c>
      <c r="H602" s="97" t="n">
        <v>-24.15</v>
      </c>
      <c r="I602" s="97" t="n">
        <v>-23.76</v>
      </c>
      <c r="J602" s="97" t="n">
        <v>-4.842236259987698</v>
      </c>
      <c r="K602" s="98" t="n">
        <v>0</v>
      </c>
      <c r="L602" s="78" t="n">
        <v>8</v>
      </c>
      <c r="M602" s="18" t="n">
        <v>0</v>
      </c>
      <c r="N602" s="19" t="n">
        <v>4.4</v>
      </c>
      <c r="O602" s="105">
        <f>COUNTIFS($E:$E,$E602,$L:$L,"&gt;"&amp;$L602)+1</f>
        <v/>
      </c>
      <c r="P602" s="105">
        <f>COUNTIFS($E:$E,$E602,$M:$M,"&gt;"&amp;$M602)+1</f>
        <v/>
      </c>
      <c r="Q602" s="105">
        <f>COUNTIFS($E:$E,$E602,$N:$N,"&gt;"&amp;$N602)+1</f>
        <v/>
      </c>
      <c r="R602" s="99" t="inlineStr">
        <is>
          <t>📉 Weak</t>
        </is>
      </c>
      <c r="S602" s="99" t="inlineStr">
        <is>
          <t>⏳ New Fund</t>
        </is>
      </c>
      <c r="T602" s="99" t="inlineStr">
        <is>
          <t>⏳ New Fund</t>
        </is>
      </c>
      <c r="U602" s="100" t="inlineStr">
        <is>
          <t>MOMENTUM_ONLY</t>
        </is>
      </c>
    </row>
    <row r="603" ht="16" customHeight="1">
      <c r="A603" s="80" t="n">
        <v>599</v>
      </c>
      <c r="B603" s="81" t="inlineStr">
        <is>
          <t>Motilal Oswal Contra Fund - Regular â Growth</t>
        </is>
      </c>
      <c r="C603" s="81" t="inlineStr">
        <is>
          <t>Motilal Oswal Mutual Fund</t>
        </is>
      </c>
      <c r="D603" s="81" t="inlineStr">
        <is>
          <t>Contra Fund</t>
        </is>
      </c>
      <c r="E603" s="81" t="inlineStr">
        <is>
          <t>Contra Fund</t>
        </is>
      </c>
      <c r="F603" s="82" t="n">
        <v>0</v>
      </c>
      <c r="G603" s="82" t="n">
        <v>0</v>
      </c>
      <c r="H603" s="82" t="n">
        <v>0</v>
      </c>
      <c r="I603" s="82" t="n">
        <v>0</v>
      </c>
      <c r="J603" s="82" t="n">
        <v>0</v>
      </c>
      <c r="K603" s="82" t="n">
        <v>0</v>
      </c>
      <c r="L603" s="78" t="n">
        <v>0</v>
      </c>
      <c r="M603" s="18" t="n">
        <v>0</v>
      </c>
      <c r="N603" s="19" t="n">
        <v>0</v>
      </c>
      <c r="O603" s="105">
        <f>COUNTIFS($E:$E,$E603,$L:$L,"&gt;"&amp;$L603)+1</f>
        <v/>
      </c>
      <c r="P603" s="105">
        <f>COUNTIFS($E:$E,$E603,$M:$M,"&gt;"&amp;$M603)+1</f>
        <v/>
      </c>
      <c r="Q603" s="105">
        <f>COUNTIFS($E:$E,$E603,$N:$N,"&gt;"&amp;$N603)+1</f>
        <v/>
      </c>
      <c r="R603" s="83" t="inlineStr">
        <is>
          <t>❌ N/A</t>
        </is>
      </c>
      <c r="S603" s="83" t="inlineStr">
        <is>
          <t>❌ N/A</t>
        </is>
      </c>
      <c r="T603" s="83" t="inlineStr">
        <is>
          <t>❌ Missing Data</t>
        </is>
      </c>
      <c r="U603" s="84" t="inlineStr">
        <is>
          <t>MISSING</t>
        </is>
      </c>
    </row>
    <row r="604" ht="16" customHeight="1">
      <c r="A604" s="80" t="n">
        <v>600</v>
      </c>
      <c r="B604" s="81" t="inlineStr">
        <is>
          <t>The Wealth Company Small Cap Fund- Regular-Growth</t>
        </is>
      </c>
      <c r="C604" s="81" t="inlineStr">
        <is>
          <t>The Wealth Company Mutual Fund</t>
        </is>
      </c>
      <c r="D604" s="81" t="inlineStr">
        <is>
          <t>Small Cap Fund</t>
        </is>
      </c>
      <c r="E604" s="81" t="inlineStr">
        <is>
          <t>Small Cap Fund</t>
        </is>
      </c>
      <c r="F604" s="101" t="n">
        <v>-2.37</v>
      </c>
      <c r="G604" s="82" t="n">
        <v>0</v>
      </c>
      <c r="H604" s="82" t="n">
        <v>0</v>
      </c>
      <c r="I604" s="82" t="n">
        <v>0</v>
      </c>
      <c r="J604" s="82" t="n">
        <v>0</v>
      </c>
      <c r="K604" s="82" t="n">
        <v>0</v>
      </c>
      <c r="L604" s="78" t="n">
        <v>0</v>
      </c>
      <c r="M604" s="18" t="n">
        <v>0</v>
      </c>
      <c r="N604" s="19" t="n">
        <v>0</v>
      </c>
      <c r="O604" s="105">
        <f>COUNTIFS($E:$E,$E604,$L:$L,"&gt;"&amp;$L604)+1</f>
        <v/>
      </c>
      <c r="P604" s="105">
        <f>COUNTIFS($E:$E,$E604,$M:$M,"&gt;"&amp;$M604)+1</f>
        <v/>
      </c>
      <c r="Q604" s="105">
        <f>COUNTIFS($E:$E,$E604,$N:$N,"&gt;"&amp;$N604)+1</f>
        <v/>
      </c>
      <c r="R604" s="83" t="inlineStr">
        <is>
          <t>❌ N/A</t>
        </is>
      </c>
      <c r="S604" s="83" t="inlineStr">
        <is>
          <t>❌ N/A</t>
        </is>
      </c>
      <c r="T604" s="83" t="inlineStr">
        <is>
          <t>❌ Missing Data</t>
        </is>
      </c>
      <c r="U604" s="84" t="inlineStr">
        <is>
          <t>MISSING</t>
        </is>
      </c>
    </row>
    <row r="605" ht="16" customHeight="1">
      <c r="A605" s="80" t="n">
        <v>601</v>
      </c>
      <c r="B605" s="81" t="inlineStr">
        <is>
          <t>Canara Robeco Banking and Financials Services Fund - Regular Plan - Growth</t>
        </is>
      </c>
      <c r="C605" s="81" t="inlineStr">
        <is>
          <t>Canara Robeco Mutual Fund</t>
        </is>
      </c>
      <c r="D605" s="81" t="inlineStr">
        <is>
          <t>Sectoral/ Thematic</t>
        </is>
      </c>
      <c r="E605" s="81" t="inlineStr">
        <is>
          <t>Sectoral/ Thematic</t>
        </is>
      </c>
      <c r="F605" s="101" t="n">
        <v>-2.68</v>
      </c>
      <c r="G605" s="82" t="n">
        <v>0</v>
      </c>
      <c r="H605" s="82" t="n">
        <v>0</v>
      </c>
      <c r="I605" s="82" t="n">
        <v>0</v>
      </c>
      <c r="J605" s="82" t="n">
        <v>0</v>
      </c>
      <c r="K605" s="82" t="n">
        <v>0</v>
      </c>
      <c r="L605" s="78" t="n">
        <v>0</v>
      </c>
      <c r="M605" s="18" t="n">
        <v>0</v>
      </c>
      <c r="N605" s="19" t="n">
        <v>0</v>
      </c>
      <c r="O605" s="105">
        <f>COUNTIFS($E:$E,$E605,$L:$L,"&gt;"&amp;$L605)+1</f>
        <v/>
      </c>
      <c r="P605" s="105">
        <f>COUNTIFS($E:$E,$E605,$M:$M,"&gt;"&amp;$M605)+1</f>
        <v/>
      </c>
      <c r="Q605" s="105">
        <f>COUNTIFS($E:$E,$E605,$N:$N,"&gt;"&amp;$N605)+1</f>
        <v/>
      </c>
      <c r="R605" s="83" t="inlineStr">
        <is>
          <t>❌ N/A</t>
        </is>
      </c>
      <c r="S605" s="83" t="inlineStr">
        <is>
          <t>❌ N/A</t>
        </is>
      </c>
      <c r="T605" s="83" t="inlineStr">
        <is>
          <t>❌ Missing Data</t>
        </is>
      </c>
      <c r="U605" s="84" t="inlineStr">
        <is>
          <t>MISSING</t>
        </is>
      </c>
    </row>
    <row r="606" ht="16" customHeight="1">
      <c r="A606" s="80" t="n">
        <v>602</v>
      </c>
      <c r="B606" s="81" t="inlineStr">
        <is>
          <t>LIC MF Technology Fund-Regular Plan-Growth</t>
        </is>
      </c>
      <c r="C606" s="81" t="inlineStr">
        <is>
          <t>LIC Mutual Fund</t>
        </is>
      </c>
      <c r="D606" s="81" t="inlineStr">
        <is>
          <t>Sectoral/ Thematic</t>
        </is>
      </c>
      <c r="E606" s="81" t="inlineStr">
        <is>
          <t>Sectoral/ Thematic</t>
        </is>
      </c>
      <c r="F606" s="101" t="n">
        <v>-1.6</v>
      </c>
      <c r="G606" s="82" t="n">
        <v>0</v>
      </c>
      <c r="H606" s="82" t="n">
        <v>0</v>
      </c>
      <c r="I606" s="82" t="n">
        <v>0</v>
      </c>
      <c r="J606" s="82" t="n">
        <v>0</v>
      </c>
      <c r="K606" s="82" t="n">
        <v>0</v>
      </c>
      <c r="L606" s="78" t="n">
        <v>0</v>
      </c>
      <c r="M606" s="18" t="n">
        <v>0</v>
      </c>
      <c r="N606" s="19" t="n">
        <v>0</v>
      </c>
      <c r="O606" s="105">
        <f>COUNTIFS($E:$E,$E606,$L:$L,"&gt;"&amp;$L606)+1</f>
        <v/>
      </c>
      <c r="P606" s="105">
        <f>COUNTIFS($E:$E,$E606,$M:$M,"&gt;"&amp;$M606)+1</f>
        <v/>
      </c>
      <c r="Q606" s="105">
        <f>COUNTIFS($E:$E,$E606,$N:$N,"&gt;"&amp;$N606)+1</f>
        <v/>
      </c>
      <c r="R606" s="83" t="inlineStr">
        <is>
          <t>❌ N/A</t>
        </is>
      </c>
      <c r="S606" s="83" t="inlineStr">
        <is>
          <t>❌ N/A</t>
        </is>
      </c>
      <c r="T606" s="83" t="inlineStr">
        <is>
          <t>❌ Missing Data</t>
        </is>
      </c>
      <c r="U606" s="84" t="inlineStr">
        <is>
          <t>MISSING</t>
        </is>
      </c>
    </row>
    <row r="607" ht="16" customHeight="1">
      <c r="A607" s="80" t="n">
        <v>603</v>
      </c>
      <c r="B607" s="81" t="inlineStr">
        <is>
          <t>Mahindra Manulife Innovation Opportunities Fund - Regular - Growth</t>
        </is>
      </c>
      <c r="C607" s="81" t="inlineStr">
        <is>
          <t>Mahindra Manulife Mutual Fund</t>
        </is>
      </c>
      <c r="D607" s="81" t="inlineStr">
        <is>
          <t>Sectoral/ Thematic</t>
        </is>
      </c>
      <c r="E607" s="81" t="inlineStr">
        <is>
          <t>Sectoral/ Thematic</t>
        </is>
      </c>
      <c r="F607" s="101" t="n">
        <v>-1.09</v>
      </c>
      <c r="G607" s="82" t="n">
        <v>7.13</v>
      </c>
      <c r="H607" s="82" t="n">
        <v>0</v>
      </c>
      <c r="I607" s="82" t="n">
        <v>0</v>
      </c>
      <c r="J607" s="82" t="n">
        <v>0</v>
      </c>
      <c r="K607" s="82" t="n">
        <v>0</v>
      </c>
      <c r="L607" s="78" t="n">
        <v>0</v>
      </c>
      <c r="M607" s="18" t="n">
        <v>0</v>
      </c>
      <c r="N607" s="19" t="n">
        <v>0</v>
      </c>
      <c r="O607" s="105">
        <f>COUNTIFS($E:$E,$E607,$L:$L,"&gt;"&amp;$L607)+1</f>
        <v/>
      </c>
      <c r="P607" s="105">
        <f>COUNTIFS($E:$E,$E607,$M:$M,"&gt;"&amp;$M607)+1</f>
        <v/>
      </c>
      <c r="Q607" s="105">
        <f>COUNTIFS($E:$E,$E607,$N:$N,"&gt;"&amp;$N607)+1</f>
        <v/>
      </c>
      <c r="R607" s="83" t="inlineStr">
        <is>
          <t>❌ N/A</t>
        </is>
      </c>
      <c r="S607" s="83" t="inlineStr">
        <is>
          <t>❌ N/A</t>
        </is>
      </c>
      <c r="T607" s="83" t="inlineStr">
        <is>
          <t>❌ Missing Data</t>
        </is>
      </c>
      <c r="U607" s="84" t="inlineStr">
        <is>
          <t>MISSING</t>
        </is>
      </c>
    </row>
    <row r="608" ht="16" customHeight="1">
      <c r="A608" s="80" t="n">
        <v>604</v>
      </c>
      <c r="B608" s="81" t="inlineStr">
        <is>
          <t>Samco Mid Cap Fund - Regular Plan</t>
        </is>
      </c>
      <c r="C608" s="81" t="inlineStr">
        <is>
          <t>Samco Mutual Fund</t>
        </is>
      </c>
      <c r="D608" s="81" t="inlineStr">
        <is>
          <t>Mid Cap Fund</t>
        </is>
      </c>
      <c r="E608" s="81" t="inlineStr">
        <is>
          <t>Mid Cap Fund</t>
        </is>
      </c>
      <c r="F608" s="101" t="n">
        <v>-2.63</v>
      </c>
      <c r="G608" s="82" t="n">
        <v>1.69</v>
      </c>
      <c r="H608" s="82" t="n">
        <v>0</v>
      </c>
      <c r="I608" s="82" t="n">
        <v>0</v>
      </c>
      <c r="J608" s="82" t="n">
        <v>0</v>
      </c>
      <c r="K608" s="82" t="n">
        <v>0</v>
      </c>
      <c r="L608" s="78" t="n">
        <v>0</v>
      </c>
      <c r="M608" s="18" t="n">
        <v>0</v>
      </c>
      <c r="N608" s="19" t="n">
        <v>0</v>
      </c>
      <c r="O608" s="105">
        <f>COUNTIFS($E:$E,$E608,$L:$L,"&gt;"&amp;$L608)+1</f>
        <v/>
      </c>
      <c r="P608" s="105">
        <f>COUNTIFS($E:$E,$E608,$M:$M,"&gt;"&amp;$M608)+1</f>
        <v/>
      </c>
      <c r="Q608" s="105">
        <f>COUNTIFS($E:$E,$E608,$N:$N,"&gt;"&amp;$N608)+1</f>
        <v/>
      </c>
      <c r="R608" s="83" t="inlineStr">
        <is>
          <t>❌ N/A</t>
        </is>
      </c>
      <c r="S608" s="83" t="inlineStr">
        <is>
          <t>❌ N/A</t>
        </is>
      </c>
      <c r="T608" s="83" t="inlineStr">
        <is>
          <t>❌ Missing Data</t>
        </is>
      </c>
      <c r="U608" s="84" t="inlineStr">
        <is>
          <t>MISSING</t>
        </is>
      </c>
    </row>
    <row r="609" ht="16" customHeight="1">
      <c r="A609" s="80" t="n">
        <v>605</v>
      </c>
      <c r="B609" s="81" t="inlineStr">
        <is>
          <t>Motilal Oswal Financial Services Fund- Regular-Growth</t>
        </is>
      </c>
      <c r="C609" s="81" t="inlineStr">
        <is>
          <t>Motilal Oswal Mutual Fund</t>
        </is>
      </c>
      <c r="D609" s="81" t="inlineStr">
        <is>
          <t>Sectoral/ Thematic</t>
        </is>
      </c>
      <c r="E609" s="81" t="inlineStr">
        <is>
          <t>Sectoral/ Thematic</t>
        </is>
      </c>
      <c r="F609" s="101" t="n">
        <v>-2.5</v>
      </c>
      <c r="G609" s="82" t="n">
        <v>2.05</v>
      </c>
      <c r="H609" s="82" t="n">
        <v>0</v>
      </c>
      <c r="I609" s="82" t="n">
        <v>0</v>
      </c>
      <c r="J609" s="82" t="n">
        <v>0</v>
      </c>
      <c r="K609" s="82" t="n">
        <v>0</v>
      </c>
      <c r="L609" s="78" t="n">
        <v>0</v>
      </c>
      <c r="M609" s="18" t="n">
        <v>0</v>
      </c>
      <c r="N609" s="19" t="n">
        <v>0</v>
      </c>
      <c r="O609" s="105">
        <f>COUNTIFS($E:$E,$E609,$L:$L,"&gt;"&amp;$L609)+1</f>
        <v/>
      </c>
      <c r="P609" s="105">
        <f>COUNTIFS($E:$E,$E609,$M:$M,"&gt;"&amp;$M609)+1</f>
        <v/>
      </c>
      <c r="Q609" s="105">
        <f>COUNTIFS($E:$E,$E609,$N:$N,"&gt;"&amp;$N609)+1</f>
        <v/>
      </c>
      <c r="R609" s="83" t="inlineStr">
        <is>
          <t>❌ N/A</t>
        </is>
      </c>
      <c r="S609" s="83" t="inlineStr">
        <is>
          <t>❌ N/A</t>
        </is>
      </c>
      <c r="T609" s="83" t="inlineStr">
        <is>
          <t>❌ Missing Data</t>
        </is>
      </c>
      <c r="U609" s="84" t="inlineStr">
        <is>
          <t>MISSING</t>
        </is>
      </c>
    </row>
    <row r="610" ht="16" customHeight="1">
      <c r="A610" s="80" t="n">
        <v>606</v>
      </c>
      <c r="B610" s="81" t="inlineStr">
        <is>
          <t>Abakkus Flexi Cap Fund - Regular - Growth</t>
        </is>
      </c>
      <c r="C610" s="81" t="inlineStr">
        <is>
          <t>Abakkus Mutual Fund</t>
        </is>
      </c>
      <c r="D610" s="81" t="inlineStr">
        <is>
          <t>Flexi Cap Fund</t>
        </is>
      </c>
      <c r="E610" s="81" t="inlineStr">
        <is>
          <t>Flexi Cap Fund</t>
        </is>
      </c>
      <c r="F610" s="101" t="n">
        <v>-0.23</v>
      </c>
      <c r="G610" s="82" t="n">
        <v>6.78</v>
      </c>
      <c r="H610" s="82" t="n">
        <v>0</v>
      </c>
      <c r="I610" s="82" t="n">
        <v>0</v>
      </c>
      <c r="J610" s="82" t="n">
        <v>0</v>
      </c>
      <c r="K610" s="82" t="n">
        <v>0</v>
      </c>
      <c r="L610" s="78" t="n">
        <v>0</v>
      </c>
      <c r="M610" s="18" t="n">
        <v>0</v>
      </c>
      <c r="N610" s="19" t="n">
        <v>0</v>
      </c>
      <c r="O610" s="105">
        <f>COUNTIFS($E:$E,$E610,$L:$L,"&gt;"&amp;$L610)+1</f>
        <v/>
      </c>
      <c r="P610" s="105">
        <f>COUNTIFS($E:$E,$E610,$M:$M,"&gt;"&amp;$M610)+1</f>
        <v/>
      </c>
      <c r="Q610" s="105">
        <f>COUNTIFS($E:$E,$E610,$N:$N,"&gt;"&amp;$N610)+1</f>
        <v/>
      </c>
      <c r="R610" s="83" t="inlineStr">
        <is>
          <t>❌ N/A</t>
        </is>
      </c>
      <c r="S610" s="83" t="inlineStr">
        <is>
          <t>❌ N/A</t>
        </is>
      </c>
      <c r="T610" s="83" t="inlineStr">
        <is>
          <t>❌ Missing Data</t>
        </is>
      </c>
      <c r="U610" s="84" t="inlineStr">
        <is>
          <t>MISSING</t>
        </is>
      </c>
    </row>
    <row r="611" ht="16" customHeight="1">
      <c r="A611" s="80" t="n">
        <v>607</v>
      </c>
      <c r="B611" s="81" t="inlineStr">
        <is>
          <t>Union Consumption Fund - Regular Plan - Growth Option</t>
        </is>
      </c>
      <c r="C611" s="81" t="inlineStr">
        <is>
          <t>Union Mutual Fund</t>
        </is>
      </c>
      <c r="D611" s="81" t="inlineStr">
        <is>
          <t>Sectoral/ Thematic</t>
        </is>
      </c>
      <c r="E611" s="81" t="inlineStr">
        <is>
          <t>Sectoral/ Thematic</t>
        </is>
      </c>
      <c r="F611" s="101" t="n">
        <v>-2.93</v>
      </c>
      <c r="G611" s="82" t="n">
        <v>3.35</v>
      </c>
      <c r="H611" s="82" t="n">
        <v>0</v>
      </c>
      <c r="I611" s="82" t="n">
        <v>0</v>
      </c>
      <c r="J611" s="82" t="n">
        <v>0</v>
      </c>
      <c r="K611" s="82" t="n">
        <v>0</v>
      </c>
      <c r="L611" s="78" t="n">
        <v>0</v>
      </c>
      <c r="M611" s="18" t="n">
        <v>0</v>
      </c>
      <c r="N611" s="19" t="n">
        <v>0</v>
      </c>
      <c r="O611" s="105">
        <f>COUNTIFS($E:$E,$E611,$L:$L,"&gt;"&amp;$L611)+1</f>
        <v/>
      </c>
      <c r="P611" s="105">
        <f>COUNTIFS($E:$E,$E611,$M:$M,"&gt;"&amp;$M611)+1</f>
        <v/>
      </c>
      <c r="Q611" s="105">
        <f>COUNTIFS($E:$E,$E611,$N:$N,"&gt;"&amp;$N611)+1</f>
        <v/>
      </c>
      <c r="R611" s="83" t="inlineStr">
        <is>
          <t>❌ N/A</t>
        </is>
      </c>
      <c r="S611" s="83" t="inlineStr">
        <is>
          <t>❌ N/A</t>
        </is>
      </c>
      <c r="T611" s="83" t="inlineStr">
        <is>
          <t>❌ Missing Data</t>
        </is>
      </c>
      <c r="U611" s="84" t="inlineStr">
        <is>
          <t>MISSING</t>
        </is>
      </c>
    </row>
    <row r="612" ht="16" customHeight="1">
      <c r="A612" s="80" t="n">
        <v>608</v>
      </c>
      <c r="B612" s="81" t="inlineStr">
        <is>
          <t>Groww Small Cap Fund-Regular-Growth</t>
        </is>
      </c>
      <c r="C612" s="81" t="inlineStr">
        <is>
          <t>Groww Mutual Fund</t>
        </is>
      </c>
      <c r="D612" s="81" t="inlineStr">
        <is>
          <t>Small Cap Fund</t>
        </is>
      </c>
      <c r="E612" s="81" t="inlineStr">
        <is>
          <t>Small Cap Fund</t>
        </is>
      </c>
      <c r="F612" s="101" t="n">
        <v>-2.02</v>
      </c>
      <c r="G612" s="82" t="n">
        <v>12.91</v>
      </c>
      <c r="H612" s="82" t="n">
        <v>0</v>
      </c>
      <c r="I612" s="82" t="n">
        <v>0</v>
      </c>
      <c r="J612" s="82" t="n">
        <v>0</v>
      </c>
      <c r="K612" s="82" t="n">
        <v>0</v>
      </c>
      <c r="L612" s="78" t="n">
        <v>0</v>
      </c>
      <c r="M612" s="18" t="n">
        <v>0</v>
      </c>
      <c r="N612" s="19" t="n">
        <v>0</v>
      </c>
      <c r="O612" s="105">
        <f>COUNTIFS($E:$E,$E612,$L:$L,"&gt;"&amp;$L612)+1</f>
        <v/>
      </c>
      <c r="P612" s="105">
        <f>COUNTIFS($E:$E,$E612,$M:$M,"&gt;"&amp;$M612)+1</f>
        <v/>
      </c>
      <c r="Q612" s="105">
        <f>COUNTIFS($E:$E,$E612,$N:$N,"&gt;"&amp;$N612)+1</f>
        <v/>
      </c>
      <c r="R612" s="83" t="inlineStr">
        <is>
          <t>❌ N/A</t>
        </is>
      </c>
      <c r="S612" s="83" t="inlineStr">
        <is>
          <t>❌ N/A</t>
        </is>
      </c>
      <c r="T612" s="83" t="inlineStr">
        <is>
          <t>❌ Missing Data</t>
        </is>
      </c>
      <c r="U612" s="84" t="inlineStr">
        <is>
          <t>MISSING</t>
        </is>
      </c>
    </row>
    <row r="613" ht="16" customHeight="1">
      <c r="A613" s="80" t="n">
        <v>609</v>
      </c>
      <c r="B613" s="81" t="inlineStr">
        <is>
          <t>Edelweiss Financial Services Fund - Regular Plan - Growth Option</t>
        </is>
      </c>
      <c r="C613" s="81" t="inlineStr">
        <is>
          <t>Edelweiss Mutual Fund</t>
        </is>
      </c>
      <c r="D613" s="81" t="inlineStr">
        <is>
          <t>Sectoral/ Thematic</t>
        </is>
      </c>
      <c r="E613" s="81" t="inlineStr">
        <is>
          <t>Sectoral/ Thematic</t>
        </is>
      </c>
      <c r="F613" s="101" t="n">
        <v>-2.57</v>
      </c>
      <c r="G613" s="101" t="n">
        <v>-1.1</v>
      </c>
      <c r="H613" s="82" t="n">
        <v>0</v>
      </c>
      <c r="I613" s="82" t="n">
        <v>0</v>
      </c>
      <c r="J613" s="82" t="n">
        <v>0</v>
      </c>
      <c r="K613" s="82" t="n">
        <v>0</v>
      </c>
      <c r="L613" s="78" t="n">
        <v>0</v>
      </c>
      <c r="M613" s="18" t="n">
        <v>0</v>
      </c>
      <c r="N613" s="19" t="n">
        <v>0</v>
      </c>
      <c r="O613" s="105">
        <f>COUNTIFS($E:$E,$E613,$L:$L,"&gt;"&amp;$L613)+1</f>
        <v/>
      </c>
      <c r="P613" s="105">
        <f>COUNTIFS($E:$E,$E613,$M:$M,"&gt;"&amp;$M613)+1</f>
        <v/>
      </c>
      <c r="Q613" s="105">
        <f>COUNTIFS($E:$E,$E613,$N:$N,"&gt;"&amp;$N613)+1</f>
        <v/>
      </c>
      <c r="R613" s="83" t="inlineStr">
        <is>
          <t>❌ N/A</t>
        </is>
      </c>
      <c r="S613" s="83" t="inlineStr">
        <is>
          <t>❌ N/A</t>
        </is>
      </c>
      <c r="T613" s="83" t="inlineStr">
        <is>
          <t>❌ Missing Data</t>
        </is>
      </c>
      <c r="U613" s="84" t="inlineStr">
        <is>
          <t>MISSING</t>
        </is>
      </c>
    </row>
    <row r="614" ht="16" customHeight="1">
      <c r="A614" s="80" t="n">
        <v>610</v>
      </c>
      <c r="B614" s="81" t="inlineStr">
        <is>
          <t>Bank of India Banking &amp; Financial Services Fund - Regular Plan - Growth</t>
        </is>
      </c>
      <c r="C614" s="81" t="inlineStr">
        <is>
          <t>Bank of India Mutual Fund</t>
        </is>
      </c>
      <c r="D614" s="81" t="inlineStr">
        <is>
          <t>Sectoral/ Thematic</t>
        </is>
      </c>
      <c r="E614" s="81" t="inlineStr">
        <is>
          <t>Sectoral/ Thematic</t>
        </is>
      </c>
      <c r="F614" s="101" t="n">
        <v>-2.7</v>
      </c>
      <c r="G614" s="101" t="n">
        <v>-1.26</v>
      </c>
      <c r="H614" s="82" t="n">
        <v>0</v>
      </c>
      <c r="I614" s="82" t="n">
        <v>0</v>
      </c>
      <c r="J614" s="82" t="n">
        <v>0</v>
      </c>
      <c r="K614" s="82" t="n">
        <v>0</v>
      </c>
      <c r="L614" s="78" t="n">
        <v>0</v>
      </c>
      <c r="M614" s="18" t="n">
        <v>0</v>
      </c>
      <c r="N614" s="19" t="n">
        <v>0</v>
      </c>
      <c r="O614" s="105">
        <f>COUNTIFS($E:$E,$E614,$L:$L,"&gt;"&amp;$L614)+1</f>
        <v/>
      </c>
      <c r="P614" s="105">
        <f>COUNTIFS($E:$E,$E614,$M:$M,"&gt;"&amp;$M614)+1</f>
        <v/>
      </c>
      <c r="Q614" s="105">
        <f>COUNTIFS($E:$E,$E614,$N:$N,"&gt;"&amp;$N614)+1</f>
        <v/>
      </c>
      <c r="R614" s="83" t="inlineStr">
        <is>
          <t>❌ N/A</t>
        </is>
      </c>
      <c r="S614" s="83" t="inlineStr">
        <is>
          <t>❌ N/A</t>
        </is>
      </c>
      <c r="T614" s="83" t="inlineStr">
        <is>
          <t>❌ Missing Data</t>
        </is>
      </c>
      <c r="U614" s="84" t="inlineStr">
        <is>
          <t>MISSING</t>
        </is>
      </c>
    </row>
    <row r="615" ht="16" customHeight="1">
      <c r="A615" s="80" t="n">
        <v>611</v>
      </c>
      <c r="B615" s="81" t="inlineStr">
        <is>
          <t>Baroda BNP Paribas Best-in-Class Strategy Fund - Regular - Growth Option</t>
        </is>
      </c>
      <c r="C615" s="81" t="inlineStr">
        <is>
          <t>Baroda BNP Paribas Mutual Fund</t>
        </is>
      </c>
      <c r="D615" s="81" t="inlineStr">
        <is>
          <t>Sectoral/ Thematic</t>
        </is>
      </c>
      <c r="E615" s="81" t="inlineStr">
        <is>
          <t>Sectoral/ Thematic</t>
        </is>
      </c>
      <c r="F615" s="101" t="n">
        <v>-2.51</v>
      </c>
      <c r="G615" s="101" t="n">
        <v>-0.24</v>
      </c>
      <c r="H615" s="82" t="n">
        <v>0</v>
      </c>
      <c r="I615" s="82" t="n">
        <v>0</v>
      </c>
      <c r="J615" s="82" t="n">
        <v>0</v>
      </c>
      <c r="K615" s="82" t="n">
        <v>0</v>
      </c>
      <c r="L615" s="78" t="n">
        <v>0</v>
      </c>
      <c r="M615" s="18" t="n">
        <v>0</v>
      </c>
      <c r="N615" s="19" t="n">
        <v>0</v>
      </c>
      <c r="O615" s="105">
        <f>COUNTIFS($E:$E,$E615,$L:$L,"&gt;"&amp;$L615)+1</f>
        <v/>
      </c>
      <c r="P615" s="105">
        <f>COUNTIFS($E:$E,$E615,$M:$M,"&gt;"&amp;$M615)+1</f>
        <v/>
      </c>
      <c r="Q615" s="105">
        <f>COUNTIFS($E:$E,$E615,$N:$N,"&gt;"&amp;$N615)+1</f>
        <v/>
      </c>
      <c r="R615" s="83" t="inlineStr">
        <is>
          <t>❌ N/A</t>
        </is>
      </c>
      <c r="S615" s="83" t="inlineStr">
        <is>
          <t>❌ N/A</t>
        </is>
      </c>
      <c r="T615" s="83" t="inlineStr">
        <is>
          <t>❌ Missing Data</t>
        </is>
      </c>
      <c r="U615" s="84" t="inlineStr">
        <is>
          <t>MISSING</t>
        </is>
      </c>
    </row>
    <row r="616" ht="16" customHeight="1">
      <c r="A616" s="80" t="n">
        <v>612</v>
      </c>
      <c r="B616" s="81" t="inlineStr">
        <is>
          <t>Old Bridge Flexi Cap Fund Regular Growth</t>
        </is>
      </c>
      <c r="C616" s="81" t="inlineStr">
        <is>
          <t>Old Bridge Mutual Fund</t>
        </is>
      </c>
      <c r="D616" s="81" t="inlineStr">
        <is>
          <t>Flexi Cap Fund</t>
        </is>
      </c>
      <c r="E616" s="81" t="inlineStr">
        <is>
          <t>Flexi Cap Fund</t>
        </is>
      </c>
      <c r="F616" s="101" t="n">
        <v>-1.13</v>
      </c>
      <c r="G616" s="82" t="n">
        <v>5.3</v>
      </c>
      <c r="H616" s="82" t="n">
        <v>0</v>
      </c>
      <c r="I616" s="82" t="n">
        <v>0</v>
      </c>
      <c r="J616" s="82" t="n">
        <v>0</v>
      </c>
      <c r="K616" s="82" t="n">
        <v>0</v>
      </c>
      <c r="L616" s="78" t="n">
        <v>0</v>
      </c>
      <c r="M616" s="18" t="n">
        <v>0</v>
      </c>
      <c r="N616" s="19" t="n">
        <v>0</v>
      </c>
      <c r="O616" s="105">
        <f>COUNTIFS($E:$E,$E616,$L:$L,"&gt;"&amp;$L616)+1</f>
        <v/>
      </c>
      <c r="P616" s="105">
        <f>COUNTIFS($E:$E,$E616,$M:$M,"&gt;"&amp;$M616)+1</f>
        <v/>
      </c>
      <c r="Q616" s="105">
        <f>COUNTIFS($E:$E,$E616,$N:$N,"&gt;"&amp;$N616)+1</f>
        <v/>
      </c>
      <c r="R616" s="83" t="inlineStr">
        <is>
          <t>❌ N/A</t>
        </is>
      </c>
      <c r="S616" s="83" t="inlineStr">
        <is>
          <t>❌ N/A</t>
        </is>
      </c>
      <c r="T616" s="83" t="inlineStr">
        <is>
          <t>❌ Missing Data</t>
        </is>
      </c>
      <c r="U616" s="84" t="inlineStr">
        <is>
          <t>MISSING</t>
        </is>
      </c>
    </row>
    <row r="617" ht="16" customHeight="1">
      <c r="A617" s="80" t="n">
        <v>613</v>
      </c>
      <c r="B617" s="81" t="inlineStr">
        <is>
          <t>Abakkus Small Cap Fund - Regular  Plan - Growth</t>
        </is>
      </c>
      <c r="C617" s="81" t="inlineStr">
        <is>
          <t>Abakkus Mutual Fund</t>
        </is>
      </c>
      <c r="D617" s="81" t="inlineStr">
        <is>
          <t>Small Cap Fund</t>
        </is>
      </c>
      <c r="E617" s="81" t="inlineStr">
        <is>
          <t>Small Cap Fund</t>
        </is>
      </c>
      <c r="F617" s="101" t="n">
        <v>-0.26</v>
      </c>
      <c r="G617" s="82" t="n">
        <v>0</v>
      </c>
      <c r="H617" s="82" t="n">
        <v>0</v>
      </c>
      <c r="I617" s="82" t="n">
        <v>0</v>
      </c>
      <c r="J617" s="82" t="n">
        <v>0</v>
      </c>
      <c r="K617" s="82" t="n">
        <v>0</v>
      </c>
      <c r="L617" s="78" t="n">
        <v>0</v>
      </c>
      <c r="M617" s="18" t="n">
        <v>0</v>
      </c>
      <c r="N617" s="19" t="n">
        <v>0</v>
      </c>
      <c r="O617" s="105">
        <f>COUNTIFS($E:$E,$E617,$L:$L,"&gt;"&amp;$L617)+1</f>
        <v/>
      </c>
      <c r="P617" s="105">
        <f>COUNTIFS($E:$E,$E617,$M:$M,"&gt;"&amp;$M617)+1</f>
        <v/>
      </c>
      <c r="Q617" s="105">
        <f>COUNTIFS($E:$E,$E617,$N:$N,"&gt;"&amp;$N617)+1</f>
        <v/>
      </c>
      <c r="R617" s="83" t="inlineStr">
        <is>
          <t>❌ N/A</t>
        </is>
      </c>
      <c r="S617" s="83" t="inlineStr">
        <is>
          <t>❌ N/A</t>
        </is>
      </c>
      <c r="T617" s="83" t="inlineStr">
        <is>
          <t>❌ Missing Data</t>
        </is>
      </c>
      <c r="U617" s="84" t="inlineStr">
        <is>
          <t>MISSING</t>
        </is>
      </c>
    </row>
    <row r="618" ht="16" customHeight="1">
      <c r="A618" s="80" t="n">
        <v>614</v>
      </c>
      <c r="B618" s="81" t="inlineStr">
        <is>
          <t>TRUSTMF MID CAP FUND -REGULAR-GROWTH</t>
        </is>
      </c>
      <c r="C618" s="81" t="inlineStr">
        <is>
          <t>Trust Mutual Fund</t>
        </is>
      </c>
      <c r="D618" s="81" t="inlineStr">
        <is>
          <t>Mid Cap Fund</t>
        </is>
      </c>
      <c r="E618" s="81" t="inlineStr">
        <is>
          <t>Mid Cap Fund</t>
        </is>
      </c>
      <c r="F618" s="101" t="n">
        <v>-0.72</v>
      </c>
      <c r="G618" s="82" t="n">
        <v>0</v>
      </c>
      <c r="H618" s="82" t="n">
        <v>0</v>
      </c>
      <c r="I618" s="82" t="n">
        <v>0</v>
      </c>
      <c r="J618" s="82" t="n">
        <v>0</v>
      </c>
      <c r="K618" s="82" t="n">
        <v>0</v>
      </c>
      <c r="L618" s="78" t="n">
        <v>0</v>
      </c>
      <c r="M618" s="18" t="n">
        <v>0</v>
      </c>
      <c r="N618" s="19" t="n">
        <v>0</v>
      </c>
      <c r="O618" s="105">
        <f>COUNTIFS($E:$E,$E618,$L:$L,"&gt;"&amp;$L618)+1</f>
        <v/>
      </c>
      <c r="P618" s="105">
        <f>COUNTIFS($E:$E,$E618,$M:$M,"&gt;"&amp;$M618)+1</f>
        <v/>
      </c>
      <c r="Q618" s="105">
        <f>COUNTIFS($E:$E,$E618,$N:$N,"&gt;"&amp;$N618)+1</f>
        <v/>
      </c>
      <c r="R618" s="83" t="inlineStr">
        <is>
          <t>❌ N/A</t>
        </is>
      </c>
      <c r="S618" s="83" t="inlineStr">
        <is>
          <t>❌ N/A</t>
        </is>
      </c>
      <c r="T618" s="83" t="inlineStr">
        <is>
          <t>❌ Missing Data</t>
        </is>
      </c>
      <c r="U618" s="84" t="inlineStr">
        <is>
          <t>MISSING</t>
        </is>
      </c>
    </row>
    <row r="619" ht="16" customHeight="1">
      <c r="A619" s="80" t="n">
        <v>615</v>
      </c>
      <c r="B619" s="81" t="inlineStr">
        <is>
          <t>WhiteOak Capital Consumption Opportunities Fund Regular Plan Growth</t>
        </is>
      </c>
      <c r="C619" s="81" t="inlineStr">
        <is>
          <t>WhiteOak Capital Mutual Fund</t>
        </is>
      </c>
      <c r="D619" s="81" t="inlineStr">
        <is>
          <t>Sectoral/ Thematic</t>
        </is>
      </c>
      <c r="E619" s="81" t="inlineStr">
        <is>
          <t>Sectoral/ Thematic</t>
        </is>
      </c>
      <c r="F619" s="101" t="n">
        <v>-2.06</v>
      </c>
      <c r="G619" s="82" t="n">
        <v>6.31</v>
      </c>
      <c r="H619" s="82" t="n">
        <v>0</v>
      </c>
      <c r="I619" s="82" t="n">
        <v>0</v>
      </c>
      <c r="J619" s="82" t="n">
        <v>0</v>
      </c>
      <c r="K619" s="82" t="n">
        <v>0</v>
      </c>
      <c r="L619" s="78" t="n">
        <v>0</v>
      </c>
      <c r="M619" s="18" t="n">
        <v>0</v>
      </c>
      <c r="N619" s="19" t="n">
        <v>0</v>
      </c>
      <c r="O619" s="105">
        <f>COUNTIFS($E:$E,$E619,$L:$L,"&gt;"&amp;$L619)+1</f>
        <v/>
      </c>
      <c r="P619" s="105">
        <f>COUNTIFS($E:$E,$E619,$M:$M,"&gt;"&amp;$M619)+1</f>
        <v/>
      </c>
      <c r="Q619" s="105">
        <f>COUNTIFS($E:$E,$E619,$N:$N,"&gt;"&amp;$N619)+1</f>
        <v/>
      </c>
      <c r="R619" s="83" t="inlineStr">
        <is>
          <t>❌ N/A</t>
        </is>
      </c>
      <c r="S619" s="83" t="inlineStr">
        <is>
          <t>❌ N/A</t>
        </is>
      </c>
      <c r="T619" s="83" t="inlineStr">
        <is>
          <t>❌ Missing Data</t>
        </is>
      </c>
      <c r="U619" s="84" t="inlineStr">
        <is>
          <t>MISSING</t>
        </is>
      </c>
    </row>
    <row r="620" ht="16" customHeight="1">
      <c r="A620" s="80" t="n">
        <v>616</v>
      </c>
      <c r="B620" s="81" t="inlineStr">
        <is>
          <t>ITI Business Cycle Fund- Regular Plan- Growth</t>
        </is>
      </c>
      <c r="C620" s="81" t="inlineStr">
        <is>
          <t>ITI Mutual Fund</t>
        </is>
      </c>
      <c r="D620" s="81" t="inlineStr">
        <is>
          <t>Sectoral/ Thematic</t>
        </is>
      </c>
      <c r="E620" s="81" t="inlineStr">
        <is>
          <t>Sectoral/ Thematic</t>
        </is>
      </c>
      <c r="F620" s="101" t="n">
        <v>-3.12</v>
      </c>
      <c r="G620" s="82" t="n">
        <v>0.88</v>
      </c>
      <c r="H620" s="82" t="n">
        <v>0</v>
      </c>
      <c r="I620" s="82" t="n">
        <v>0</v>
      </c>
      <c r="J620" s="82" t="n">
        <v>0</v>
      </c>
      <c r="K620" s="82" t="n">
        <v>0</v>
      </c>
      <c r="L620" s="78" t="n">
        <v>0</v>
      </c>
      <c r="M620" s="18" t="n">
        <v>0</v>
      </c>
      <c r="N620" s="19" t="n">
        <v>0</v>
      </c>
      <c r="O620" s="105">
        <f>COUNTIFS($E:$E,$E620,$L:$L,"&gt;"&amp;$L620)+1</f>
        <v/>
      </c>
      <c r="P620" s="105">
        <f>COUNTIFS($E:$E,$E620,$M:$M,"&gt;"&amp;$M620)+1</f>
        <v/>
      </c>
      <c r="Q620" s="105">
        <f>COUNTIFS($E:$E,$E620,$N:$N,"&gt;"&amp;$N620)+1</f>
        <v/>
      </c>
      <c r="R620" s="83" t="inlineStr">
        <is>
          <t>❌ N/A</t>
        </is>
      </c>
      <c r="S620" s="83" t="inlineStr">
        <is>
          <t>❌ N/A</t>
        </is>
      </c>
      <c r="T620" s="83" t="inlineStr">
        <is>
          <t>❌ Missing Data</t>
        </is>
      </c>
      <c r="U620" s="84" t="inlineStr">
        <is>
          <t>MISSING</t>
        </is>
      </c>
    </row>
    <row r="621" ht="16" customHeight="1">
      <c r="A621" s="80" t="n">
        <v>617</v>
      </c>
      <c r="B621" s="81" t="inlineStr">
        <is>
          <t>Kotak Services Fund - Regular - Growth</t>
        </is>
      </c>
      <c r="C621" s="81" t="inlineStr">
        <is>
          <t>Kotak Mahindra Mutual Fund</t>
        </is>
      </c>
      <c r="D621" s="81" t="inlineStr">
        <is>
          <t>Sectoral/ Thematic</t>
        </is>
      </c>
      <c r="E621" s="81" t="inlineStr">
        <is>
          <t>Sectoral/ Thematic</t>
        </is>
      </c>
      <c r="F621" s="101" t="n">
        <v>-1.25</v>
      </c>
      <c r="G621" s="101" t="n">
        <v>-0.76</v>
      </c>
      <c r="H621" s="82" t="n">
        <v>0</v>
      </c>
      <c r="I621" s="82" t="n">
        <v>0</v>
      </c>
      <c r="J621" s="82" t="n">
        <v>0</v>
      </c>
      <c r="K621" s="82" t="n">
        <v>0</v>
      </c>
      <c r="L621" s="78" t="n">
        <v>0</v>
      </c>
      <c r="M621" s="18" t="n">
        <v>0</v>
      </c>
      <c r="N621" s="19" t="n">
        <v>0</v>
      </c>
      <c r="O621" s="105">
        <f>COUNTIFS($E:$E,$E621,$L:$L,"&gt;"&amp;$L621)+1</f>
        <v/>
      </c>
      <c r="P621" s="105">
        <f>COUNTIFS($E:$E,$E621,$M:$M,"&gt;"&amp;$M621)+1</f>
        <v/>
      </c>
      <c r="Q621" s="105">
        <f>COUNTIFS($E:$E,$E621,$N:$N,"&gt;"&amp;$N621)+1</f>
        <v/>
      </c>
      <c r="R621" s="83" t="inlineStr">
        <is>
          <t>❌ N/A</t>
        </is>
      </c>
      <c r="S621" s="83" t="inlineStr">
        <is>
          <t>❌ N/A</t>
        </is>
      </c>
      <c r="T621" s="83" t="inlineStr">
        <is>
          <t>❌ Missing Data</t>
        </is>
      </c>
      <c r="U621" s="84" t="inlineStr">
        <is>
          <t>MISSING</t>
        </is>
      </c>
    </row>
    <row r="622" ht="16" customHeight="1">
      <c r="A622" s="80" t="n">
        <v>618</v>
      </c>
      <c r="B622" s="81" t="inlineStr">
        <is>
          <t>Parag Parikh Large Cap Fund - Regular Plan - Growth</t>
        </is>
      </c>
      <c r="C622" s="81" t="inlineStr">
        <is>
          <t>PPFAS Mutual Fund</t>
        </is>
      </c>
      <c r="D622" s="81" t="inlineStr">
        <is>
          <t>Large Cap Fund</t>
        </is>
      </c>
      <c r="E622" s="81" t="inlineStr">
        <is>
          <t>Large Cap Fund</t>
        </is>
      </c>
      <c r="F622" s="101" t="n">
        <v>-2.6</v>
      </c>
      <c r="G622" s="101" t="n">
        <v>-1.02</v>
      </c>
      <c r="H622" s="82" t="n">
        <v>0</v>
      </c>
      <c r="I622" s="82" t="n">
        <v>0</v>
      </c>
      <c r="J622" s="82" t="n">
        <v>0</v>
      </c>
      <c r="K622" s="82" t="n">
        <v>0</v>
      </c>
      <c r="L622" s="78" t="n">
        <v>0</v>
      </c>
      <c r="M622" s="18" t="n">
        <v>0</v>
      </c>
      <c r="N622" s="19" t="n">
        <v>0</v>
      </c>
      <c r="O622" s="105">
        <f>COUNTIFS($E:$E,$E622,$L:$L,"&gt;"&amp;$L622)+1</f>
        <v/>
      </c>
      <c r="P622" s="105">
        <f>COUNTIFS($E:$E,$E622,$M:$M,"&gt;"&amp;$M622)+1</f>
        <v/>
      </c>
      <c r="Q622" s="105">
        <f>COUNTIFS($E:$E,$E622,$N:$N,"&gt;"&amp;$N622)+1</f>
        <v/>
      </c>
      <c r="R622" s="83" t="inlineStr">
        <is>
          <t>❌ N/A</t>
        </is>
      </c>
      <c r="S622" s="83" t="inlineStr">
        <is>
          <t>❌ N/A</t>
        </is>
      </c>
      <c r="T622" s="83" t="inlineStr">
        <is>
          <t>❌ Missing Data</t>
        </is>
      </c>
      <c r="U622" s="84" t="inlineStr">
        <is>
          <t>MISSING</t>
        </is>
      </c>
    </row>
    <row r="623" ht="16" customHeight="1">
      <c r="A623" s="80" t="n">
        <v>619</v>
      </c>
      <c r="B623" s="81" t="inlineStr">
        <is>
          <t>SBI Quality Fund - Regular Plan - Growth</t>
        </is>
      </c>
      <c r="C623" s="81" t="inlineStr">
        <is>
          <t>SBI Mutual Fund</t>
        </is>
      </c>
      <c r="D623" s="81" t="inlineStr">
        <is>
          <t>Sectoral/ Thematic</t>
        </is>
      </c>
      <c r="E623" s="81" t="inlineStr">
        <is>
          <t>Sectoral/ Thematic</t>
        </is>
      </c>
      <c r="F623" s="101" t="n">
        <v>-1.4</v>
      </c>
      <c r="G623" s="82" t="n">
        <v>3.87</v>
      </c>
      <c r="H623" s="82" t="n">
        <v>0</v>
      </c>
      <c r="I623" s="82" t="n">
        <v>0</v>
      </c>
      <c r="J623" s="82" t="n">
        <v>0</v>
      </c>
      <c r="K623" s="82" t="n">
        <v>0</v>
      </c>
      <c r="L623" s="78" t="n">
        <v>0</v>
      </c>
      <c r="M623" s="18" t="n">
        <v>0</v>
      </c>
      <c r="N623" s="19" t="n">
        <v>0</v>
      </c>
      <c r="O623" s="105">
        <f>COUNTIFS($E:$E,$E623,$L:$L,"&gt;"&amp;$L623)+1</f>
        <v/>
      </c>
      <c r="P623" s="105">
        <f>COUNTIFS($E:$E,$E623,$M:$M,"&gt;"&amp;$M623)+1</f>
        <v/>
      </c>
      <c r="Q623" s="105">
        <f>COUNTIFS($E:$E,$E623,$N:$N,"&gt;"&amp;$N623)+1</f>
        <v/>
      </c>
      <c r="R623" s="83" t="inlineStr">
        <is>
          <t>❌ N/A</t>
        </is>
      </c>
      <c r="S623" s="83" t="inlineStr">
        <is>
          <t>❌ N/A</t>
        </is>
      </c>
      <c r="T623" s="83" t="inlineStr">
        <is>
          <t>❌ Missing Data</t>
        </is>
      </c>
      <c r="U623" s="84" t="inlineStr">
        <is>
          <t>MISSING</t>
        </is>
      </c>
    </row>
    <row r="624" ht="16" customHeight="1">
      <c r="A624" s="80" t="n">
        <v>620</v>
      </c>
      <c r="B624" s="81" t="inlineStr">
        <is>
          <t>SBI Quality Fund - Regular Plan - Income Distribution Cum Capital Withdrawal</t>
        </is>
      </c>
      <c r="C624" s="81" t="inlineStr">
        <is>
          <t>SBI Mutual Fund</t>
        </is>
      </c>
      <c r="D624" s="81" t="inlineStr">
        <is>
          <t>Sectoral/ Thematic</t>
        </is>
      </c>
      <c r="E624" s="81" t="inlineStr">
        <is>
          <t>Sectoral/ Thematic</t>
        </is>
      </c>
      <c r="F624" s="101" t="n">
        <v>-1.4</v>
      </c>
      <c r="G624" s="82" t="n">
        <v>3.87</v>
      </c>
      <c r="H624" s="82" t="n">
        <v>0</v>
      </c>
      <c r="I624" s="82" t="n">
        <v>0</v>
      </c>
      <c r="J624" s="82" t="n">
        <v>0</v>
      </c>
      <c r="K624" s="82" t="n">
        <v>0</v>
      </c>
      <c r="L624" s="78" t="n">
        <v>0</v>
      </c>
      <c r="M624" s="18" t="n">
        <v>0</v>
      </c>
      <c r="N624" s="19" t="n">
        <v>0</v>
      </c>
      <c r="O624" s="105">
        <f>COUNTIFS($E:$E,$E624,$L:$L,"&gt;"&amp;$L624)+1</f>
        <v/>
      </c>
      <c r="P624" s="105">
        <f>COUNTIFS($E:$E,$E624,$M:$M,"&gt;"&amp;$M624)+1</f>
        <v/>
      </c>
      <c r="Q624" s="105">
        <f>COUNTIFS($E:$E,$E624,$N:$N,"&gt;"&amp;$N624)+1</f>
        <v/>
      </c>
      <c r="R624" s="83" t="inlineStr">
        <is>
          <t>❌ N/A</t>
        </is>
      </c>
      <c r="S624" s="83" t="inlineStr">
        <is>
          <t>❌ N/A</t>
        </is>
      </c>
      <c r="T624" s="83" t="inlineStr">
        <is>
          <t>❌ Missing Data</t>
        </is>
      </c>
      <c r="U624" s="84" t="inlineStr">
        <is>
          <t>MISSING</t>
        </is>
      </c>
    </row>
  </sheetData>
  <autoFilter ref="A4:U624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2026-06-12T22:03:27Z</dcterms:created>
  <dcterms:modified xsi:type="dcterms:W3CDTF">2026-06-12T22:03:32Z</dcterms:modified>
</cp:coreProperties>
</file>