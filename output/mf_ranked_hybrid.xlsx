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Aggressive Hybrid Fund" sheetId="3" state="visible" r:id="rId3"/>
    <sheet name="Arbitrage Fund" sheetId="4" state="visible" r:id="rId4"/>
    <sheet name="Balanced Hybrid Fund" sheetId="5" state="visible" r:id="rId5"/>
    <sheet name="Conservative Hybrid Fund" sheetId="6" state="visible" r:id="rId6"/>
    <sheet name="Dynamic Asset Allocation Or Bal" sheetId="7" state="visible" r:id="rId7"/>
    <sheet name="Equity Savings" sheetId="8" state="visible" r:id="rId8"/>
    <sheet name="Multi Asset Allocation" sheetId="9" state="visible" r:id="rId9"/>
    <sheet name="📊 CONSOLIDATED" sheetId="10" state="visible" r:id="rId10"/>
  </sheets>
  <definedNames>
    <definedName name="_xlnm._FilterDatabase" localSheetId="0" hidden="1">'🏆 SUMMARY'!$A$4:$Q$11</definedName>
    <definedName name="_xlnm._FilterDatabase" localSheetId="2" hidden="1">'Aggressive Hybrid Fund'!$A$4:$Q$32</definedName>
    <definedName name="_xlnm._FilterDatabase" localSheetId="3" hidden="1">'Arbitrage Fund'!$A$4:$Q$38</definedName>
    <definedName name="_xlnm._FilterDatabase" localSheetId="4" hidden="1">'Balanced Hybrid Fund'!$A$4:$Q$7</definedName>
    <definedName name="_xlnm._FilterDatabase" localSheetId="5" hidden="1">'Conservative Hybrid Fund'!$A$4:$Q$26</definedName>
    <definedName name="_xlnm._FilterDatabase" localSheetId="6" hidden="1">'Dynamic Asset Allocation Or Bal'!$A$4:$Q$40</definedName>
    <definedName name="_xlnm._FilterDatabase" localSheetId="7" hidden="1">'Equity Savings'!$A$4:$Q$29</definedName>
    <definedName name="_xlnm._FilterDatabase" localSheetId="8" hidden="1">'Multi Asset Allocation'!$A$4:$Q$36</definedName>
    <definedName name="_xlnm._FilterDatabase" localSheetId="9" hidden="1">'📊 CONSOLIDATED'!$A$4:$U$184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b val="1"/>
      <color rgb="001E7A4B"/>
      <sz val="9"/>
    </font>
    <font>
      <name val="Arial"/>
      <b val="1"/>
      <color rgb="00C0392B"/>
      <sz val="9"/>
    </font>
    <font>
      <name val="Arial"/>
      <b val="1"/>
      <color rgb="00E67E00"/>
      <sz val="9"/>
    </font>
    <font>
      <name val="Arial"/>
      <b val="1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color rgb="00C0392B"/>
      <sz val="9"/>
    </font>
    <font>
      <name val="Arial"/>
      <b val="1"/>
      <i val="1"/>
      <sz val="8"/>
    </font>
    <font>
      <name val="Arial"/>
      <b val="1"/>
      <color rgb="009E9E9E"/>
      <sz val="8"/>
    </font>
    <font>
      <name val="Arial"/>
      <b val="1"/>
      <color rgb="00FF9800"/>
      <sz val="8"/>
    </font>
  </fonts>
  <fills count="2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D700"/>
        <bgColor rgb="00FFD700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D4956A"/>
        <bgColor rgb="00D4956A"/>
      </patternFill>
    </fill>
    <fill>
      <patternFill patternType="solid">
        <fgColor rgb="00FFF8E1"/>
        <bgColor rgb="00FFF8E1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5D4037"/>
        <bgColor rgb="005D4037"/>
      </patternFill>
    </fill>
    <fill>
      <patternFill patternType="solid">
        <fgColor rgb="00E8E8E8"/>
        <bgColor rgb="00E8E8E8"/>
      </patternFill>
    </fill>
    <fill>
      <patternFill patternType="solid">
        <fgColor rgb="00F5F8FC"/>
        <bgColor rgb="00F5F8FC"/>
      </patternFill>
    </fill>
    <fill>
      <patternFill patternType="solid">
        <fgColor rgb="00FFFFFF"/>
        <bgColor rgb="00FFFFFF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2" fontId="5" fillId="13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2" fontId="5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11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1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12" fillId="16" borderId="1" pivotButton="0" quotePrefix="0" xfId="0"/>
    <xf numFmtId="0" fontId="13" fillId="16" borderId="1" applyAlignment="1" pivotButton="0" quotePrefix="0" xfId="0">
      <alignment horizontal="center"/>
    </xf>
    <xf numFmtId="9" fontId="12" fillId="16" borderId="1" applyAlignment="1" pivotButton="0" quotePrefix="0" xfId="0">
      <alignment horizontal="center"/>
    </xf>
    <xf numFmtId="0" fontId="12" fillId="17" borderId="1" pivotButton="0" quotePrefix="0" xfId="0"/>
    <xf numFmtId="0" fontId="13" fillId="17" borderId="1" applyAlignment="1" pivotButton="0" quotePrefix="0" xfId="0">
      <alignment horizontal="center"/>
    </xf>
    <xf numFmtId="165" fontId="12" fillId="17" borderId="1" applyAlignment="1" pivotButton="0" quotePrefix="0" xfId="0">
      <alignment horizontal="center"/>
    </xf>
    <xf numFmtId="0" fontId="12" fillId="14" borderId="1" pivotButton="0" quotePrefix="0" xfId="0"/>
    <xf numFmtId="0" fontId="13" fillId="14" borderId="1" applyAlignment="1" pivotButton="0" quotePrefix="0" xfId="0">
      <alignment horizontal="center"/>
    </xf>
    <xf numFmtId="165" fontId="12" fillId="14" borderId="1" applyAlignment="1" pivotButton="0" quotePrefix="0" xfId="0">
      <alignment horizontal="center"/>
    </xf>
    <xf numFmtId="0" fontId="12" fillId="18" borderId="1" pivotButton="0" quotePrefix="0" xfId="0"/>
    <xf numFmtId="0" fontId="13" fillId="18" borderId="1" applyAlignment="1" pivotButton="0" quotePrefix="0" xfId="0">
      <alignment horizontal="center"/>
    </xf>
    <xf numFmtId="165" fontId="12" fillId="18" borderId="1" applyAlignment="1" pivotButton="0" quotePrefix="0" xfId="0">
      <alignment horizont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2" fontId="6" fillId="9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left" vertical="center"/>
    </xf>
    <xf numFmtId="2" fontId="6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/>
    </xf>
    <xf numFmtId="2" fontId="6" fillId="1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2" fontId="5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2" fontId="5" fillId="24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2" fontId="16" fillId="23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2" fontId="16" fillId="24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2" fontId="5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2" fontId="16" fillId="14" borderId="1" applyAlignment="1" pivotButton="0" quotePrefix="0" xfId="0">
      <alignment horizontal="center" vertical="center"/>
    </xf>
    <xf numFmtId="2" fontId="7" fillId="22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2" fontId="16" fillId="18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pivotButton="0" quotePrefix="0" xfId="0"/>
    <xf numFmtId="1" fontId="14" fillId="2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5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"&amp;COUNTA(B5:B11)&amp;" | ⭐ Strong Buy+: "&amp;COUNTIF(Q5:Q11,"*Strong*")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Aggressive Hybrid Fund</t>
        </is>
      </c>
      <c r="C5" s="14" t="inlineStr">
        <is>
          <t>BANK OF INDIA MID &amp; SMALL CAP EQUITY &amp; DEBT FUND - REGULAR  PLAN  GROWTH</t>
        </is>
      </c>
      <c r="D5" s="14" t="inlineStr">
        <is>
          <t>Bank of India Mutual Fund</t>
        </is>
      </c>
      <c r="E5" s="14" t="inlineStr">
        <is>
          <t>Aggressive Hybrid Fund</t>
        </is>
      </c>
      <c r="F5" s="15" t="n">
        <v>2.99</v>
      </c>
      <c r="G5" s="15" t="n">
        <v>7.47</v>
      </c>
      <c r="H5" s="15" t="n">
        <v>11.66</v>
      </c>
      <c r="I5" s="15" t="n">
        <v>15</v>
      </c>
      <c r="J5" s="15" t="n">
        <v>5.503554442492598</v>
      </c>
      <c r="K5" s="15" t="n">
        <v>63.04</v>
      </c>
      <c r="L5" s="16" t="n">
        <v>100</v>
      </c>
      <c r="M5" s="17" t="n">
        <v>0</v>
      </c>
      <c r="N5" s="18" t="n">
        <v>55</v>
      </c>
      <c r="O5" s="19" t="inlineStr">
        <is>
          <t>🔥 Hot</t>
        </is>
      </c>
      <c r="P5" s="19" t="inlineStr">
        <is>
          <t>🔴 Not Qualified</t>
        </is>
      </c>
      <c r="Q5" s="19" t="inlineStr">
        <is>
          <t>✅ Buy</t>
        </is>
      </c>
    </row>
    <row r="6" ht="18" customHeight="1">
      <c r="A6" s="20" t="n">
        <v>2</v>
      </c>
      <c r="B6" s="21" t="inlineStr">
        <is>
          <t>Arbitrage Fund</t>
        </is>
      </c>
      <c r="C6" s="21" t="inlineStr">
        <is>
          <t>Kotak Arbitrage Fund - Regular Plan - Growth</t>
        </is>
      </c>
      <c r="D6" s="21" t="inlineStr">
        <is>
          <t>Kotak Mahindra Mutual Fund</t>
        </is>
      </c>
      <c r="E6" s="21" t="inlineStr">
        <is>
          <t>Arbitrage Fund</t>
        </is>
      </c>
      <c r="F6" s="22" t="n">
        <v>0.44</v>
      </c>
      <c r="G6" s="22" t="n">
        <v>1.48</v>
      </c>
      <c r="H6" s="22" t="n">
        <v>2.9</v>
      </c>
      <c r="I6" s="22" t="n">
        <v>5.97</v>
      </c>
      <c r="J6" s="22" t="n">
        <v>6.414284755384236</v>
      </c>
      <c r="K6" s="22" t="n">
        <v>22.17</v>
      </c>
      <c r="L6" s="16" t="n">
        <v>88.3</v>
      </c>
      <c r="M6" s="17" t="n">
        <v>0</v>
      </c>
      <c r="N6" s="23" t="n">
        <v>48.6</v>
      </c>
      <c r="O6" s="24" t="inlineStr">
        <is>
          <t>⭐ Strong</t>
        </is>
      </c>
      <c r="P6" s="24" t="inlineStr">
        <is>
          <t>🔴 Not Qualified</t>
        </is>
      </c>
      <c r="Q6" s="24" t="inlineStr">
        <is>
          <t>⚠️ Watch</t>
        </is>
      </c>
    </row>
    <row r="7" ht="18" customHeight="1">
      <c r="A7" s="25" t="n">
        <v>3</v>
      </c>
      <c r="B7" s="26" t="inlineStr">
        <is>
          <t>Balanced Hybrid Fund</t>
        </is>
      </c>
      <c r="C7" s="26" t="inlineStr">
        <is>
          <t>360 ONE Balanced Hybrid Fund - Regular Plan - Growth</t>
        </is>
      </c>
      <c r="D7" s="26" t="inlineStr">
        <is>
          <t>360 ONE Mutual Fund</t>
        </is>
      </c>
      <c r="E7" s="26" t="inlineStr">
        <is>
          <t>Balanced Hybrid Fund</t>
        </is>
      </c>
      <c r="F7" s="27" t="n">
        <v>0.39</v>
      </c>
      <c r="G7" s="27" t="n">
        <v>5.11</v>
      </c>
      <c r="H7" s="27" t="n">
        <v>3.89</v>
      </c>
      <c r="I7" s="27" t="n">
        <v>5.5</v>
      </c>
      <c r="J7" s="27" t="n">
        <v>4.086502487114041</v>
      </c>
      <c r="K7" s="27" t="n">
        <v>0</v>
      </c>
      <c r="L7" s="16" t="n">
        <v>77.5</v>
      </c>
      <c r="M7" s="17" t="n">
        <v>0</v>
      </c>
      <c r="N7" s="23" t="n">
        <v>42.6</v>
      </c>
      <c r="O7" s="28" t="inlineStr">
        <is>
          <t>⭐ Strong</t>
        </is>
      </c>
      <c r="P7" s="28" t="inlineStr">
        <is>
          <t>⏳ New Fund</t>
        </is>
      </c>
      <c r="Q7" s="28" t="inlineStr">
        <is>
          <t>📈 Momentum Only</t>
        </is>
      </c>
    </row>
    <row r="8" ht="18" customHeight="1">
      <c r="A8" s="13" t="n">
        <v>4</v>
      </c>
      <c r="B8" s="14" t="inlineStr">
        <is>
          <t>Conservative Hybrid Fund</t>
        </is>
      </c>
      <c r="C8" s="14" t="inlineStr">
        <is>
          <t>Nippon India Conservative Hybrid  Fund-Growth Plan</t>
        </is>
      </c>
      <c r="D8" s="14" t="inlineStr">
        <is>
          <t>Nippon India Mutual Fund</t>
        </is>
      </c>
      <c r="E8" s="14" t="inlineStr">
        <is>
          <t>Conservative Hybrid Fund</t>
        </is>
      </c>
      <c r="F8" s="15" t="n">
        <v>0.79</v>
      </c>
      <c r="G8" s="15" t="n">
        <v>2.99</v>
      </c>
      <c r="H8" s="15" t="n">
        <v>2.56</v>
      </c>
      <c r="I8" s="15" t="n">
        <v>7.22</v>
      </c>
      <c r="J8" s="15" t="n">
        <v>7.531390765673618</v>
      </c>
      <c r="K8" s="15" t="n">
        <v>26.82</v>
      </c>
      <c r="L8" s="16" t="n">
        <v>87.8</v>
      </c>
      <c r="M8" s="17" t="n">
        <v>0</v>
      </c>
      <c r="N8" s="23" t="n">
        <v>48.3</v>
      </c>
      <c r="O8" s="19" t="inlineStr">
        <is>
          <t>⭐ Strong</t>
        </is>
      </c>
      <c r="P8" s="19" t="inlineStr">
        <is>
          <t>🔴 Not Qualified</t>
        </is>
      </c>
      <c r="Q8" s="19" t="inlineStr">
        <is>
          <t>⚠️ Watch</t>
        </is>
      </c>
    </row>
    <row r="9" ht="18" customHeight="1">
      <c r="A9" s="13" t="n">
        <v>5</v>
      </c>
      <c r="B9" s="14" t="inlineStr">
        <is>
          <t>Dynamic Asset Allocation Or Balanced Advantage</t>
        </is>
      </c>
      <c r="C9" s="14" t="inlineStr">
        <is>
          <t>ICICI Prudential Balanced Advantage Fund - Growth</t>
        </is>
      </c>
      <c r="D9" s="14" t="inlineStr">
        <is>
          <t>ICICI Prudential Mutual Fund</t>
        </is>
      </c>
      <c r="E9" s="14" t="inlineStr">
        <is>
          <t>Dynamic Asset Allocation Or Balanced Advantage</t>
        </is>
      </c>
      <c r="F9" s="15" t="n">
        <v>2.24</v>
      </c>
      <c r="G9" s="15" t="n">
        <v>6.21</v>
      </c>
      <c r="H9" s="15" t="n">
        <v>2.53</v>
      </c>
      <c r="I9" s="15" t="n">
        <v>8.44</v>
      </c>
      <c r="J9" s="15" t="n">
        <v>7.242715370322483</v>
      </c>
      <c r="K9" s="15" t="n">
        <v>41.27</v>
      </c>
      <c r="L9" s="16" t="n">
        <v>93.2</v>
      </c>
      <c r="M9" s="17" t="n">
        <v>0</v>
      </c>
      <c r="N9" s="18" t="n">
        <v>51.3</v>
      </c>
      <c r="O9" s="19" t="inlineStr">
        <is>
          <t>🔥 Hot</t>
        </is>
      </c>
      <c r="P9" s="19" t="inlineStr">
        <is>
          <t>🔴 Not Qualified</t>
        </is>
      </c>
      <c r="Q9" s="19" t="inlineStr">
        <is>
          <t>⚠️ Watch</t>
        </is>
      </c>
    </row>
    <row r="10" ht="18" customHeight="1">
      <c r="A10" s="13" t="n">
        <v>6</v>
      </c>
      <c r="B10" s="14" t="inlineStr">
        <is>
          <t>Equity Savings</t>
        </is>
      </c>
      <c r="C10" s="14" t="inlineStr">
        <is>
          <t>Edelweiss Equity Savings Fund - Regular Plan - Growth Option</t>
        </is>
      </c>
      <c r="D10" s="14" t="inlineStr">
        <is>
          <t>Edelweiss Mutual Fund</t>
        </is>
      </c>
      <c r="E10" s="14" t="inlineStr">
        <is>
          <t>Equity Savings</t>
        </is>
      </c>
      <c r="F10" s="15" t="n">
        <v>1.34</v>
      </c>
      <c r="G10" s="15" t="n">
        <v>3.73</v>
      </c>
      <c r="H10" s="15" t="n">
        <v>4.13</v>
      </c>
      <c r="I10" s="15" t="n">
        <v>8.119999999999999</v>
      </c>
      <c r="J10" s="15" t="n">
        <v>7.856385995452309</v>
      </c>
      <c r="K10" s="15" t="n">
        <v>35.86</v>
      </c>
      <c r="L10" s="16" t="n">
        <v>99.5</v>
      </c>
      <c r="M10" s="17" t="n">
        <v>0</v>
      </c>
      <c r="N10" s="18" t="n">
        <v>54.8</v>
      </c>
      <c r="O10" s="19" t="inlineStr">
        <is>
          <t>🔥 Hot</t>
        </is>
      </c>
      <c r="P10" s="19" t="inlineStr">
        <is>
          <t>🔴 Not Qualified</t>
        </is>
      </c>
      <c r="Q10" s="19" t="inlineStr">
        <is>
          <t>⚠️ Watch</t>
        </is>
      </c>
    </row>
    <row r="11" ht="18" customHeight="1">
      <c r="A11" s="13" t="n">
        <v>7</v>
      </c>
      <c r="B11" s="14" t="inlineStr">
        <is>
          <t>Multi Asset Allocation</t>
        </is>
      </c>
      <c r="C11" s="14" t="inlineStr">
        <is>
          <t>Nippon India Multi Asset Allocation Fund - Regular Plan - Growth Option</t>
        </is>
      </c>
      <c r="D11" s="14" t="inlineStr">
        <is>
          <t>Nippon India Mutual Fund</t>
        </is>
      </c>
      <c r="E11" s="14" t="inlineStr">
        <is>
          <t>Multi Asset Allocation</t>
        </is>
      </c>
      <c r="F11" s="15" t="n">
        <v>3.11</v>
      </c>
      <c r="G11" s="15" t="n">
        <v>4.03</v>
      </c>
      <c r="H11" s="15" t="n">
        <v>2.85</v>
      </c>
      <c r="I11" s="15" t="n">
        <v>17.08</v>
      </c>
      <c r="J11" s="15" t="n">
        <v>13.27400407860577</v>
      </c>
      <c r="K11" s="15" t="n">
        <v>69.63</v>
      </c>
      <c r="L11" s="16" t="n">
        <v>87.5</v>
      </c>
      <c r="M11" s="29" t="n">
        <v>75</v>
      </c>
      <c r="N11" s="30" t="n">
        <v>81.90000000000001</v>
      </c>
      <c r="O11" s="19" t="inlineStr">
        <is>
          <t>⭐ Strong</t>
        </is>
      </c>
      <c r="P11" s="19" t="inlineStr">
        <is>
          <t>⭐ Strong</t>
        </is>
      </c>
      <c r="Q11" s="19" t="inlineStr">
        <is>
          <t>⭐ Strong Buy</t>
        </is>
      </c>
    </row>
  </sheetData>
  <autoFilter ref="A4:Q11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31" t="inlineStr">
        <is>
          <t>DUAL ENGINE MODEL — COMPLETE METHODOLOGY &amp; ASSUMPTIONS</t>
        </is>
      </c>
    </row>
    <row r="2" ht="16" customHeight="1">
      <c r="A2" s="2" t="inlineStr">
        <is>
          <t>Generated: 2026-10-16 22:56:14 | Comprehensive Documentation | All Values Numeric (0 = Missing)</t>
        </is>
      </c>
    </row>
    <row r="4" ht="22" customHeight="1">
      <c r="A4" s="32" t="inlineStr">
        <is>
          <t>🔍  DATA FILTERS (Pre-Processing)</t>
        </is>
      </c>
    </row>
    <row r="5" ht="20" customHeight="1">
      <c r="A5" s="33" t="inlineStr">
        <is>
          <t>Filter Parameter</t>
        </is>
      </c>
      <c r="B5" s="33" t="inlineStr">
        <is>
          <t>Value</t>
        </is>
      </c>
      <c r="C5" s="33" t="inlineStr">
        <is>
          <t>Description</t>
        </is>
      </c>
      <c r="D5" s="33" t="inlineStr">
        <is>
          <t>Python Logic</t>
        </is>
      </c>
    </row>
    <row r="6" ht="18" customHeight="1">
      <c r="A6" s="34" t="inlineStr">
        <is>
          <t>cat_level_1</t>
        </is>
      </c>
      <c r="B6" s="35" t="inlineStr">
        <is>
          <t>Open Ended Schemes</t>
        </is>
      </c>
      <c r="C6" s="34" t="inlineStr">
        <is>
          <t>Scheme category level 1</t>
        </is>
      </c>
      <c r="D6" s="34" t="inlineStr">
        <is>
          <t>df[col] == value</t>
        </is>
      </c>
    </row>
    <row r="7" ht="18" customHeight="1">
      <c r="A7" s="34" t="inlineStr">
        <is>
          <t>cat_level_2</t>
        </is>
      </c>
      <c r="B7" s="35" t="inlineStr">
        <is>
          <t>Other Scheme</t>
        </is>
      </c>
      <c r="C7" s="34" t="inlineStr">
        <is>
          <t>Scheme category level 2</t>
        </is>
      </c>
      <c r="D7" s="34" t="inlineStr">
        <is>
          <t>df[col] == value</t>
        </is>
      </c>
    </row>
    <row r="8" ht="18" customHeight="1">
      <c r="A8" s="34" t="inlineStr">
        <is>
          <t>plan_type</t>
        </is>
      </c>
      <c r="B8" s="35" t="inlineStr">
        <is>
          <t>Regular</t>
        </is>
      </c>
      <c r="C8" s="34" t="inlineStr">
        <is>
          <t>Regular plans only (not Direct)</t>
        </is>
      </c>
      <c r="D8" s="34" t="inlineStr">
        <is>
          <t>df[col] == value</t>
        </is>
      </c>
    </row>
    <row r="9" ht="18" customHeight="1">
      <c r="A9" s="34" t="inlineStr">
        <is>
          <t>option_type</t>
        </is>
      </c>
      <c r="B9" s="35" t="inlineStr">
        <is>
          <t>Growth</t>
        </is>
      </c>
      <c r="C9" s="34" t="inlineStr">
        <is>
          <t>Growth option only</t>
        </is>
      </c>
      <c r="D9" s="34" t="inlineStr">
        <is>
          <t>df[col] == value</t>
        </is>
      </c>
    </row>
    <row r="11" ht="22" customHeight="1">
      <c r="A11" s="32" t="inlineStr">
        <is>
          <t>📋  COLUMN MAPPING (Source → Internal)</t>
        </is>
      </c>
    </row>
    <row r="12" ht="20" customHeight="1">
      <c r="A12" s="33" t="inlineStr">
        <is>
          <t>Internal Name</t>
        </is>
      </c>
      <c r="B12" s="33" t="inlineStr">
        <is>
          <t>Source Column</t>
        </is>
      </c>
      <c r="C12" s="33" t="inlineStr">
        <is>
          <t>Data Type</t>
        </is>
      </c>
      <c r="D12" s="33" t="inlineStr">
        <is>
          <t>Notes</t>
        </is>
      </c>
    </row>
    <row r="13" ht="18" customHeight="1">
      <c r="A13" s="34" t="inlineStr">
        <is>
          <t>scheme_name</t>
        </is>
      </c>
      <c r="B13" s="35" t="inlineStr">
        <is>
          <t>scheme_name</t>
        </is>
      </c>
      <c r="C13" s="34" t="inlineStr">
        <is>
          <t>String</t>
        </is>
      </c>
      <c r="D13" s="34" t="inlineStr">
        <is>
          <t>Fund name for display</t>
        </is>
      </c>
    </row>
    <row r="14" ht="18" customHeight="1">
      <c r="A14" s="34" t="inlineStr">
        <is>
          <t>category</t>
        </is>
      </c>
      <c r="B14" s="35" t="inlineStr">
        <is>
          <t>cat_level_3</t>
        </is>
      </c>
      <c r="C14" s="34" t="inlineStr">
        <is>
          <t>String</t>
        </is>
      </c>
      <c r="D14" s="34" t="inlineStr">
        <is>
          <t>Category for grouping</t>
        </is>
      </c>
    </row>
    <row r="15" ht="18" customHeight="1">
      <c r="A15" s="34" t="inlineStr">
        <is>
          <t>amc</t>
        </is>
      </c>
      <c r="B15" s="35" t="inlineStr">
        <is>
          <t>amc_name</t>
        </is>
      </c>
      <c r="C15" s="34" t="inlineStr">
        <is>
          <t>String</t>
        </is>
      </c>
      <c r="D15" s="34" t="inlineStr">
        <is>
          <t>Asset Management Company</t>
        </is>
      </c>
    </row>
    <row r="16" ht="18" customHeight="1">
      <c r="A16" s="34" t="inlineStr">
        <is>
          <t>return_1m</t>
        </is>
      </c>
      <c r="B16" s="35" t="inlineStr">
        <is>
          <t>return_30d</t>
        </is>
      </c>
      <c r="C16" s="34" t="inlineStr">
        <is>
          <t>Numeric %</t>
        </is>
      </c>
      <c r="D16" s="34" t="inlineStr">
        <is>
          <t>30-day return</t>
        </is>
      </c>
    </row>
    <row r="17" ht="18" customHeight="1">
      <c r="A17" s="34" t="inlineStr">
        <is>
          <t>return_3m</t>
        </is>
      </c>
      <c r="B17" s="35" t="inlineStr">
        <is>
          <t>return_90d</t>
        </is>
      </c>
      <c r="C17" s="34" t="inlineStr">
        <is>
          <t>Numeric %</t>
        </is>
      </c>
      <c r="D17" s="34" t="inlineStr">
        <is>
          <t>90-day return</t>
        </is>
      </c>
    </row>
    <row r="18" ht="18" customHeight="1">
      <c r="A18" s="34" t="inlineStr">
        <is>
          <t>return_6m</t>
        </is>
      </c>
      <c r="B18" s="35" t="inlineStr">
        <is>
          <t>return_180d</t>
        </is>
      </c>
      <c r="C18" s="34" t="inlineStr">
        <is>
          <t>Numeric %</t>
        </is>
      </c>
      <c r="D18" s="34" t="inlineStr">
        <is>
          <t>180-day return</t>
        </is>
      </c>
    </row>
    <row r="19" ht="18" customHeight="1">
      <c r="A19" s="34" t="inlineStr">
        <is>
          <t>return_1y</t>
        </is>
      </c>
      <c r="B19" s="35" t="inlineStr">
        <is>
          <t>return_365d</t>
        </is>
      </c>
      <c r="C19" s="34" t="inlineStr">
        <is>
          <t>Numeric %</t>
        </is>
      </c>
      <c r="D19" s="34" t="inlineStr">
        <is>
          <t>365-day return</t>
        </is>
      </c>
    </row>
    <row r="20" ht="18" customHeight="1">
      <c r="A20" s="34" t="inlineStr">
        <is>
          <t>return_2y</t>
        </is>
      </c>
      <c r="B20" s="35" t="inlineStr">
        <is>
          <t>return_730d</t>
        </is>
      </c>
      <c r="C20" s="34" t="inlineStr">
        <is>
          <t>Numeric %</t>
        </is>
      </c>
      <c r="D20" s="34" t="inlineStr">
        <is>
          <t>730-day cumulative → CAGR</t>
        </is>
      </c>
    </row>
    <row r="21" ht="18" customHeight="1">
      <c r="A21" s="34" t="inlineStr">
        <is>
          <t>return_3y</t>
        </is>
      </c>
      <c r="B21" s="35" t="inlineStr">
        <is>
          <t>return_1095d</t>
        </is>
      </c>
      <c r="C21" s="34" t="inlineStr">
        <is>
          <t>Numeric %</t>
        </is>
      </c>
      <c r="D21" s="34" t="inlineStr">
        <is>
          <t>1095-day CAGR</t>
        </is>
      </c>
    </row>
    <row r="23" ht="22" customHeight="1">
      <c r="A23" s="36" t="inlineStr">
        <is>
          <t>📊  DATA STATUS CLASSIFICATION</t>
        </is>
      </c>
    </row>
    <row r="24" ht="20" customHeight="1">
      <c r="A24" s="37" t="inlineStr">
        <is>
          <t>Status</t>
        </is>
      </c>
      <c r="B24" s="37" t="inlineStr">
        <is>
          <t>Condition</t>
        </is>
      </c>
      <c r="C24" s="37" t="inlineStr">
        <is>
          <t>Visual Style</t>
        </is>
      </c>
      <c r="D24" s="37" t="inlineStr">
        <is>
          <t>Scoring Impact</t>
        </is>
      </c>
    </row>
    <row r="25" ht="18" customHeight="1">
      <c r="A25" s="38" t="inlineStr">
        <is>
          <t>✅ FULL</t>
        </is>
      </c>
      <c r="B25" s="39" t="inlineStr">
        <is>
          <t>All 1M/3M/6M + 2Y/3Y present</t>
        </is>
      </c>
      <c r="C25" s="38" t="inlineStr">
        <is>
          <t>White/Ranked Colors</t>
        </is>
      </c>
      <c r="D25" s="38" t="inlineStr">
        <is>
          <t>Both E1 and E2 calculated</t>
        </is>
      </c>
    </row>
    <row r="26" ht="18" customHeight="1">
      <c r="A26" s="40" t="inlineStr">
        <is>
          <t>⚠️ MOMENTUM_ONLY</t>
        </is>
      </c>
      <c r="B26" s="41" t="inlineStr">
        <is>
          <t>1M/3M/6M present, 2Y/3Y missing</t>
        </is>
      </c>
      <c r="C26" s="40" t="inlineStr">
        <is>
          <t>Light Amber + Italic</t>
        </is>
      </c>
      <c r="D26" s="40" t="inlineStr">
        <is>
          <t>Only E1 calculated, E2=0</t>
        </is>
      </c>
    </row>
    <row r="27" ht="18" customHeight="1">
      <c r="A27" s="42" t="inlineStr">
        <is>
          <t>❌ MISSING</t>
        </is>
      </c>
      <c r="B27" s="43" t="inlineStr">
        <is>
          <t>Missing any of 1M/3M/6M</t>
        </is>
      </c>
      <c r="C27" s="42" t="inlineStr">
        <is>
          <t>Light Gray + Italic</t>
        </is>
      </c>
      <c r="D27" s="42" t="inlineStr">
        <is>
          <t>E1=0, E2=0, Comp=0</t>
        </is>
      </c>
    </row>
    <row r="29" ht="22" customHeight="1">
      <c r="A29" s="44" t="inlineStr">
        <is>
          <t>🚦  QUALITY GATES (Engine 2 Eligibility)</t>
        </is>
      </c>
    </row>
    <row r="30" ht="20" customHeight="1">
      <c r="A30" s="45" t="inlineStr">
        <is>
          <t>Gate</t>
        </is>
      </c>
      <c r="B30" s="45" t="inlineStr">
        <is>
          <t>Threshold</t>
        </is>
      </c>
      <c r="C30" s="45" t="inlineStr">
        <is>
          <t>Formula</t>
        </is>
      </c>
      <c r="D30" s="45" t="inlineStr">
        <is>
          <t>Purpose</t>
        </is>
      </c>
    </row>
    <row r="31" ht="18" customHeight="1">
      <c r="A31" s="34" t="inlineStr">
        <is>
          <t>Min 2Y CAGR</t>
        </is>
      </c>
      <c r="B31" s="35" t="inlineStr">
        <is>
          <t>10%</t>
        </is>
      </c>
      <c r="C31" s="34" t="inlineStr">
        <is>
          <t>r2y_cagr &gt; 10%</t>
        </is>
      </c>
      <c r="D31" s="34" t="inlineStr">
        <is>
          <t>Filter low long-term performers</t>
        </is>
      </c>
    </row>
    <row r="32" ht="18" customHeight="1">
      <c r="A32" s="34" t="inlineStr">
        <is>
          <t>Min 3Y CAGR</t>
        </is>
      </c>
      <c r="B32" s="35" t="inlineStr">
        <is>
          <t>12%</t>
        </is>
      </c>
      <c r="C32" s="34" t="inlineStr">
        <is>
          <t>r3y &gt; 12%</t>
        </is>
      </c>
      <c r="D32" s="34" t="inlineStr">
        <is>
          <t>Filter inconsistent performers</t>
        </is>
      </c>
    </row>
    <row r="33" ht="18" customHeight="1">
      <c r="A33" s="34" t="inlineStr">
        <is>
          <t>Drawdown Tolerance</t>
        </is>
      </c>
      <c r="B33" s="35" t="inlineStr">
        <is>
          <t>-30%</t>
        </is>
      </c>
      <c r="C33" s="34" t="inlineStr">
        <is>
          <t>r1y &gt; -30%</t>
        </is>
      </c>
      <c r="D33" s="34" t="inlineStr">
        <is>
          <t>Exclude extreme losers</t>
        </is>
      </c>
    </row>
    <row r="34" ht="18" customHeight="1">
      <c r="A34" s="34" t="inlineStr">
        <is>
          <t>Data Status</t>
        </is>
      </c>
      <c r="B34" s="35" t="inlineStr">
        <is>
          <t>FULL only</t>
        </is>
      </c>
      <c r="C34" s="34" t="inlineStr">
        <is>
          <t>data_status == 'FULL'</t>
        </is>
      </c>
      <c r="D34" s="34" t="inlineStr">
        <is>
          <t>Only complete data qualifies</t>
        </is>
      </c>
    </row>
    <row r="36" ht="22" customHeight="1">
      <c r="A36" s="46" t="inlineStr">
        <is>
          <t>📈  ENGINE 1: MOMENTUM SCORE (Short-Term)</t>
        </is>
      </c>
    </row>
    <row r="37" ht="20" customHeight="1">
      <c r="A37" s="47" t="inlineStr">
        <is>
          <t>Component</t>
        </is>
      </c>
      <c r="B37" s="47" t="inlineStr">
        <is>
          <t>Weight</t>
        </is>
      </c>
      <c r="C37" s="47" t="inlineStr">
        <is>
          <t>Formula</t>
        </is>
      </c>
      <c r="D37" s="47" t="inlineStr">
        <is>
          <t>Description</t>
        </is>
      </c>
    </row>
    <row r="38" ht="18" customHeight="1">
      <c r="A38" s="34" t="inlineStr">
        <is>
          <t>6M Return Rank</t>
        </is>
      </c>
      <c r="B38" s="35" t="inlineStr">
        <is>
          <t>30%</t>
        </is>
      </c>
      <c r="C38" s="34" t="inlineStr">
        <is>
          <t>pct_rank(r6m) × 0.30</t>
        </is>
      </c>
      <c r="D38" s="34" t="inlineStr">
        <is>
          <t>6-month percentile within category</t>
        </is>
      </c>
    </row>
    <row r="39" ht="18" customHeight="1">
      <c r="A39" s="34" t="inlineStr">
        <is>
          <t>3M Return Rank</t>
        </is>
      </c>
      <c r="B39" s="35" t="inlineStr">
        <is>
          <t>20%</t>
        </is>
      </c>
      <c r="C39" s="34" t="inlineStr">
        <is>
          <t>pct_rank(r3m) × 0.20</t>
        </is>
      </c>
      <c r="D39" s="34" t="inlineStr">
        <is>
          <t>3-month percentile within category</t>
        </is>
      </c>
    </row>
    <row r="40" ht="18" customHeight="1">
      <c r="A40" s="34" t="inlineStr">
        <is>
          <t>1Y Return Rank</t>
        </is>
      </c>
      <c r="B40" s="35" t="inlineStr">
        <is>
          <t>25%</t>
        </is>
      </c>
      <c r="C40" s="34" t="inlineStr">
        <is>
          <t>pct_rank(r1y) × 0.25</t>
        </is>
      </c>
      <c r="D40" s="34" t="inlineStr">
        <is>
          <t>1-year percentile within category</t>
        </is>
      </c>
    </row>
    <row r="41" ht="18" customHeight="1">
      <c r="A41" s="34" t="inlineStr">
        <is>
          <t>1M Return Rank</t>
        </is>
      </c>
      <c r="B41" s="35" t="inlineStr">
        <is>
          <t>25%</t>
        </is>
      </c>
      <c r="C41" s="34" t="inlineStr">
        <is>
          <t>pct_rank(r1m) × 0.25</t>
        </is>
      </c>
      <c r="D41" s="34" t="inlineStr">
        <is>
          <t>1-month percentile within category</t>
        </is>
      </c>
    </row>
    <row r="42" ht="18" customHeight="1">
      <c r="A42" s="34" t="inlineStr">
        <is>
          <t>Trend Bonus</t>
        </is>
      </c>
      <c r="B42" s="35" t="inlineStr">
        <is>
          <t>+5.0</t>
        </is>
      </c>
      <c r="C42" s="34" t="inlineStr">
        <is>
          <t>If r6m &gt; r3m &gt; r1m</t>
        </is>
      </c>
      <c r="D42" s="34" t="inlineStr">
        <is>
          <t>📈 Uptrend bonus (0 to 5 pts)</t>
        </is>
      </c>
    </row>
    <row r="43" ht="18" customHeight="1">
      <c r="A43" s="34" t="inlineStr">
        <is>
          <t>Final E1</t>
        </is>
      </c>
      <c r="B43" s="35" t="inlineStr">
        <is>
          <t>0-100</t>
        </is>
      </c>
      <c r="C43" s="34" t="inlineStr">
        <is>
          <t>clip(sum + trend, 0, 100)</t>
        </is>
      </c>
      <c r="D43" s="34" t="inlineStr">
        <is>
          <t>Capped percentile score</t>
        </is>
      </c>
    </row>
    <row r="45" ht="22" customHeight="1">
      <c r="A45" s="48" t="inlineStr">
        <is>
          <t>🏛️  ENGINE 2: QUALITY SCORE (Long-Term)</t>
        </is>
      </c>
    </row>
    <row r="46" ht="20" customHeight="1">
      <c r="A46" s="49" t="inlineStr">
        <is>
          <t>Component</t>
        </is>
      </c>
      <c r="B46" s="49" t="inlineStr">
        <is>
          <t>Weight</t>
        </is>
      </c>
      <c r="C46" s="49" t="inlineStr">
        <is>
          <t>Formula</t>
        </is>
      </c>
      <c r="D46" s="49" t="inlineStr">
        <is>
          <t>Description</t>
        </is>
      </c>
    </row>
    <row r="47" ht="18" customHeight="1">
      <c r="A47" s="34" t="inlineStr">
        <is>
          <t>1Y Return Rank</t>
        </is>
      </c>
      <c r="B47" s="35" t="inlineStr">
        <is>
          <t>25%</t>
        </is>
      </c>
      <c r="C47" s="34" t="inlineStr">
        <is>
          <t>pct_rank(r1y) × 0.25</t>
        </is>
      </c>
      <c r="D47" s="34" t="inlineStr">
        <is>
          <t>1-year percentile (qualified only)</t>
        </is>
      </c>
    </row>
    <row r="48" ht="18" customHeight="1">
      <c r="A48" s="34" t="inlineStr">
        <is>
          <t>2Y CAGR Rank</t>
        </is>
      </c>
      <c r="B48" s="35" t="inlineStr">
        <is>
          <t>30%</t>
        </is>
      </c>
      <c r="C48" s="34" t="inlineStr">
        <is>
          <t>pct_rank(r2y_cagr) × 0.30</t>
        </is>
      </c>
      <c r="D48" s="34" t="inlineStr">
        <is>
          <t>2-year CAGR percentile</t>
        </is>
      </c>
    </row>
    <row r="49" ht="18" customHeight="1">
      <c r="A49" s="34" t="inlineStr">
        <is>
          <t>3Y CAGR Rank</t>
        </is>
      </c>
      <c r="B49" s="35" t="inlineStr">
        <is>
          <t>45%</t>
        </is>
      </c>
      <c r="C49" s="34" t="inlineStr">
        <is>
          <t>pct_rank(r3y) × 0.45</t>
        </is>
      </c>
      <c r="D49" s="34" t="inlineStr">
        <is>
          <t>3-year CAGR percentile (highest weight)</t>
        </is>
      </c>
    </row>
    <row r="50" ht="18" customHeight="1">
      <c r="A50" s="34" t="inlineStr">
        <is>
          <t>Final E2</t>
        </is>
      </c>
      <c r="B50" s="35" t="inlineStr">
        <is>
          <t>0-100</t>
        </is>
      </c>
      <c r="C50" s="34" t="inlineStr">
        <is>
          <t>sum of weighted ranks</t>
        </is>
      </c>
      <c r="D50" s="34" t="inlineStr">
        <is>
          <t>Only for qualified funds</t>
        </is>
      </c>
    </row>
    <row r="52" ht="22" customHeight="1">
      <c r="A52" s="36" t="inlineStr">
        <is>
          <t>🎯  COMPOSITE SCORE CALCULATION</t>
        </is>
      </c>
    </row>
    <row r="53" ht="20" customHeight="1">
      <c r="A53" s="37" t="inlineStr">
        <is>
          <t>Component</t>
        </is>
      </c>
      <c r="B53" s="37" t="inlineStr">
        <is>
          <t>Weight</t>
        </is>
      </c>
      <c r="C53" s="37" t="inlineStr">
        <is>
          <t>Formula</t>
        </is>
      </c>
      <c r="D53" s="37" t="inlineStr">
        <is>
          <t>Description</t>
        </is>
      </c>
    </row>
    <row r="54" ht="18" customHeight="1">
      <c r="A54" s="34" t="inlineStr">
        <is>
          <t>Engine 1 Contribution</t>
        </is>
      </c>
      <c r="B54" s="35" t="inlineStr">
        <is>
          <t>55%</t>
        </is>
      </c>
      <c r="C54" s="34" t="inlineStr">
        <is>
          <t>E1 × 0.55</t>
        </is>
      </c>
      <c r="D54" s="34" t="inlineStr">
        <is>
          <t>Momentum component</t>
        </is>
      </c>
    </row>
    <row r="55" ht="18" customHeight="1">
      <c r="A55" s="34" t="inlineStr">
        <is>
          <t>Engine 2 Contribution</t>
        </is>
      </c>
      <c r="B55" s="35" t="inlineStr">
        <is>
          <t>45%</t>
        </is>
      </c>
      <c r="C55" s="34" t="inlineStr">
        <is>
          <t>E2 × 0.45</t>
        </is>
      </c>
      <c r="D55" s="34" t="inlineStr">
        <is>
          <t>Quality component</t>
        </is>
      </c>
    </row>
    <row r="56" ht="18" customHeight="1">
      <c r="A56" s="34" t="inlineStr">
        <is>
          <t>Final Composite</t>
        </is>
      </c>
      <c r="B56" s="35" t="inlineStr">
        <is>
          <t>0-100</t>
        </is>
      </c>
      <c r="C56" s="34" t="inlineStr">
        <is>
          <t>E1×0.55 + E2×0.45</t>
        </is>
      </c>
      <c r="D56" s="34" t="inlineStr">
        <is>
          <t>Blended score for ranking</t>
        </is>
      </c>
    </row>
    <row r="58" ht="22" customHeight="1">
      <c r="A58" s="50" t="inlineStr">
        <is>
          <t>🏆  RANKING METHODOLOGY</t>
        </is>
      </c>
    </row>
    <row r="59" ht="20" customHeight="1">
      <c r="A59" s="51" t="inlineStr">
        <is>
          <t>Step</t>
        </is>
      </c>
      <c r="B59" s="51" t="inlineStr">
        <is>
          <t>Logic</t>
        </is>
      </c>
      <c r="C59" s="51" t="inlineStr">
        <is>
          <t>Scope</t>
        </is>
      </c>
      <c r="D59" s="51" t="inlineStr">
        <is>
          <t>Result</t>
        </is>
      </c>
    </row>
    <row r="60" ht="18" customHeight="1">
      <c r="A60" s="34" t="inlineStr">
        <is>
          <t>1. Group by Category</t>
        </is>
      </c>
      <c r="B60" s="35" t="inlineStr">
        <is>
          <t>df.groupby('_cat')</t>
        </is>
      </c>
      <c r="C60" s="34" t="inlineStr">
        <is>
          <t>Within each category</t>
        </is>
      </c>
      <c r="D60" s="34" t="inlineStr">
        <is>
          <t>Separate ranking pools</t>
        </is>
      </c>
    </row>
    <row r="61" ht="18" customHeight="1">
      <c r="A61" s="34" t="inlineStr">
        <is>
          <t>2. Sort by Composite</t>
        </is>
      </c>
      <c r="B61" s="35" t="inlineStr">
        <is>
          <t>descending order</t>
        </is>
      </c>
      <c r="C61" s="34" t="inlineStr">
        <is>
          <t>Highest score = Rank 1</t>
        </is>
      </c>
      <c r="D61" s="34" t="inlineStr">
        <is>
          <t>FULL data prioritized</t>
        </is>
      </c>
    </row>
    <row r="62" ht="18" customHeight="1">
      <c r="A62" s="34" t="inlineStr">
        <is>
          <t>3. Handle Ties</t>
        </is>
      </c>
      <c r="B62" s="35" t="inlineStr">
        <is>
          <t>method='min'</t>
        </is>
      </c>
      <c r="C62" s="34" t="inlineStr">
        <is>
          <t>Same score = same rank</t>
        </is>
      </c>
      <c r="D62" s="34" t="inlineStr">
        <is>
          <t>Preserves order stability</t>
        </is>
      </c>
    </row>
    <row r="63" ht="18" customHeight="1">
      <c r="A63" s="34" t="inlineStr">
        <is>
          <t>4. Data Status Sort</t>
        </is>
      </c>
      <c r="B63" s="35" t="inlineStr">
        <is>
          <t>FULL → MOMENTUM → MISSING</t>
        </is>
      </c>
      <c r="C63" s="34" t="inlineStr">
        <is>
          <t>Global consolidated view</t>
        </is>
      </c>
      <c r="D63" s="34" t="inlineStr">
        <is>
          <t>Best data quality first</t>
        </is>
      </c>
    </row>
    <row r="65" ht="22" customHeight="1">
      <c r="A65" s="52" t="inlineStr">
        <is>
          <t>🏅  RANK IN ASSET CLASS (Consolidated Sheet — Dynamic)</t>
        </is>
      </c>
    </row>
    <row r="66" ht="20" customHeight="1">
      <c r="A66" s="53" t="inlineStr">
        <is>
          <t>Column</t>
        </is>
      </c>
      <c r="B66" s="53" t="inlineStr">
        <is>
          <t>Excel Formula (whole-column)</t>
        </is>
      </c>
      <c r="C66" s="53" t="inlineStr">
        <is>
          <t>Meaning</t>
        </is>
      </c>
      <c r="D66" s="53" t="inlineStr">
        <is>
          <t>How to Use</t>
        </is>
      </c>
    </row>
    <row r="67" ht="18" customHeight="1">
      <c r="A67" s="34" t="inlineStr">
        <is>
          <t>E1 Rank (in Asset)</t>
        </is>
      </c>
      <c r="B67" s="35">
        <f>COUNTIFS($E:$E,$E5,$L:$L,"&gt;"&amp;$L5)+1</f>
        <v/>
      </c>
      <c r="C67" s="34" t="inlineStr">
        <is>
          <t>Rank by Engine 1 within same Asset Class</t>
        </is>
      </c>
      <c r="D67" s="34" t="inlineStr">
        <is>
          <t>Filter by Asset Class, sort ascending</t>
        </is>
      </c>
    </row>
    <row r="68" ht="18" customHeight="1">
      <c r="A68" s="34" t="inlineStr">
        <is>
          <t>E2 Rank (in Asset)</t>
        </is>
      </c>
      <c r="B68" s="35">
        <f>COUNTIFS($E:$E,$E5,$M:$M,"&gt;"&amp;$M5)+1</f>
        <v/>
      </c>
      <c r="C68" s="34" t="inlineStr">
        <is>
          <t>Rank by Engine 2 within same Asset Class</t>
        </is>
      </c>
      <c r="D68" s="34" t="inlineStr">
        <is>
          <t>Filter by Asset Class, sort ascending</t>
        </is>
      </c>
    </row>
    <row r="69" ht="18" customHeight="1">
      <c r="A69" s="34" t="inlineStr">
        <is>
          <t>Comp Rank (in Asset)</t>
        </is>
      </c>
      <c r="B69" s="35">
        <f>COUNTIFS($E:$E,$E5,$N:$N,"&gt;"&amp;$N5)+1</f>
        <v/>
      </c>
      <c r="C69" s="34" t="inlineStr">
        <is>
          <t>Rank by Composite within same Asset Class</t>
        </is>
      </c>
      <c r="D69" s="34" t="inlineStr">
        <is>
          <t>Rank 1 = best fund in that Asset Class</t>
        </is>
      </c>
    </row>
    <row r="70" ht="18" customHeight="1">
      <c r="A70" s="38" t="inlineStr">
        <is>
          <t>Note</t>
        </is>
      </c>
      <c r="B70" s="39" t="inlineStr">
        <is>
          <t>Whole-column refs ($E:$E)</t>
        </is>
      </c>
      <c r="C70" s="38" t="inlineStr">
        <is>
          <t>Fully dynamic — auto-expands with new rows</t>
        </is>
      </c>
      <c r="D70" s="38" t="inlineStr">
        <is>
          <t>Replaces the old Asset Class Analysis sheet</t>
        </is>
      </c>
    </row>
    <row r="72" ht="22" customHeight="1">
      <c r="A72" s="32" t="inlineStr">
        <is>
          <t>🏷️  ASSET CLASS TAGGING (Priority Order)</t>
        </is>
      </c>
    </row>
    <row r="73" ht="20" customHeight="1">
      <c r="A73" s="33" t="inlineStr">
        <is>
          <t>Priority</t>
        </is>
      </c>
      <c r="B73" s="33" t="inlineStr">
        <is>
          <t>Asset Class</t>
        </is>
      </c>
      <c r="C73" s="33" t="inlineStr">
        <is>
          <t>Keywords</t>
        </is>
      </c>
      <c r="D73" s="33" t="inlineStr">
        <is>
          <t>Example Match</t>
        </is>
      </c>
    </row>
    <row r="74" ht="18" customHeight="1">
      <c r="A74" s="34" t="inlineStr">
        <is>
          <t>1</t>
        </is>
      </c>
      <c r="B74" s="35" t="inlineStr">
        <is>
          <t>Silver</t>
        </is>
      </c>
      <c r="C74" s="34" t="inlineStr">
        <is>
          <t>silver</t>
        </is>
      </c>
      <c r="D74" s="34" t="inlineStr">
        <is>
          <t>scheme_name.lower().contains()</t>
        </is>
      </c>
    </row>
    <row r="75" ht="18" customHeight="1">
      <c r="A75" s="34" t="inlineStr">
        <is>
          <t>2</t>
        </is>
      </c>
      <c r="B75" s="35" t="inlineStr">
        <is>
          <t>Gold</t>
        </is>
      </c>
      <c r="C75" s="34" t="inlineStr">
        <is>
          <t>gold</t>
        </is>
      </c>
      <c r="D75" s="34" t="inlineStr">
        <is>
          <t>scheme_name.lower().contains()</t>
        </is>
      </c>
    </row>
    <row r="76" ht="18" customHeight="1">
      <c r="A76" s="34" t="inlineStr">
        <is>
          <t>3</t>
        </is>
      </c>
      <c r="B76" s="35" t="inlineStr">
        <is>
          <t>G-SEC</t>
        </is>
      </c>
      <c r="C76" s="34" t="inlineStr">
        <is>
          <t>g-sec, gsec</t>
        </is>
      </c>
      <c r="D76" s="34" t="inlineStr">
        <is>
          <t>scheme_name.lower().contains()</t>
        </is>
      </c>
    </row>
    <row r="77" ht="18" customHeight="1">
      <c r="A77" s="34" t="inlineStr">
        <is>
          <t>4</t>
        </is>
      </c>
      <c r="B77" s="35" t="inlineStr">
        <is>
          <t>GILT</t>
        </is>
      </c>
      <c r="C77" s="34" t="inlineStr">
        <is>
          <t>gilt</t>
        </is>
      </c>
      <c r="D77" s="34" t="inlineStr">
        <is>
          <t>scheme_name.lower().contains()</t>
        </is>
      </c>
    </row>
    <row r="78" ht="18" customHeight="1">
      <c r="A78" s="34" t="inlineStr">
        <is>
          <t>5</t>
        </is>
      </c>
      <c r="B78" s="35" t="inlineStr">
        <is>
          <t>NASDAQ</t>
        </is>
      </c>
      <c r="C78" s="34" t="inlineStr">
        <is>
          <t>nasdaq, nq100, nq 100</t>
        </is>
      </c>
      <c r="D78" s="34" t="inlineStr">
        <is>
          <t>scheme_name.lower().contains()</t>
        </is>
      </c>
    </row>
    <row r="79" ht="18" customHeight="1">
      <c r="A79" s="34" t="inlineStr">
        <is>
          <t>6</t>
        </is>
      </c>
      <c r="B79" s="35" t="inlineStr">
        <is>
          <t>S&amp;P 500</t>
        </is>
      </c>
      <c r="C79" s="34" t="inlineStr">
        <is>
          <t>s&amp;p 500, s&amp;p500, s&amp;p 50</t>
        </is>
      </c>
      <c r="D79" s="34" t="inlineStr">
        <is>
          <t>scheme_name.lower().contains()</t>
        </is>
      </c>
    </row>
    <row r="80" ht="18" customHeight="1">
      <c r="A80" s="34" t="inlineStr">
        <is>
          <t>7</t>
        </is>
      </c>
      <c r="B80" s="35" t="inlineStr">
        <is>
          <t>International</t>
        </is>
      </c>
      <c r="C80" s="34" t="inlineStr">
        <is>
          <t>overseas, global, hang seng...</t>
        </is>
      </c>
      <c r="D80" s="34" t="inlineStr">
        <is>
          <t>scheme_name.lower().contains()</t>
        </is>
      </c>
    </row>
    <row r="81" ht="18" customHeight="1">
      <c r="A81" s="34" t="inlineStr">
        <is>
          <t>8</t>
        </is>
      </c>
      <c r="B81" s="35" t="inlineStr">
        <is>
          <t>Pharma/Healthcare</t>
        </is>
      </c>
      <c r="C81" s="34" t="inlineStr">
        <is>
          <t>pharma, healthcare, health</t>
        </is>
      </c>
      <c r="D81" s="34" t="inlineStr">
        <is>
          <t>scheme_name.lower().contains()</t>
        </is>
      </c>
    </row>
    <row r="82" ht="18" customHeight="1">
      <c r="A82" s="34" t="inlineStr">
        <is>
          <t>9</t>
        </is>
      </c>
      <c r="B82" s="35" t="inlineStr">
        <is>
          <t>Technology</t>
        </is>
      </c>
      <c r="C82" s="34" t="inlineStr">
        <is>
          <t>tech, artificial intelligence, ai ...</t>
        </is>
      </c>
      <c r="D82" s="34" t="inlineStr">
        <is>
          <t>scheme_name.lower().contains()</t>
        </is>
      </c>
    </row>
    <row r="83" ht="18" customHeight="1">
      <c r="A83" s="34" t="inlineStr">
        <is>
          <t>10</t>
        </is>
      </c>
      <c r="B83" s="35" t="inlineStr">
        <is>
          <t>Commodities</t>
        </is>
      </c>
      <c r="C83" s="34" t="inlineStr">
        <is>
          <t>commodit, metal, energy...</t>
        </is>
      </c>
      <c r="D83" s="34" t="inlineStr">
        <is>
          <t>scheme_name.lower().contains()</t>
        </is>
      </c>
    </row>
    <row r="84" ht="18" customHeight="1">
      <c r="A84" s="34" t="inlineStr">
        <is>
          <t>11</t>
        </is>
      </c>
      <c r="B84" s="35" t="inlineStr">
        <is>
          <t>Infrastructure</t>
        </is>
      </c>
      <c r="C84" s="34" t="inlineStr">
        <is>
          <t>infra, infrastructure</t>
        </is>
      </c>
      <c r="D84" s="34" t="inlineStr">
        <is>
          <t>scheme_name.lower().contains()</t>
        </is>
      </c>
    </row>
    <row r="85" ht="18" customHeight="1">
      <c r="A85" s="34" t="inlineStr">
        <is>
          <t>12</t>
        </is>
      </c>
      <c r="B85" s="35" t="inlineStr">
        <is>
          <t>Banking/Financial</t>
        </is>
      </c>
      <c r="C85" s="34" t="inlineStr">
        <is>
          <t>bank, financial, psu bank...</t>
        </is>
      </c>
      <c r="D85" s="34" t="inlineStr">
        <is>
          <t>scheme_name.lower().contains()</t>
        </is>
      </c>
    </row>
    <row r="86" ht="18" customHeight="1">
      <c r="A86" s="34" t="inlineStr">
        <is>
          <t>13</t>
        </is>
      </c>
      <c r="B86" s="35" t="inlineStr">
        <is>
          <t>Index Fund</t>
        </is>
      </c>
      <c r="C86" s="34" t="inlineStr">
        <is>
          <t>index, nifty, sensex...</t>
        </is>
      </c>
      <c r="D86" s="34" t="inlineStr">
        <is>
          <t>scheme_name.lower().contains()</t>
        </is>
      </c>
    </row>
    <row r="87" ht="18" customHeight="1">
      <c r="A87" s="34" t="inlineStr">
        <is>
          <t>99</t>
        </is>
      </c>
      <c r="B87" s="35" t="inlineStr">
        <is>
          <t>Standard Equity/Debt</t>
        </is>
      </c>
      <c r="C87" s="34" t="inlineStr">
        <is>
          <t>(default)</t>
        </is>
      </c>
      <c r="D87" s="34" t="inlineStr">
        <is>
          <t>No keyword match</t>
        </is>
      </c>
    </row>
    <row r="89" ht="22" customHeight="1">
      <c r="A89" s="46" t="inlineStr">
        <is>
          <t>📈  MOMENTUM SIGNAL (Engine 1)</t>
        </is>
      </c>
    </row>
    <row r="90" ht="20" customHeight="1">
      <c r="A90" s="47" t="inlineStr">
        <is>
          <t>Signal</t>
        </is>
      </c>
      <c r="B90" s="47" t="inlineStr">
        <is>
          <t>E1 Range</t>
        </is>
      </c>
      <c r="C90" s="47" t="inlineStr">
        <is>
          <t>Meaning</t>
        </is>
      </c>
      <c r="D90" s="47" t="inlineStr">
        <is>
          <t>Action</t>
        </is>
      </c>
    </row>
    <row r="91" ht="18" customHeight="1">
      <c r="A91" s="34" t="inlineStr">
        <is>
          <t>🔥 Hot</t>
        </is>
      </c>
      <c r="B91" s="35" t="inlineStr">
        <is>
          <t>90-100</t>
        </is>
      </c>
      <c r="C91" s="34" t="inlineStr">
        <is>
          <t>Exceptional momentum</t>
        </is>
      </c>
      <c r="D91" s="34" t="inlineStr">
        <is>
          <t>Strong short-term performer</t>
        </is>
      </c>
    </row>
    <row r="92" ht="18" customHeight="1">
      <c r="A92" s="34" t="inlineStr">
        <is>
          <t>⭐ Strong</t>
        </is>
      </c>
      <c r="B92" s="35" t="inlineStr">
        <is>
          <t>75-89</t>
        </is>
      </c>
      <c r="C92" s="34" t="inlineStr">
        <is>
          <t>Above average momentum</t>
        </is>
      </c>
      <c r="D92" s="34" t="inlineStr">
        <is>
          <t>Good entry point</t>
        </is>
      </c>
    </row>
    <row r="93" ht="18" customHeight="1">
      <c r="A93" s="34" t="inlineStr">
        <is>
          <t>📈 Good</t>
        </is>
      </c>
      <c r="B93" s="35" t="inlineStr">
        <is>
          <t>60-74</t>
        </is>
      </c>
      <c r="C93" s="34" t="inlineStr">
        <is>
          <t>Decent momentum</t>
        </is>
      </c>
      <c r="D93" s="34" t="inlineStr">
        <is>
          <t>Monitor for improvement</t>
        </is>
      </c>
    </row>
    <row r="94" ht="18" customHeight="1">
      <c r="A94" s="34" t="inlineStr">
        <is>
          <t>➡️ Neutral</t>
        </is>
      </c>
      <c r="B94" s="35" t="inlineStr">
        <is>
          <t>40-59</t>
        </is>
      </c>
      <c r="C94" s="34" t="inlineStr">
        <is>
          <t>Average performance</t>
        </is>
      </c>
      <c r="D94" s="34" t="inlineStr">
        <is>
          <t>No clear direction</t>
        </is>
      </c>
    </row>
    <row r="95" ht="18" customHeight="1">
      <c r="A95" s="34" t="inlineStr">
        <is>
          <t>📉 Weak</t>
        </is>
      </c>
      <c r="B95" s="35" t="inlineStr">
        <is>
          <t>&lt;40</t>
        </is>
      </c>
      <c r="C95" s="34" t="inlineStr">
        <is>
          <t>Below average</t>
        </is>
      </c>
      <c r="D95" s="34" t="inlineStr">
        <is>
          <t>Caution advised</t>
        </is>
      </c>
    </row>
    <row r="97" ht="22" customHeight="1">
      <c r="A97" s="48" t="inlineStr">
        <is>
          <t>🏛️  QUALITY SIGNAL (Engine 2)</t>
        </is>
      </c>
    </row>
    <row r="98" ht="20" customHeight="1">
      <c r="A98" s="49" t="inlineStr">
        <is>
          <t>Signal</t>
        </is>
      </c>
      <c r="B98" s="49" t="inlineStr">
        <is>
          <t>E2 Range</t>
        </is>
      </c>
      <c r="C98" s="49" t="inlineStr">
        <is>
          <t>Meaning</t>
        </is>
      </c>
      <c r="D98" s="49" t="inlineStr">
        <is>
          <t>Action</t>
        </is>
      </c>
    </row>
    <row r="99" ht="18" customHeight="1">
      <c r="A99" s="34" t="inlineStr">
        <is>
          <t>🏆 Elite</t>
        </is>
      </c>
      <c r="B99" s="35" t="inlineStr">
        <is>
          <t>90-100</t>
        </is>
      </c>
      <c r="C99" s="34" t="inlineStr">
        <is>
          <t>Top-tier quality</t>
        </is>
      </c>
      <c r="D99" s="34" t="inlineStr">
        <is>
          <t>Core holding candidate</t>
        </is>
      </c>
    </row>
    <row r="100" ht="18" customHeight="1">
      <c r="A100" s="34" t="inlineStr">
        <is>
          <t>⭐ Strong</t>
        </is>
      </c>
      <c r="B100" s="35" t="inlineStr">
        <is>
          <t>75-89</t>
        </is>
      </c>
      <c r="C100" s="34" t="inlineStr">
        <is>
          <t>Strong fundamentals</t>
        </is>
      </c>
      <c r="D100" s="34" t="inlineStr">
        <is>
          <t>Solid long-term choice</t>
        </is>
      </c>
    </row>
    <row r="101" ht="18" customHeight="1">
      <c r="A101" s="34" t="inlineStr">
        <is>
          <t>🏛️ Solid</t>
        </is>
      </c>
      <c r="B101" s="35" t="inlineStr">
        <is>
          <t>60-74</t>
        </is>
      </c>
      <c r="C101" s="34" t="inlineStr">
        <is>
          <t>Good quality metrics</t>
        </is>
      </c>
      <c r="D101" s="34" t="inlineStr">
        <is>
          <t>Reliable performer</t>
        </is>
      </c>
    </row>
    <row r="102" ht="18" customHeight="1">
      <c r="A102" s="34" t="inlineStr">
        <is>
          <t>➡️ Average</t>
        </is>
      </c>
      <c r="B102" s="35" t="inlineStr">
        <is>
          <t>40-59</t>
        </is>
      </c>
      <c r="C102" s="34" t="inlineStr">
        <is>
          <t>Market average</t>
        </is>
      </c>
      <c r="D102" s="34" t="inlineStr">
        <is>
          <t>No standout quality</t>
        </is>
      </c>
    </row>
    <row r="103" ht="18" customHeight="1">
      <c r="A103" s="34" t="inlineStr">
        <is>
          <t>⚠️ Below Avg</t>
        </is>
      </c>
      <c r="B103" s="35" t="inlineStr">
        <is>
          <t>1-39</t>
        </is>
      </c>
      <c r="C103" s="34" t="inlineStr">
        <is>
          <t>Below market average</t>
        </is>
      </c>
      <c r="D103" s="34" t="inlineStr">
        <is>
          <t>Review before investing</t>
        </is>
      </c>
    </row>
    <row r="104" ht="18" customHeight="1">
      <c r="A104" s="34" t="inlineStr">
        <is>
          <t>🔴 Not Qualified</t>
        </is>
      </c>
      <c r="B104" s="35" t="inlineStr">
        <is>
          <t>0</t>
        </is>
      </c>
      <c r="C104" s="34" t="inlineStr">
        <is>
          <t>Failed quality gates</t>
        </is>
      </c>
      <c r="D104" s="34" t="inlineStr">
        <is>
          <t>Does not meet criteria</t>
        </is>
      </c>
    </row>
    <row r="105" ht="18" customHeight="1">
      <c r="A105" s="40" t="inlineStr">
        <is>
          <t>⏳ New Fund</t>
        </is>
      </c>
      <c r="B105" s="41" t="inlineStr">
        <is>
          <t>N/A</t>
        </is>
      </c>
      <c r="C105" s="40" t="inlineStr">
        <is>
          <t>Insufficient history</t>
        </is>
      </c>
      <c r="D105" s="40" t="inlineStr">
        <is>
          <t>Wait for track record</t>
        </is>
      </c>
    </row>
    <row r="107" ht="22" customHeight="1">
      <c r="A107" s="36" t="inlineStr">
        <is>
          <t>🎯  COMPOSITE SIGNAL (Combined)</t>
        </is>
      </c>
    </row>
    <row r="108" ht="20" customHeight="1">
      <c r="A108" s="37" t="inlineStr">
        <is>
          <t>Signal</t>
        </is>
      </c>
      <c r="B108" s="37" t="inlineStr">
        <is>
          <t>Condition</t>
        </is>
      </c>
      <c r="C108" s="37" t="inlineStr">
        <is>
          <t>Meaning</t>
        </is>
      </c>
      <c r="D108" s="37" t="inlineStr">
        <is>
          <t>Action</t>
        </is>
      </c>
    </row>
    <row r="109" ht="18" customHeight="1">
      <c r="A109" s="34" t="inlineStr">
        <is>
          <t>🚀 Strong Conviction</t>
        </is>
      </c>
      <c r="B109" s="35" t="inlineStr">
        <is>
          <t>≥85 + Uptrend</t>
        </is>
      </c>
      <c r="C109" s="34" t="inlineStr">
        <is>
          <t>Best of both engines</t>
        </is>
      </c>
      <c r="D109" s="34" t="inlineStr">
        <is>
          <t>Top pick</t>
        </is>
      </c>
    </row>
    <row r="110" ht="18" customHeight="1">
      <c r="A110" s="34" t="inlineStr">
        <is>
          <t>⭐ Strong Buy</t>
        </is>
      </c>
      <c r="B110" s="35" t="inlineStr">
        <is>
          <t>75-84</t>
        </is>
      </c>
      <c r="C110" s="34" t="inlineStr">
        <is>
          <t>High composite score</t>
        </is>
      </c>
      <c r="D110" s="34" t="inlineStr">
        <is>
          <t>Recommended buy</t>
        </is>
      </c>
    </row>
    <row r="111" ht="18" customHeight="1">
      <c r="A111" s="34" t="inlineStr">
        <is>
          <t>📈 Momentum Play</t>
        </is>
      </c>
      <c r="B111" s="35" t="inlineStr">
        <is>
          <t>60-74 (E1&gt;E2)</t>
        </is>
      </c>
      <c r="C111" s="34" t="inlineStr">
        <is>
          <t>Momentum-driven</t>
        </is>
      </c>
      <c r="D111" s="34" t="inlineStr">
        <is>
          <t>Short-term opportunity</t>
        </is>
      </c>
    </row>
    <row r="112" ht="18" customHeight="1">
      <c r="A112" s="34" t="inlineStr">
        <is>
          <t>🏛️ Quality Hold</t>
        </is>
      </c>
      <c r="B112" s="35" t="inlineStr">
        <is>
          <t>60-74 (E2&gt;E1)</t>
        </is>
      </c>
      <c r="C112" s="34" t="inlineStr">
        <is>
          <t>Quality-driven</t>
        </is>
      </c>
      <c r="D112" s="34" t="inlineStr">
        <is>
          <t>Long-term hold</t>
        </is>
      </c>
    </row>
    <row r="113" ht="18" customHeight="1">
      <c r="A113" s="34" t="inlineStr">
        <is>
          <t>✅ Buy</t>
        </is>
      </c>
      <c r="B113" s="35" t="inlineStr">
        <is>
          <t>55-59</t>
        </is>
      </c>
      <c r="C113" s="34" t="inlineStr">
        <is>
          <t>Moderate confidence</t>
        </is>
      </c>
      <c r="D113" s="34" t="inlineStr">
        <is>
          <t>Consider buying</t>
        </is>
      </c>
    </row>
    <row r="114" ht="18" customHeight="1">
      <c r="A114" s="34" t="inlineStr">
        <is>
          <t>⚠️ Watch</t>
        </is>
      </c>
      <c r="B114" s="35" t="inlineStr">
        <is>
          <t>40-54</t>
        </is>
      </c>
      <c r="C114" s="34" t="inlineStr">
        <is>
          <t>Below average</t>
        </is>
      </c>
      <c r="D114" s="34" t="inlineStr">
        <is>
          <t>Monitor closely</t>
        </is>
      </c>
    </row>
    <row r="115" ht="18" customHeight="1">
      <c r="A115" s="34" t="inlineStr">
        <is>
          <t>🔴 Avoid</t>
        </is>
      </c>
      <c r="B115" s="35" t="inlineStr">
        <is>
          <t>&lt;40</t>
        </is>
      </c>
      <c r="C115" s="34" t="inlineStr">
        <is>
          <t>Poor performance</t>
        </is>
      </c>
      <c r="D115" s="34" t="inlineStr">
        <is>
          <t>Not recommended</t>
        </is>
      </c>
    </row>
    <row r="116" ht="18" customHeight="1">
      <c r="A116" s="40" t="inlineStr">
        <is>
          <t>🔥 Hot Momentum</t>
        </is>
      </c>
      <c r="B116" s="41" t="inlineStr">
        <is>
          <t>E1≥80 (Mom. Only)</t>
        </is>
      </c>
      <c r="C116" s="40" t="inlineStr">
        <is>
          <t>Strong momentum, no history</t>
        </is>
      </c>
      <c r="D116" s="40" t="inlineStr">
        <is>
          <t>Speculative</t>
        </is>
      </c>
    </row>
    <row r="118" ht="22" customHeight="1">
      <c r="A118" s="36" t="inlineStr">
        <is>
          <t>📈  DATA STATISTICS (Live)</t>
        </is>
      </c>
    </row>
    <row r="119" ht="20" customHeight="1">
      <c r="A119" s="37" t="inlineStr">
        <is>
          <t>Metric</t>
        </is>
      </c>
      <c r="B119" s="37" t="inlineStr">
        <is>
          <t>Count</t>
        </is>
      </c>
      <c r="C119" s="37" t="inlineStr">
        <is>
          <t>Share</t>
        </is>
      </c>
      <c r="D119" s="37" t="inlineStr">
        <is>
          <t>Notes</t>
        </is>
      </c>
    </row>
    <row r="120" ht="18" customHeight="1">
      <c r="A120" s="54" t="inlineStr">
        <is>
          <t>Total Funds</t>
        </is>
      </c>
      <c r="B120" s="55">
        <f>COUNTA('📊 CONSOLIDATED'!$B:$B)-4</f>
        <v/>
      </c>
      <c r="C120" s="56" t="n">
        <v>1</v>
      </c>
      <c r="D120" s="54" t="inlineStr">
        <is>
          <t>All funds in analysis</t>
        </is>
      </c>
    </row>
    <row r="121" ht="18" customHeight="1">
      <c r="A121" s="57" t="inlineStr">
        <is>
          <t>✅ Full Data</t>
        </is>
      </c>
      <c r="B121" s="58">
        <f>COUNTIF('📊 CONSOLIDATED'!$U:$U,"FULL")</f>
        <v/>
      </c>
      <c r="C121" s="59">
        <f>=COUNTIF('📊 CONSOLIDATED'!$U:$U,"FULL")/=COUNTA('📊 CONSOLIDATED'!$B:$B)-4</f>
        <v/>
      </c>
      <c r="D121" s="57" t="inlineStr">
        <is>
          <t>Complete data for scoring</t>
        </is>
      </c>
    </row>
    <row r="122" ht="18" customHeight="1">
      <c r="A122" s="60" t="inlineStr">
        <is>
          <t>⚠️ Momentum Only</t>
        </is>
      </c>
      <c r="B122" s="61">
        <f>COUNTIF('📊 CONSOLIDATED'!$U:$U,"MOMENTUM_ONLY")</f>
        <v/>
      </c>
      <c r="C122" s="62">
        <f>=COUNTIF('📊 CONSOLIDATED'!$U:$U,"MOMENTUM_ONLY")/=COUNTA('📊 CONSOLIDATED'!$B:$B)-4</f>
        <v/>
      </c>
      <c r="D122" s="60" t="inlineStr">
        <is>
          <t>New funds, E2=0</t>
        </is>
      </c>
    </row>
    <row r="123" ht="18" customHeight="1">
      <c r="A123" s="63" t="inlineStr">
        <is>
          <t>❌ Missing Data</t>
        </is>
      </c>
      <c r="B123" s="64">
        <f>COUNTIF('📊 CONSOLIDATED'!$U:$U,"MISSING")</f>
        <v/>
      </c>
      <c r="C123" s="65">
        <f>=COUNTIF('📊 CONSOLIDATED'!$U:$U,"MISSING")/=COUNTA('📊 CONSOLIDATED'!$B:$B)-4</f>
        <v/>
      </c>
      <c r="D123" s="63" t="inlineStr">
        <is>
          <t>Incomplete, Comp=0</t>
        </is>
      </c>
    </row>
  </sheetData>
  <mergeCells count="16">
    <mergeCell ref="A1:D1"/>
    <mergeCell ref="A23:D23"/>
    <mergeCell ref="A45:D45"/>
    <mergeCell ref="A118:D118"/>
    <mergeCell ref="A89:D89"/>
    <mergeCell ref="A58:D58"/>
    <mergeCell ref="A97:D97"/>
    <mergeCell ref="A4:D4"/>
    <mergeCell ref="A72:D72"/>
    <mergeCell ref="A29:D29"/>
    <mergeCell ref="A52:D52"/>
    <mergeCell ref="A65:D65"/>
    <mergeCell ref="A2:D2"/>
    <mergeCell ref="A11:D11"/>
    <mergeCell ref="A107:D10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AGGRESSIVE HYBRID FUND  ✦</t>
        </is>
      </c>
    </row>
    <row r="2" ht="16" customHeight="1">
      <c r="A2" s="2">
        <f>"Dual Engine: 55% Momentum + 45% Quality | ✅ Full: "&amp;COUNTIF(Q5:Q32,"FULL")&amp;" | ⚠️ Momentum: "&amp;COUNTIF(Q5:Q32,"MOMENTUM_ONLY")&amp;" | ❌ Missing: "&amp;COUNTIF(Q5:Q32,"MISSING")&amp;" | Total: "&amp;COUNTA(B5:B32)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6" t="n">
        <v>1</v>
      </c>
      <c r="B5" s="67" t="inlineStr">
        <is>
          <t>BANK OF INDIA MID &amp; SMALL CAP EQUITY &amp; DEBT FUND - REGULAR  PLAN  GROWTH</t>
        </is>
      </c>
      <c r="C5" s="67" t="inlineStr">
        <is>
          <t>Bank of India Mutual Fund</t>
        </is>
      </c>
      <c r="D5" s="67" t="inlineStr">
        <is>
          <t>Aggressive Hybrid Fund</t>
        </is>
      </c>
      <c r="E5" s="68" t="n">
        <v>2.99</v>
      </c>
      <c r="F5" s="68" t="n">
        <v>7.47</v>
      </c>
      <c r="G5" s="68" t="n">
        <v>11.66</v>
      </c>
      <c r="H5" s="68" t="n">
        <v>15</v>
      </c>
      <c r="I5" s="68" t="n">
        <v>5.503554442492598</v>
      </c>
      <c r="J5" s="68" t="n">
        <v>63.04</v>
      </c>
      <c r="K5" s="16" t="n">
        <v>100</v>
      </c>
      <c r="L5" s="17" t="n">
        <v>0</v>
      </c>
      <c r="M5" s="18" t="n">
        <v>55</v>
      </c>
      <c r="N5" s="19" t="inlineStr">
        <is>
          <t>🔥 Hot</t>
        </is>
      </c>
      <c r="O5" s="19" t="inlineStr">
        <is>
          <t>🔴 Not Qualified</t>
        </is>
      </c>
      <c r="P5" s="19" t="inlineStr">
        <is>
          <t>✅ Buy</t>
        </is>
      </c>
      <c r="Q5" s="69" t="inlineStr">
        <is>
          <t>FULL</t>
        </is>
      </c>
    </row>
    <row r="6" ht="16" customHeight="1">
      <c r="A6" s="70" t="n">
        <v>2</v>
      </c>
      <c r="B6" s="71" t="inlineStr">
        <is>
          <t>Navi Aggressive Hybrid Fund - Regular Plan - Growth</t>
        </is>
      </c>
      <c r="C6" s="71" t="inlineStr">
        <is>
          <t>Navi Mutual Fund</t>
        </is>
      </c>
      <c r="D6" s="71" t="inlineStr">
        <is>
          <t>Aggressive Hybrid Fund</t>
        </is>
      </c>
      <c r="E6" s="72" t="n">
        <v>2.45</v>
      </c>
      <c r="F6" s="72" t="n">
        <v>8.710000000000001</v>
      </c>
      <c r="G6" s="72" t="n">
        <v>6.51</v>
      </c>
      <c r="H6" s="72" t="n">
        <v>10.71</v>
      </c>
      <c r="I6" s="72" t="n">
        <v>5.446668984847491</v>
      </c>
      <c r="J6" s="72" t="n">
        <v>37.75</v>
      </c>
      <c r="K6" s="16" t="n">
        <v>95.40000000000001</v>
      </c>
      <c r="L6" s="17" t="n">
        <v>0</v>
      </c>
      <c r="M6" s="18" t="n">
        <v>52.5</v>
      </c>
      <c r="N6" s="73" t="inlineStr">
        <is>
          <t>🔥 Hot</t>
        </is>
      </c>
      <c r="O6" s="73" t="inlineStr">
        <is>
          <t>🔴 Not Qualified</t>
        </is>
      </c>
      <c r="P6" s="73" t="inlineStr">
        <is>
          <t>⚠️ Watch</t>
        </is>
      </c>
      <c r="Q6" s="69" t="inlineStr">
        <is>
          <t>FULL</t>
        </is>
      </c>
    </row>
    <row r="7" ht="16" customHeight="1">
      <c r="A7" s="74" t="n">
        <v>3</v>
      </c>
      <c r="B7" s="75" t="inlineStr">
        <is>
          <t>LIC MF Aggressive Hybrid Fund-Regular Plan-Growth</t>
        </is>
      </c>
      <c r="C7" s="75" t="inlineStr">
        <is>
          <t>LIC Mutual Fund</t>
        </is>
      </c>
      <c r="D7" s="75" t="inlineStr">
        <is>
          <t>Aggressive Hybrid Fund</t>
        </is>
      </c>
      <c r="E7" s="76" t="n">
        <v>3.72</v>
      </c>
      <c r="F7" s="76" t="n">
        <v>7.17</v>
      </c>
      <c r="G7" s="76" t="n">
        <v>3.77</v>
      </c>
      <c r="H7" s="76" t="n">
        <v>5.46</v>
      </c>
      <c r="I7" s="76" t="n">
        <v>3.426302263979264</v>
      </c>
      <c r="J7" s="76" t="n">
        <v>39.39</v>
      </c>
      <c r="K7" s="16" t="n">
        <v>90.8</v>
      </c>
      <c r="L7" s="17" t="n">
        <v>0</v>
      </c>
      <c r="M7" s="23" t="n">
        <v>49.9</v>
      </c>
      <c r="N7" s="24" t="inlineStr">
        <is>
          <t>🔥 Hot</t>
        </is>
      </c>
      <c r="O7" s="24" t="inlineStr">
        <is>
          <t>🔴 Not Qualified</t>
        </is>
      </c>
      <c r="P7" s="24" t="inlineStr">
        <is>
          <t>⚠️ Watch</t>
        </is>
      </c>
      <c r="Q7" s="69" t="inlineStr">
        <is>
          <t>FULL</t>
        </is>
      </c>
    </row>
    <row r="8" ht="16" customHeight="1">
      <c r="A8" s="77" t="n">
        <v>4</v>
      </c>
      <c r="B8" s="78" t="inlineStr">
        <is>
          <t>Bandhan Aggressive Hybrid Fund-Regular Plan Growth</t>
        </is>
      </c>
      <c r="C8" s="78" t="inlineStr">
        <is>
          <t>Bandhan Mutual Fund</t>
        </is>
      </c>
      <c r="D8" s="78" t="inlineStr">
        <is>
          <t>Aggressive Hybrid Fund</t>
        </is>
      </c>
      <c r="E8" s="79" t="n">
        <v>2.04</v>
      </c>
      <c r="F8" s="79" t="n">
        <v>6.98</v>
      </c>
      <c r="G8" s="79" t="n">
        <v>3.55</v>
      </c>
      <c r="H8" s="79" t="n">
        <v>9.58</v>
      </c>
      <c r="I8" s="79" t="n">
        <v>7.995370271137081</v>
      </c>
      <c r="J8" s="79" t="n">
        <v>50.07</v>
      </c>
      <c r="K8" s="16" t="n">
        <v>88.8</v>
      </c>
      <c r="L8" s="17" t="n">
        <v>0</v>
      </c>
      <c r="M8" s="23" t="n">
        <v>48.9</v>
      </c>
      <c r="N8" s="80" t="inlineStr">
        <is>
          <t>⭐ Strong</t>
        </is>
      </c>
      <c r="O8" s="80" t="inlineStr">
        <is>
          <t>🔴 Not Qualified</t>
        </is>
      </c>
      <c r="P8" s="80" t="inlineStr">
        <is>
          <t>⚠️ Watch</t>
        </is>
      </c>
      <c r="Q8" s="69" t="inlineStr">
        <is>
          <t>FULL</t>
        </is>
      </c>
    </row>
    <row r="9" ht="16" customHeight="1">
      <c r="A9" s="81" t="n">
        <v>5</v>
      </c>
      <c r="B9" s="82" t="inlineStr">
        <is>
          <t>Union Aggressive Hybrid Fund - Regular Plan - Growth Option</t>
        </is>
      </c>
      <c r="C9" s="82" t="inlineStr">
        <is>
          <t>Union Mutual Fund</t>
        </is>
      </c>
      <c r="D9" s="82" t="inlineStr">
        <is>
          <t>Aggressive Hybrid Fund</t>
        </is>
      </c>
      <c r="E9" s="83" t="n">
        <v>1.24</v>
      </c>
      <c r="F9" s="83" t="n">
        <v>6.44</v>
      </c>
      <c r="G9" s="83" t="n">
        <v>1.89</v>
      </c>
      <c r="H9" s="83" t="n">
        <v>5.55</v>
      </c>
      <c r="I9" s="83" t="n">
        <v>4.000000000000004</v>
      </c>
      <c r="J9" s="83" t="n">
        <v>36.75</v>
      </c>
      <c r="K9" s="84" t="n">
        <v>73.09999999999999</v>
      </c>
      <c r="L9" s="17" t="n">
        <v>0</v>
      </c>
      <c r="M9" s="23" t="n">
        <v>40.2</v>
      </c>
      <c r="N9" s="85" t="inlineStr">
        <is>
          <t>📈 Good</t>
        </is>
      </c>
      <c r="O9" s="85" t="inlineStr">
        <is>
          <t>🔴 Not Qualified</t>
        </is>
      </c>
      <c r="P9" s="85" t="inlineStr">
        <is>
          <t>⚠️ Watch</t>
        </is>
      </c>
      <c r="Q9" s="69" t="inlineStr">
        <is>
          <t>FULL</t>
        </is>
      </c>
    </row>
    <row r="10" ht="16" customHeight="1">
      <c r="A10" s="77" t="n">
        <v>6</v>
      </c>
      <c r="B10" s="78" t="inlineStr">
        <is>
          <t>JM Aggressive Hybrid Fund (Regular) -Growth Option</t>
        </is>
      </c>
      <c r="C10" s="78" t="inlineStr">
        <is>
          <t>JM Financial Mutual Fund</t>
        </is>
      </c>
      <c r="D10" s="78" t="inlineStr">
        <is>
          <t>Aggressive Hybrid Fund</t>
        </is>
      </c>
      <c r="E10" s="79" t="n">
        <v>2.97</v>
      </c>
      <c r="F10" s="79" t="n">
        <v>6.5</v>
      </c>
      <c r="G10" s="79" t="n">
        <v>2.23</v>
      </c>
      <c r="H10" s="79" t="n">
        <v>3.49</v>
      </c>
      <c r="I10" s="86" t="n">
        <v>-1.948992865957766</v>
      </c>
      <c r="J10" s="79" t="n">
        <v>44.34</v>
      </c>
      <c r="K10" s="84" t="n">
        <v>73.09999999999999</v>
      </c>
      <c r="L10" s="17" t="n">
        <v>0</v>
      </c>
      <c r="M10" s="23" t="n">
        <v>40.2</v>
      </c>
      <c r="N10" s="80" t="inlineStr">
        <is>
          <t>📈 Good</t>
        </is>
      </c>
      <c r="O10" s="80" t="inlineStr">
        <is>
          <t>🔴 Not Qualified</t>
        </is>
      </c>
      <c r="P10" s="80" t="inlineStr">
        <is>
          <t>⚠️ Watch</t>
        </is>
      </c>
      <c r="Q10" s="69" t="inlineStr">
        <is>
          <t>FULL</t>
        </is>
      </c>
    </row>
    <row r="11" ht="16" customHeight="1">
      <c r="A11" s="81" t="n">
        <v>7</v>
      </c>
      <c r="B11" s="82" t="inlineStr">
        <is>
          <t>Kotak Aggressive Hybrid Fund - Regular Plan -Growth</t>
        </is>
      </c>
      <c r="C11" s="82" t="inlineStr">
        <is>
          <t>Kotak Mahindra Mutual Fund</t>
        </is>
      </c>
      <c r="D11" s="82" t="inlineStr">
        <is>
          <t>Aggressive Hybrid Fund</t>
        </is>
      </c>
      <c r="E11" s="83" t="n">
        <v>1.17</v>
      </c>
      <c r="F11" s="83" t="n">
        <v>5.18</v>
      </c>
      <c r="G11" s="83" t="n">
        <v>2.37</v>
      </c>
      <c r="H11" s="83" t="n">
        <v>6.01</v>
      </c>
      <c r="I11" s="83" t="n">
        <v>4.369535785113077</v>
      </c>
      <c r="J11" s="83" t="n">
        <v>44.68</v>
      </c>
      <c r="K11" s="84" t="n">
        <v>70.40000000000001</v>
      </c>
      <c r="L11" s="17" t="n">
        <v>0</v>
      </c>
      <c r="M11" s="23" t="n">
        <v>38.7</v>
      </c>
      <c r="N11" s="85" t="inlineStr">
        <is>
          <t>📈 Good</t>
        </is>
      </c>
      <c r="O11" s="85" t="inlineStr">
        <is>
          <t>🔴 Not Qualified</t>
        </is>
      </c>
      <c r="P11" s="85" t="inlineStr">
        <is>
          <t>🔴 Avoid</t>
        </is>
      </c>
      <c r="Q11" s="69" t="inlineStr">
        <is>
          <t>FULL</t>
        </is>
      </c>
    </row>
    <row r="12" ht="16" customHeight="1">
      <c r="A12" s="77" t="n">
        <v>8</v>
      </c>
      <c r="B12" s="78" t="inlineStr">
        <is>
          <t>SBI EQUITY HYBRID FUND - REGULAR PLAN -Growth</t>
        </is>
      </c>
      <c r="C12" s="78" t="inlineStr">
        <is>
          <t>SBI Mutual Fund</t>
        </is>
      </c>
      <c r="D12" s="78" t="inlineStr">
        <is>
          <t>Aggressive Hybrid Fund</t>
        </is>
      </c>
      <c r="E12" s="79" t="n">
        <v>0.74</v>
      </c>
      <c r="F12" s="79" t="n">
        <v>4.22</v>
      </c>
      <c r="G12" s="79" t="n">
        <v>3.04</v>
      </c>
      <c r="H12" s="79" t="n">
        <v>6.64</v>
      </c>
      <c r="I12" s="79" t="n">
        <v>7.666150669558158</v>
      </c>
      <c r="J12" s="79" t="n">
        <v>44.83</v>
      </c>
      <c r="K12" s="84" t="n">
        <v>64.40000000000001</v>
      </c>
      <c r="L12" s="17" t="n">
        <v>0</v>
      </c>
      <c r="M12" s="23" t="n">
        <v>35.4</v>
      </c>
      <c r="N12" s="80" t="inlineStr">
        <is>
          <t>📈 Good</t>
        </is>
      </c>
      <c r="O12" s="80" t="inlineStr">
        <is>
          <t>🔴 Not Qualified</t>
        </is>
      </c>
      <c r="P12" s="80" t="inlineStr">
        <is>
          <t>🔴 Avoid</t>
        </is>
      </c>
      <c r="Q12" s="69" t="inlineStr">
        <is>
          <t>FULL</t>
        </is>
      </c>
    </row>
    <row r="13" ht="16" customHeight="1">
      <c r="A13" s="81" t="n">
        <v>9</v>
      </c>
      <c r="B13" s="82" t="inlineStr">
        <is>
          <t>CANARA ROBECO EQUITY HYBRID FUND - REGULAR PLAN - GROWTH OPTION</t>
        </is>
      </c>
      <c r="C13" s="82" t="inlineStr">
        <is>
          <t>Canara Robeco Mutual Fund</t>
        </is>
      </c>
      <c r="D13" s="82" t="inlineStr">
        <is>
          <t>Aggressive Hybrid Fund</t>
        </is>
      </c>
      <c r="E13" s="83" t="n">
        <v>1.63</v>
      </c>
      <c r="F13" s="83" t="n">
        <v>4.96</v>
      </c>
      <c r="G13" s="83" t="n">
        <v>0.5</v>
      </c>
      <c r="H13" s="83" t="n">
        <v>4.4</v>
      </c>
      <c r="I13" s="83" t="n">
        <v>3.585713300628468</v>
      </c>
      <c r="J13" s="83" t="n">
        <v>38.37</v>
      </c>
      <c r="K13" s="84" t="n">
        <v>61.5</v>
      </c>
      <c r="L13" s="17" t="n">
        <v>0</v>
      </c>
      <c r="M13" s="23" t="n">
        <v>33.8</v>
      </c>
      <c r="N13" s="85" t="inlineStr">
        <is>
          <t>📈 Good</t>
        </is>
      </c>
      <c r="O13" s="85" t="inlineStr">
        <is>
          <t>🔴 Not Qualified</t>
        </is>
      </c>
      <c r="P13" s="85" t="inlineStr">
        <is>
          <t>🔴 Avoid</t>
        </is>
      </c>
      <c r="Q13" s="69" t="inlineStr">
        <is>
          <t>FULL</t>
        </is>
      </c>
    </row>
    <row r="14" ht="16" customHeight="1">
      <c r="A14" s="77" t="n">
        <v>10</v>
      </c>
      <c r="B14" s="78" t="inlineStr">
        <is>
          <t>Edelweiss Aggressive Hybrid Fund- Plan B-Growth Option</t>
        </is>
      </c>
      <c r="C14" s="78" t="inlineStr">
        <is>
          <t>Edelweiss Mutual Fund</t>
        </is>
      </c>
      <c r="D14" s="78" t="inlineStr">
        <is>
          <t>Aggressive Hybrid Fund</t>
        </is>
      </c>
      <c r="E14" s="79" t="n">
        <v>1.66</v>
      </c>
      <c r="F14" s="79" t="n">
        <v>4.28</v>
      </c>
      <c r="G14" s="79" t="n">
        <v>1.34</v>
      </c>
      <c r="H14" s="79" t="n">
        <v>4.38</v>
      </c>
      <c r="I14" s="79" t="n">
        <v>3.764155660806101</v>
      </c>
      <c r="J14" s="79" t="n">
        <v>45.49</v>
      </c>
      <c r="K14" s="84" t="n">
        <v>60.6</v>
      </c>
      <c r="L14" s="17" t="n">
        <v>0</v>
      </c>
      <c r="M14" s="23" t="n">
        <v>33.3</v>
      </c>
      <c r="N14" s="80" t="inlineStr">
        <is>
          <t>📈 Good</t>
        </is>
      </c>
      <c r="O14" s="80" t="inlineStr">
        <is>
          <t>🔴 Not Qualified</t>
        </is>
      </c>
      <c r="P14" s="80" t="inlineStr">
        <is>
          <t>🔴 Avoid</t>
        </is>
      </c>
      <c r="Q14" s="69" t="inlineStr">
        <is>
          <t>FULL</t>
        </is>
      </c>
    </row>
    <row r="15" ht="16" customHeight="1">
      <c r="A15" s="81" t="n">
        <v>11</v>
      </c>
      <c r="B15" s="82" t="inlineStr">
        <is>
          <t>Edelweiss Aggressive Hybrid Fund - Regular Plan - Growth Option</t>
        </is>
      </c>
      <c r="C15" s="82" t="inlineStr">
        <is>
          <t>Edelweiss Mutual Fund</t>
        </is>
      </c>
      <c r="D15" s="82" t="inlineStr">
        <is>
          <t>Aggressive Hybrid Fund</t>
        </is>
      </c>
      <c r="E15" s="83" t="n">
        <v>1.66</v>
      </c>
      <c r="F15" s="83" t="n">
        <v>4.29</v>
      </c>
      <c r="G15" s="83" t="n">
        <v>1.33</v>
      </c>
      <c r="H15" s="83" t="n">
        <v>4.38</v>
      </c>
      <c r="I15" s="83" t="n">
        <v>3.754517973917637</v>
      </c>
      <c r="J15" s="83" t="n">
        <v>45.34</v>
      </c>
      <c r="K15" s="84" t="n">
        <v>60.2</v>
      </c>
      <c r="L15" s="17" t="n">
        <v>0</v>
      </c>
      <c r="M15" s="23" t="n">
        <v>33.1</v>
      </c>
      <c r="N15" s="85" t="inlineStr">
        <is>
          <t>📈 Good</t>
        </is>
      </c>
      <c r="O15" s="85" t="inlineStr">
        <is>
          <t>🔴 Not Qualified</t>
        </is>
      </c>
      <c r="P15" s="85" t="inlineStr">
        <is>
          <t>🔴 Avoid</t>
        </is>
      </c>
      <c r="Q15" s="69" t="inlineStr">
        <is>
          <t>FULL</t>
        </is>
      </c>
    </row>
    <row r="16" ht="16" customHeight="1">
      <c r="A16" s="77" t="n">
        <v>12</v>
      </c>
      <c r="B16" s="78" t="inlineStr">
        <is>
          <t>quant Aggressive Hybrid Fund - Growth Option - Regular Plan</t>
        </is>
      </c>
      <c r="C16" s="78" t="inlineStr">
        <is>
          <t>quant Mutual Fund</t>
        </is>
      </c>
      <c r="D16" s="78" t="inlineStr">
        <is>
          <t>Aggressive Hybrid Fund</t>
        </is>
      </c>
      <c r="E16" s="86" t="n">
        <v>-1.81</v>
      </c>
      <c r="F16" s="79" t="n">
        <v>3.24</v>
      </c>
      <c r="G16" s="79" t="n">
        <v>8.06</v>
      </c>
      <c r="H16" s="79" t="n">
        <v>11.91</v>
      </c>
      <c r="I16" s="79" t="n">
        <v>3.373110623604636</v>
      </c>
      <c r="J16" s="79" t="n">
        <v>44.36</v>
      </c>
      <c r="K16" s="84" t="n">
        <v>59.4</v>
      </c>
      <c r="L16" s="17" t="n">
        <v>0</v>
      </c>
      <c r="M16" s="23" t="n">
        <v>32.7</v>
      </c>
      <c r="N16" s="80" t="inlineStr">
        <is>
          <t>➡️ Neutral</t>
        </is>
      </c>
      <c r="O16" s="80" t="inlineStr">
        <is>
          <t>🔴 Not Qualified</t>
        </is>
      </c>
      <c r="P16" s="80" t="inlineStr">
        <is>
          <t>🔴 Avoid</t>
        </is>
      </c>
      <c r="Q16" s="69" t="inlineStr">
        <is>
          <t>FULL</t>
        </is>
      </c>
    </row>
    <row r="17" ht="16" customHeight="1">
      <c r="A17" s="81" t="n">
        <v>13</v>
      </c>
      <c r="B17" s="82" t="inlineStr">
        <is>
          <t>Aditya Birla Sun Life Equity Hybrid'95 Fund - Regular Plan-Growth</t>
        </is>
      </c>
      <c r="C17" s="82" t="inlineStr">
        <is>
          <t>Aditya Birla Sun Life Mutual Fund</t>
        </is>
      </c>
      <c r="D17" s="82" t="inlineStr">
        <is>
          <t>Aggressive Hybrid Fund</t>
        </is>
      </c>
      <c r="E17" s="83" t="n">
        <v>1.44</v>
      </c>
      <c r="F17" s="83" t="n">
        <v>6.13</v>
      </c>
      <c r="G17" s="83" t="n">
        <v>0.22</v>
      </c>
      <c r="H17" s="83" t="n">
        <v>3.9</v>
      </c>
      <c r="I17" s="83" t="n">
        <v>2.966013810383084</v>
      </c>
      <c r="J17" s="83" t="n">
        <v>36.33</v>
      </c>
      <c r="K17" s="84" t="n">
        <v>57.5</v>
      </c>
      <c r="L17" s="17" t="n">
        <v>0</v>
      </c>
      <c r="M17" s="23" t="n">
        <v>31.6</v>
      </c>
      <c r="N17" s="85" t="inlineStr">
        <is>
          <t>➡️ Neutral</t>
        </is>
      </c>
      <c r="O17" s="85" t="inlineStr">
        <is>
          <t>🔴 Not Qualified</t>
        </is>
      </c>
      <c r="P17" s="85" t="inlineStr">
        <is>
          <t>🔴 Avoid</t>
        </is>
      </c>
      <c r="Q17" s="69" t="inlineStr">
        <is>
          <t>FULL</t>
        </is>
      </c>
    </row>
    <row r="18" ht="16" customHeight="1">
      <c r="A18" s="77" t="n">
        <v>14</v>
      </c>
      <c r="B18" s="78" t="inlineStr">
        <is>
          <t>Axis Aggressive Hybrid Fund - Regular Plan - Growth Option</t>
        </is>
      </c>
      <c r="C18" s="78" t="inlineStr">
        <is>
          <t>Axis Mutual Fund</t>
        </is>
      </c>
      <c r="D18" s="78" t="inlineStr">
        <is>
          <t>Aggressive Hybrid Fund</t>
        </is>
      </c>
      <c r="E18" s="79" t="n">
        <v>1.2</v>
      </c>
      <c r="F18" s="79" t="n">
        <v>5.68</v>
      </c>
      <c r="G18" s="79" t="n">
        <v>0.62</v>
      </c>
      <c r="H18" s="79" t="n">
        <v>4.16</v>
      </c>
      <c r="I18" s="79" t="n">
        <v>2.825094213426316</v>
      </c>
      <c r="J18" s="79" t="n">
        <v>32.95</v>
      </c>
      <c r="K18" s="84" t="n">
        <v>57.3</v>
      </c>
      <c r="L18" s="17" t="n">
        <v>0</v>
      </c>
      <c r="M18" s="23" t="n">
        <v>31.5</v>
      </c>
      <c r="N18" s="80" t="inlineStr">
        <is>
          <t>➡️ Neutral</t>
        </is>
      </c>
      <c r="O18" s="80" t="inlineStr">
        <is>
          <t>🔴 Not Qualified</t>
        </is>
      </c>
      <c r="P18" s="80" t="inlineStr">
        <is>
          <t>🔴 Avoid</t>
        </is>
      </c>
      <c r="Q18" s="69" t="inlineStr">
        <is>
          <t>FULL</t>
        </is>
      </c>
    </row>
    <row r="19" ht="16" customHeight="1">
      <c r="A19" s="81" t="n">
        <v>15</v>
      </c>
      <c r="B19" s="82" t="inlineStr">
        <is>
          <t>Nippon India Aggressive Hybrid Fund - Growth Plan</t>
        </is>
      </c>
      <c r="C19" s="82" t="inlineStr">
        <is>
          <t>Nippon India Mutual Fund</t>
        </is>
      </c>
      <c r="D19" s="82" t="inlineStr">
        <is>
          <t>Aggressive Hybrid Fund</t>
        </is>
      </c>
      <c r="E19" s="83" t="n">
        <v>1.22</v>
      </c>
      <c r="F19" s="83" t="n">
        <v>4.95</v>
      </c>
      <c r="G19" s="83" t="n">
        <v>0.14</v>
      </c>
      <c r="H19" s="83" t="n">
        <v>4.4</v>
      </c>
      <c r="I19" s="83" t="n">
        <v>3.730419839119525</v>
      </c>
      <c r="J19" s="83" t="n">
        <v>39.25</v>
      </c>
      <c r="K19" s="84" t="n">
        <v>53.5</v>
      </c>
      <c r="L19" s="17" t="n">
        <v>0</v>
      </c>
      <c r="M19" s="23" t="n">
        <v>29.4</v>
      </c>
      <c r="N19" s="85" t="inlineStr">
        <is>
          <t>➡️ Neutral</t>
        </is>
      </c>
      <c r="O19" s="85" t="inlineStr">
        <is>
          <t>🔴 Not Qualified</t>
        </is>
      </c>
      <c r="P19" s="85" t="inlineStr">
        <is>
          <t>🔴 Avoid</t>
        </is>
      </c>
      <c r="Q19" s="69" t="inlineStr">
        <is>
          <t>FULL</t>
        </is>
      </c>
    </row>
    <row r="20" ht="16" customHeight="1">
      <c r="A20" s="77" t="n">
        <v>16</v>
      </c>
      <c r="B20" s="78" t="inlineStr">
        <is>
          <t>Sundaram Aggressive Hybrid Fund (Formerly Known as Principal Hybrid Equity Fund)-Growth</t>
        </is>
      </c>
      <c r="C20" s="78" t="inlineStr">
        <is>
          <t>Sundaram Mutual Fund</t>
        </is>
      </c>
      <c r="D20" s="78" t="inlineStr">
        <is>
          <t>Aggressive Hybrid Fund</t>
        </is>
      </c>
      <c r="E20" s="79" t="n">
        <v>1.92</v>
      </c>
      <c r="F20" s="79" t="n">
        <v>4.69</v>
      </c>
      <c r="G20" s="86" t="n">
        <v>-1.23</v>
      </c>
      <c r="H20" s="79" t="n">
        <v>1.85</v>
      </c>
      <c r="I20" s="79" t="n">
        <v>1.749692874229347</v>
      </c>
      <c r="J20" s="79" t="n">
        <v>32.47</v>
      </c>
      <c r="K20" s="87" t="n">
        <v>44</v>
      </c>
      <c r="L20" s="17" t="n">
        <v>0</v>
      </c>
      <c r="M20" s="23" t="n">
        <v>24.2</v>
      </c>
      <c r="N20" s="80" t="inlineStr">
        <is>
          <t>➡️ Neutral</t>
        </is>
      </c>
      <c r="O20" s="80" t="inlineStr">
        <is>
          <t>🔴 Not Qualified</t>
        </is>
      </c>
      <c r="P20" s="80" t="inlineStr">
        <is>
          <t>🔴 Avoid</t>
        </is>
      </c>
      <c r="Q20" s="69" t="inlineStr">
        <is>
          <t>FULL</t>
        </is>
      </c>
    </row>
    <row r="21" ht="16" customHeight="1">
      <c r="A21" s="81" t="n">
        <v>17</v>
      </c>
      <c r="B21" s="82" t="inlineStr">
        <is>
          <t>Mirae Asset Aggressive Hybrid Fund - Regular Plan - Growth</t>
        </is>
      </c>
      <c r="C21" s="82" t="inlineStr">
        <is>
          <t>Mirae Asset Mutual Fund</t>
        </is>
      </c>
      <c r="D21" s="82" t="inlineStr">
        <is>
          <t>Aggressive Hybrid Fund</t>
        </is>
      </c>
      <c r="E21" s="83" t="n">
        <v>0.65</v>
      </c>
      <c r="F21" s="83" t="n">
        <v>3.82</v>
      </c>
      <c r="G21" s="88" t="n">
        <v>-0.42</v>
      </c>
      <c r="H21" s="83" t="n">
        <v>5.35</v>
      </c>
      <c r="I21" s="83" t="n">
        <v>3.980767452447664</v>
      </c>
      <c r="J21" s="83" t="n">
        <v>36.73</v>
      </c>
      <c r="K21" s="87" t="n">
        <v>42.1</v>
      </c>
      <c r="L21" s="17" t="n">
        <v>0</v>
      </c>
      <c r="M21" s="23" t="n">
        <v>23.2</v>
      </c>
      <c r="N21" s="85" t="inlineStr">
        <is>
          <t>➡️ Neutral</t>
        </is>
      </c>
      <c r="O21" s="85" t="inlineStr">
        <is>
          <t>🔴 Not Qualified</t>
        </is>
      </c>
      <c r="P21" s="85" t="inlineStr">
        <is>
          <t>🔴 Avoid</t>
        </is>
      </c>
      <c r="Q21" s="69" t="inlineStr">
        <is>
          <t>FULL</t>
        </is>
      </c>
    </row>
    <row r="22" ht="16" customHeight="1">
      <c r="A22" s="77" t="n">
        <v>18</v>
      </c>
      <c r="B22" s="78" t="inlineStr">
        <is>
          <t>Tata Aggressive Hybrid Fund- Regular Plan - Growth Option</t>
        </is>
      </c>
      <c r="C22" s="78" t="inlineStr">
        <is>
          <t>Tata Mutual Fund</t>
        </is>
      </c>
      <c r="D22" s="78" t="inlineStr">
        <is>
          <t>Aggressive Hybrid Fund</t>
        </is>
      </c>
      <c r="E22" s="79" t="n">
        <v>0.64</v>
      </c>
      <c r="F22" s="79" t="n">
        <v>5.52</v>
      </c>
      <c r="G22" s="86" t="n">
        <v>-0.84</v>
      </c>
      <c r="H22" s="79" t="n">
        <v>3.72</v>
      </c>
      <c r="I22" s="79" t="n">
        <v>0.9504829111777857</v>
      </c>
      <c r="J22" s="79" t="n">
        <v>28.72</v>
      </c>
      <c r="K22" s="87" t="n">
        <v>39.6</v>
      </c>
      <c r="L22" s="17" t="n">
        <v>0</v>
      </c>
      <c r="M22" s="23" t="n">
        <v>21.8</v>
      </c>
      <c r="N22" s="80" t="inlineStr">
        <is>
          <t>📉 Weak</t>
        </is>
      </c>
      <c r="O22" s="80" t="inlineStr">
        <is>
          <t>🔴 Not Qualified</t>
        </is>
      </c>
      <c r="P22" s="80" t="inlineStr">
        <is>
          <t>🔴 Avoid</t>
        </is>
      </c>
      <c r="Q22" s="69" t="inlineStr">
        <is>
          <t>FULL</t>
        </is>
      </c>
    </row>
    <row r="23" ht="16" customHeight="1">
      <c r="A23" s="81" t="n">
        <v>19</v>
      </c>
      <c r="B23" s="82" t="inlineStr">
        <is>
          <t>Baroda BNP Paribas Aggressive Hybrid Fund- REGULAT PLAN -GROWTH OPTION</t>
        </is>
      </c>
      <c r="C23" s="82" t="inlineStr">
        <is>
          <t>Baroda BNP Paribas Mutual Fund</t>
        </is>
      </c>
      <c r="D23" s="82" t="inlineStr">
        <is>
          <t>Aggressive Hybrid Fund</t>
        </is>
      </c>
      <c r="E23" s="83" t="n">
        <v>1.24</v>
      </c>
      <c r="F23" s="83" t="n">
        <v>3.4</v>
      </c>
      <c r="G23" s="83" t="n">
        <v>0.35</v>
      </c>
      <c r="H23" s="83" t="n">
        <v>3.07</v>
      </c>
      <c r="I23" s="83" t="n">
        <v>1.700540804855111</v>
      </c>
      <c r="J23" s="83" t="n">
        <v>36.84</v>
      </c>
      <c r="K23" s="87" t="n">
        <v>38.8</v>
      </c>
      <c r="L23" s="17" t="n">
        <v>0</v>
      </c>
      <c r="M23" s="23" t="n">
        <v>21.4</v>
      </c>
      <c r="N23" s="85" t="inlineStr">
        <is>
          <t>📉 Weak</t>
        </is>
      </c>
      <c r="O23" s="85" t="inlineStr">
        <is>
          <t>🔴 Not Qualified</t>
        </is>
      </c>
      <c r="P23" s="85" t="inlineStr">
        <is>
          <t>🔴 Avoid</t>
        </is>
      </c>
      <c r="Q23" s="69" t="inlineStr">
        <is>
          <t>FULL</t>
        </is>
      </c>
    </row>
    <row r="24" ht="16" customHeight="1">
      <c r="A24" s="77" t="n">
        <v>20</v>
      </c>
      <c r="B24" s="78" t="inlineStr">
        <is>
          <t>Shriram Aggressive Hybrid Fund- Regular Growth</t>
        </is>
      </c>
      <c r="C24" s="78" t="inlineStr">
        <is>
          <t>Shriram Mutual Fund</t>
        </is>
      </c>
      <c r="D24" s="78" t="inlineStr">
        <is>
          <t>Aggressive Hybrid Fund</t>
        </is>
      </c>
      <c r="E24" s="79" t="n">
        <v>0.87</v>
      </c>
      <c r="F24" s="79" t="n">
        <v>3.59</v>
      </c>
      <c r="G24" s="86" t="n">
        <v>-0.3</v>
      </c>
      <c r="H24" s="79" t="n">
        <v>3.31</v>
      </c>
      <c r="I24" s="86" t="n">
        <v>-0.9697016060236208</v>
      </c>
      <c r="J24" s="79" t="n">
        <v>30.19</v>
      </c>
      <c r="K24" s="87" t="n">
        <v>35.8</v>
      </c>
      <c r="L24" s="17" t="n">
        <v>0</v>
      </c>
      <c r="M24" s="23" t="n">
        <v>19.7</v>
      </c>
      <c r="N24" s="80" t="inlineStr">
        <is>
          <t>📉 Weak</t>
        </is>
      </c>
      <c r="O24" s="80" t="inlineStr">
        <is>
          <t>🔴 Not Qualified</t>
        </is>
      </c>
      <c r="P24" s="80" t="inlineStr">
        <is>
          <t>🔴 Avoid</t>
        </is>
      </c>
      <c r="Q24" s="69" t="inlineStr">
        <is>
          <t>FULL</t>
        </is>
      </c>
    </row>
    <row r="25" ht="16" customHeight="1">
      <c r="A25" s="81" t="n">
        <v>21</v>
      </c>
      <c r="B25" s="82" t="inlineStr">
        <is>
          <t>PGIM India Aggressive Hybrid Equity Fund - Growth Option</t>
        </is>
      </c>
      <c r="C25" s="82" t="inlineStr">
        <is>
          <t>PGIM India Mutual Fund</t>
        </is>
      </c>
      <c r="D25" s="82" t="inlineStr">
        <is>
          <t>Aggressive Hybrid Fund</t>
        </is>
      </c>
      <c r="E25" s="83" t="n">
        <v>0.42</v>
      </c>
      <c r="F25" s="83" t="n">
        <v>4.18</v>
      </c>
      <c r="G25" s="83" t="n">
        <v>0.78</v>
      </c>
      <c r="H25" s="83" t="n">
        <v>0.37</v>
      </c>
      <c r="I25" s="83" t="n">
        <v>2.664502141684788</v>
      </c>
      <c r="J25" s="83" t="n">
        <v>28.22</v>
      </c>
      <c r="K25" s="87" t="n">
        <v>33.7</v>
      </c>
      <c r="L25" s="17" t="n">
        <v>0</v>
      </c>
      <c r="M25" s="23" t="n">
        <v>18.5</v>
      </c>
      <c r="N25" s="85" t="inlineStr">
        <is>
          <t>📉 Weak</t>
        </is>
      </c>
      <c r="O25" s="85" t="inlineStr">
        <is>
          <t>🔴 Not Qualified</t>
        </is>
      </c>
      <c r="P25" s="85" t="inlineStr">
        <is>
          <t>🔴 Avoid</t>
        </is>
      </c>
      <c r="Q25" s="69" t="inlineStr">
        <is>
          <t>FULL</t>
        </is>
      </c>
    </row>
    <row r="26" ht="16" customHeight="1">
      <c r="A26" s="77" t="n">
        <v>22</v>
      </c>
      <c r="B26" s="78" t="inlineStr">
        <is>
          <t>ICICI Prudential Equity &amp; Debt Fund - Growth</t>
        </is>
      </c>
      <c r="C26" s="78" t="inlineStr">
        <is>
          <t>ICICI Prudential Mutual Fund</t>
        </is>
      </c>
      <c r="D26" s="78" t="inlineStr">
        <is>
          <t>Aggressive Hybrid Fund</t>
        </is>
      </c>
      <c r="E26" s="79" t="n">
        <v>0.02</v>
      </c>
      <c r="F26" s="79" t="n">
        <v>3.41</v>
      </c>
      <c r="G26" s="86" t="n">
        <v>-0.79</v>
      </c>
      <c r="H26" s="79" t="n">
        <v>4.57</v>
      </c>
      <c r="I26" s="79" t="n">
        <v>4.866581902911271</v>
      </c>
      <c r="J26" s="79" t="n">
        <v>50.6</v>
      </c>
      <c r="K26" s="87" t="n">
        <v>31.9</v>
      </c>
      <c r="L26" s="17" t="n">
        <v>0</v>
      </c>
      <c r="M26" s="23" t="n">
        <v>17.6</v>
      </c>
      <c r="N26" s="80" t="inlineStr">
        <is>
          <t>📉 Weak</t>
        </is>
      </c>
      <c r="O26" s="80" t="inlineStr">
        <is>
          <t>🔴 Not Qualified</t>
        </is>
      </c>
      <c r="P26" s="80" t="inlineStr">
        <is>
          <t>🔴 Avoid</t>
        </is>
      </c>
      <c r="Q26" s="69" t="inlineStr">
        <is>
          <t>FULL</t>
        </is>
      </c>
    </row>
    <row r="27" ht="16" customHeight="1">
      <c r="A27" s="81" t="n">
        <v>23</v>
      </c>
      <c r="B27" s="82" t="inlineStr">
        <is>
          <t>Franklin India Aggressive Hybrid Fund - Growth Plan</t>
        </is>
      </c>
      <c r="C27" s="82" t="inlineStr">
        <is>
          <t>Franklin Templeton Mutual Fund</t>
        </is>
      </c>
      <c r="D27" s="82" t="inlineStr">
        <is>
          <t>Aggressive Hybrid Fund</t>
        </is>
      </c>
      <c r="E27" s="83" t="n">
        <v>0.58</v>
      </c>
      <c r="F27" s="83" t="n">
        <v>4.52</v>
      </c>
      <c r="G27" s="88" t="n">
        <v>-1.4</v>
      </c>
      <c r="H27" s="83" t="n">
        <v>0.77</v>
      </c>
      <c r="I27" s="83" t="n">
        <v>1.405128075457807</v>
      </c>
      <c r="J27" s="83" t="n">
        <v>35.16</v>
      </c>
      <c r="K27" s="87" t="n">
        <v>26</v>
      </c>
      <c r="L27" s="17" t="n">
        <v>0</v>
      </c>
      <c r="M27" s="23" t="n">
        <v>14.3</v>
      </c>
      <c r="N27" s="85" t="inlineStr">
        <is>
          <t>📉 Weak</t>
        </is>
      </c>
      <c r="O27" s="85" t="inlineStr">
        <is>
          <t>🔴 Not Qualified</t>
        </is>
      </c>
      <c r="P27" s="85" t="inlineStr">
        <is>
          <t>🔴 Avoid</t>
        </is>
      </c>
      <c r="Q27" s="69" t="inlineStr">
        <is>
          <t>FULL</t>
        </is>
      </c>
    </row>
    <row r="28" ht="16" customHeight="1">
      <c r="A28" s="77" t="n">
        <v>24</v>
      </c>
      <c r="B28" s="78" t="inlineStr">
        <is>
          <t>UTI Aggressive Hybrid Fund - Regular Plan - Growth</t>
        </is>
      </c>
      <c r="C28" s="78" t="inlineStr">
        <is>
          <t>UTI Mutual Fund</t>
        </is>
      </c>
      <c r="D28" s="78" t="inlineStr">
        <is>
          <t>Aggressive Hybrid Fund</t>
        </is>
      </c>
      <c r="E28" s="79" t="n">
        <v>0.65</v>
      </c>
      <c r="F28" s="79" t="n">
        <v>3.5</v>
      </c>
      <c r="G28" s="86" t="n">
        <v>-1.45</v>
      </c>
      <c r="H28" s="79" t="n">
        <v>3.21</v>
      </c>
      <c r="I28" s="79" t="n">
        <v>2.269252466222715</v>
      </c>
      <c r="J28" s="79" t="n">
        <v>39.93</v>
      </c>
      <c r="K28" s="87" t="n">
        <v>24.2</v>
      </c>
      <c r="L28" s="17" t="n">
        <v>0</v>
      </c>
      <c r="M28" s="23" t="n">
        <v>13.3</v>
      </c>
      <c r="N28" s="80" t="inlineStr">
        <is>
          <t>📉 Weak</t>
        </is>
      </c>
      <c r="O28" s="80" t="inlineStr">
        <is>
          <t>🔴 Not Qualified</t>
        </is>
      </c>
      <c r="P28" s="80" t="inlineStr">
        <is>
          <t>🔴 Avoid</t>
        </is>
      </c>
      <c r="Q28" s="69" t="inlineStr">
        <is>
          <t>FULL</t>
        </is>
      </c>
    </row>
    <row r="29" ht="16" customHeight="1">
      <c r="A29" s="81" t="n">
        <v>25</v>
      </c>
      <c r="B29" s="82" t="inlineStr">
        <is>
          <t>HDFC Hybrid Equity Fund - Growth Plan</t>
        </is>
      </c>
      <c r="C29" s="82" t="inlineStr">
        <is>
          <t>HDFC Mutual Fund</t>
        </is>
      </c>
      <c r="D29" s="82" t="inlineStr">
        <is>
          <t>Aggressive Hybrid Fund</t>
        </is>
      </c>
      <c r="E29" s="83" t="n">
        <v>0.11</v>
      </c>
      <c r="F29" s="83" t="n">
        <v>4.59</v>
      </c>
      <c r="G29" s="88" t="n">
        <v>-4.01</v>
      </c>
      <c r="H29" s="88" t="n">
        <v>-2.03</v>
      </c>
      <c r="I29" s="83" t="n">
        <v>0.3942229413625098</v>
      </c>
      <c r="J29" s="83" t="n">
        <v>23.34</v>
      </c>
      <c r="K29" s="87" t="n">
        <v>17.5</v>
      </c>
      <c r="L29" s="17" t="n">
        <v>0</v>
      </c>
      <c r="M29" s="23" t="n">
        <v>9.6</v>
      </c>
      <c r="N29" s="85" t="inlineStr">
        <is>
          <t>📉 Weak</t>
        </is>
      </c>
      <c r="O29" s="85" t="inlineStr">
        <is>
          <t>🔴 Not Qualified</t>
        </is>
      </c>
      <c r="P29" s="85" t="inlineStr">
        <is>
          <t>🔴 Avoid</t>
        </is>
      </c>
      <c r="Q29" s="69" t="inlineStr">
        <is>
          <t>FULL</t>
        </is>
      </c>
    </row>
    <row r="30" ht="16" customHeight="1">
      <c r="A30" s="77" t="n">
        <v>26</v>
      </c>
      <c r="B30" s="78" t="inlineStr">
        <is>
          <t>DSP Aggressive Hybrid Fund- Regular Plan - Growth</t>
        </is>
      </c>
      <c r="C30" s="78" t="inlineStr">
        <is>
          <t>DSP Mutual Fund</t>
        </is>
      </c>
      <c r="D30" s="78" t="inlineStr">
        <is>
          <t>Aggressive Hybrid Fund</t>
        </is>
      </c>
      <c r="E30" s="86" t="n">
        <v>-0.92</v>
      </c>
      <c r="F30" s="79" t="n">
        <v>1.97</v>
      </c>
      <c r="G30" s="86" t="n">
        <v>-3.04</v>
      </c>
      <c r="H30" s="86" t="n">
        <v>-1.2</v>
      </c>
      <c r="I30" s="79" t="n">
        <v>1.843016451792123</v>
      </c>
      <c r="J30" s="79" t="n">
        <v>34.97</v>
      </c>
      <c r="K30" s="87" t="n">
        <v>7.7</v>
      </c>
      <c r="L30" s="17" t="n">
        <v>0</v>
      </c>
      <c r="M30" s="23" t="n">
        <v>4.2</v>
      </c>
      <c r="N30" s="80" t="inlineStr">
        <is>
          <t>📉 Weak</t>
        </is>
      </c>
      <c r="O30" s="80" t="inlineStr">
        <is>
          <t>🔴 Not Qualified</t>
        </is>
      </c>
      <c r="P30" s="80" t="inlineStr">
        <is>
          <t>🔴 Avoid</t>
        </is>
      </c>
      <c r="Q30" s="69" t="inlineStr">
        <is>
          <t>FULL</t>
        </is>
      </c>
    </row>
    <row r="31" ht="16" customHeight="1">
      <c r="A31" s="81" t="n">
        <v>27</v>
      </c>
      <c r="B31" s="82" t="inlineStr">
        <is>
          <t>Sundaram Aggressive Hybrid Fund (Formerly Known as Principal Hybrid Equity Fund)- Monthly Income Distribution CUM Capital Withdrawal</t>
        </is>
      </c>
      <c r="C31" s="82" t="inlineStr">
        <is>
          <t>Sundaram Mutual Fund</t>
        </is>
      </c>
      <c r="D31" s="82" t="inlineStr">
        <is>
          <t>Aggressive Hybrid Fund</t>
        </is>
      </c>
      <c r="E31" s="83" t="n">
        <v>0.22</v>
      </c>
      <c r="F31" s="83" t="n">
        <v>2.08</v>
      </c>
      <c r="G31" s="88" t="n">
        <v>-6.55</v>
      </c>
      <c r="H31" s="88" t="n">
        <v>-9.59</v>
      </c>
      <c r="I31" s="88" t="n">
        <v>-9.04396666520686</v>
      </c>
      <c r="J31" s="88" t="n">
        <v>-4.13</v>
      </c>
      <c r="K31" s="87" t="n">
        <v>7.1</v>
      </c>
      <c r="L31" s="17" t="n">
        <v>0</v>
      </c>
      <c r="M31" s="23" t="n">
        <v>3.9</v>
      </c>
      <c r="N31" s="85" t="inlineStr">
        <is>
          <t>📉 Weak</t>
        </is>
      </c>
      <c r="O31" s="85" t="inlineStr">
        <is>
          <t>🔴 Not Qualified</t>
        </is>
      </c>
      <c r="P31" s="85" t="inlineStr">
        <is>
          <t>🔴 Avoid</t>
        </is>
      </c>
      <c r="Q31" s="69" t="inlineStr">
        <is>
          <t>FULL</t>
        </is>
      </c>
    </row>
    <row r="32" ht="16" customHeight="1">
      <c r="A32" s="89" t="n">
        <v>0</v>
      </c>
      <c r="B32" s="90" t="inlineStr">
        <is>
          <t>Nippon India Aggressive Hybrid Fund - Segregated Portfolio 2 - Growth Plan</t>
        </is>
      </c>
      <c r="C32" s="90" t="inlineStr">
        <is>
          <t>Nippon India Mutual Fund</t>
        </is>
      </c>
      <c r="D32" s="90" t="inlineStr">
        <is>
          <t>Aggressive Hybrid Fund</t>
        </is>
      </c>
      <c r="E32" s="91" t="n">
        <v>0</v>
      </c>
      <c r="F32" s="91" t="n">
        <v>0</v>
      </c>
      <c r="G32" s="91" t="n">
        <v>0</v>
      </c>
      <c r="H32" s="91" t="n">
        <v>0</v>
      </c>
      <c r="I32" s="91" t="n">
        <v>0</v>
      </c>
      <c r="J32" s="91" t="n">
        <v>0</v>
      </c>
      <c r="K32" s="87" t="n">
        <v>0</v>
      </c>
      <c r="L32" s="17" t="n">
        <v>0</v>
      </c>
      <c r="M32" s="23" t="n">
        <v>0</v>
      </c>
      <c r="N32" s="92" t="inlineStr">
        <is>
          <t>❌ N/A</t>
        </is>
      </c>
      <c r="O32" s="92" t="inlineStr">
        <is>
          <t>❌ N/A</t>
        </is>
      </c>
      <c r="P32" s="92" t="inlineStr">
        <is>
          <t>❌ Missing Data</t>
        </is>
      </c>
      <c r="Q32" s="93" t="inlineStr">
        <is>
          <t>MISSING</t>
        </is>
      </c>
    </row>
  </sheetData>
  <autoFilter ref="A4:Q32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ARBITRAGE FUND  ✦</t>
        </is>
      </c>
    </row>
    <row r="2" ht="16" customHeight="1">
      <c r="A2" s="2">
        <f>"Dual Engine: 55% Momentum + 45% Quality | ✅ Full: "&amp;COUNTIF(Q5:Q38,"FULL")&amp;" | ⚠️ Momentum: "&amp;COUNTIF(Q5:Q38,"MOMENTUM_ONLY")&amp;" | ❌ Missing: "&amp;COUNTIF(Q5:Q38,"MISSING")&amp;" | Total: "&amp;COUNTA(B5:B38)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25" t="n">
        <v>1</v>
      </c>
      <c r="B5" s="26" t="inlineStr">
        <is>
          <t>quant Arbitrage Fund - Growth Option - Regular Plan</t>
        </is>
      </c>
      <c r="C5" s="26" t="inlineStr">
        <is>
          <t>quant Mutual Fund</t>
        </is>
      </c>
      <c r="D5" s="26" t="inlineStr">
        <is>
          <t>Arbitrage Fund</t>
        </is>
      </c>
      <c r="E5" s="27" t="n">
        <v>0.44</v>
      </c>
      <c r="F5" s="27" t="n">
        <v>1.63</v>
      </c>
      <c r="G5" s="27" t="n">
        <v>3.35</v>
      </c>
      <c r="H5" s="27" t="n">
        <v>6.85</v>
      </c>
      <c r="I5" s="27" t="n">
        <v>0</v>
      </c>
      <c r="J5" s="27" t="n">
        <v>0</v>
      </c>
      <c r="K5" s="16" t="n">
        <v>100</v>
      </c>
      <c r="L5" s="17" t="n">
        <v>0</v>
      </c>
      <c r="M5" s="18" t="n">
        <v>55</v>
      </c>
      <c r="N5" s="94" t="inlineStr">
        <is>
          <t>🔥 Hot</t>
        </is>
      </c>
      <c r="O5" s="94" t="inlineStr">
        <is>
          <t>⏳ New Fund</t>
        </is>
      </c>
      <c r="P5" s="94" t="inlineStr">
        <is>
          <t>🔥 Hot Momentum</t>
        </is>
      </c>
      <c r="Q5" s="95" t="inlineStr">
        <is>
          <t>MOMENTUM_ONLY</t>
        </is>
      </c>
    </row>
    <row r="6" ht="16" customHeight="1">
      <c r="A6" s="25" t="n">
        <v>2</v>
      </c>
      <c r="B6" s="26" t="inlineStr">
        <is>
          <t>Franklin India Arbitrage Fund - Growth</t>
        </is>
      </c>
      <c r="C6" s="26" t="inlineStr">
        <is>
          <t>Franklin Templeton Mutual Fund</t>
        </is>
      </c>
      <c r="D6" s="26" t="inlineStr">
        <is>
          <t>Arbitrage Fund</t>
        </is>
      </c>
      <c r="E6" s="27" t="n">
        <v>0.44</v>
      </c>
      <c r="F6" s="27" t="n">
        <v>1.5</v>
      </c>
      <c r="G6" s="27" t="n">
        <v>2.99</v>
      </c>
      <c r="H6" s="27" t="n">
        <v>6.13</v>
      </c>
      <c r="I6" s="27" t="n">
        <v>0</v>
      </c>
      <c r="J6" s="27" t="n">
        <v>0</v>
      </c>
      <c r="K6" s="16" t="n">
        <v>95.8</v>
      </c>
      <c r="L6" s="17" t="n">
        <v>0</v>
      </c>
      <c r="M6" s="18" t="n">
        <v>52.7</v>
      </c>
      <c r="N6" s="94" t="inlineStr">
        <is>
          <t>🔥 Hot</t>
        </is>
      </c>
      <c r="O6" s="94" t="inlineStr">
        <is>
          <t>⏳ New Fund</t>
        </is>
      </c>
      <c r="P6" s="94" t="inlineStr">
        <is>
          <t>🔥 Hot Momentum</t>
        </is>
      </c>
      <c r="Q6" s="95" t="inlineStr">
        <is>
          <t>MOMENTUM_ONLY</t>
        </is>
      </c>
    </row>
    <row r="7" ht="16" customHeight="1">
      <c r="A7" s="74" t="n">
        <v>3</v>
      </c>
      <c r="B7" s="75" t="inlineStr">
        <is>
          <t>Kotak Arbitrage Fund - Regular Plan - Growth</t>
        </is>
      </c>
      <c r="C7" s="75" t="inlineStr">
        <is>
          <t>Kotak Mahindra Mutual Fund</t>
        </is>
      </c>
      <c r="D7" s="75" t="inlineStr">
        <is>
          <t>Arbitrage Fund</t>
        </is>
      </c>
      <c r="E7" s="76" t="n">
        <v>0.44</v>
      </c>
      <c r="F7" s="76" t="n">
        <v>1.48</v>
      </c>
      <c r="G7" s="76" t="n">
        <v>2.9</v>
      </c>
      <c r="H7" s="76" t="n">
        <v>5.97</v>
      </c>
      <c r="I7" s="76" t="n">
        <v>6.414284755384236</v>
      </c>
      <c r="J7" s="76" t="n">
        <v>22.17</v>
      </c>
      <c r="K7" s="16" t="n">
        <v>88.3</v>
      </c>
      <c r="L7" s="17" t="n">
        <v>0</v>
      </c>
      <c r="M7" s="23" t="n">
        <v>48.6</v>
      </c>
      <c r="N7" s="24" t="inlineStr">
        <is>
          <t>⭐ Strong</t>
        </is>
      </c>
      <c r="O7" s="24" t="inlineStr">
        <is>
          <t>🔴 Not Qualified</t>
        </is>
      </c>
      <c r="P7" s="24" t="inlineStr">
        <is>
          <t>⚠️ Watch</t>
        </is>
      </c>
      <c r="Q7" s="69" t="inlineStr">
        <is>
          <t>FULL</t>
        </is>
      </c>
    </row>
    <row r="8" ht="16" customHeight="1">
      <c r="A8" s="77" t="n">
        <v>4</v>
      </c>
      <c r="B8" s="78" t="inlineStr">
        <is>
          <t>Union Arbitrage Fund - Regular Plan - Growth Option</t>
        </is>
      </c>
      <c r="C8" s="78" t="inlineStr">
        <is>
          <t>Union Mutual Fund</t>
        </is>
      </c>
      <c r="D8" s="78" t="inlineStr">
        <is>
          <t>Arbitrage Fund</t>
        </is>
      </c>
      <c r="E8" s="79" t="n">
        <v>0.49</v>
      </c>
      <c r="F8" s="79" t="n">
        <v>1.52</v>
      </c>
      <c r="G8" s="79" t="n">
        <v>2.91</v>
      </c>
      <c r="H8" s="79" t="n">
        <v>5.81</v>
      </c>
      <c r="I8" s="79" t="n">
        <v>6.146125694723303</v>
      </c>
      <c r="J8" s="79" t="n">
        <v>21.22</v>
      </c>
      <c r="K8" s="16" t="n">
        <v>85.90000000000001</v>
      </c>
      <c r="L8" s="17" t="n">
        <v>0</v>
      </c>
      <c r="M8" s="23" t="n">
        <v>47.3</v>
      </c>
      <c r="N8" s="80" t="inlineStr">
        <is>
          <t>⭐ Strong</t>
        </is>
      </c>
      <c r="O8" s="80" t="inlineStr">
        <is>
          <t>🔴 Not Qualified</t>
        </is>
      </c>
      <c r="P8" s="80" t="inlineStr">
        <is>
          <t>⚠️ Watch</t>
        </is>
      </c>
      <c r="Q8" s="69" t="inlineStr">
        <is>
          <t>FULL</t>
        </is>
      </c>
    </row>
    <row r="9" ht="16" customHeight="1">
      <c r="A9" s="25" t="n">
        <v>5</v>
      </c>
      <c r="B9" s="26" t="inlineStr">
        <is>
          <t>WhiteOak Capital Arbitrage Fund Regular Plan Growth</t>
        </is>
      </c>
      <c r="C9" s="26" t="inlineStr">
        <is>
          <t>WhiteOak Capital Mutual Fund</t>
        </is>
      </c>
      <c r="D9" s="26" t="inlineStr">
        <is>
          <t>Arbitrage Fund</t>
        </is>
      </c>
      <c r="E9" s="27" t="n">
        <v>0.39</v>
      </c>
      <c r="F9" s="27" t="n">
        <v>1.54</v>
      </c>
      <c r="G9" s="27" t="n">
        <v>3.08</v>
      </c>
      <c r="H9" s="27" t="n">
        <v>6.22</v>
      </c>
      <c r="I9" s="27" t="n">
        <v>0</v>
      </c>
      <c r="J9" s="27" t="n">
        <v>0</v>
      </c>
      <c r="K9" s="16" t="n">
        <v>83.09999999999999</v>
      </c>
      <c r="L9" s="17" t="n">
        <v>0</v>
      </c>
      <c r="M9" s="23" t="n">
        <v>45.7</v>
      </c>
      <c r="N9" s="94" t="inlineStr">
        <is>
          <t>⭐ Strong</t>
        </is>
      </c>
      <c r="O9" s="94" t="inlineStr">
        <is>
          <t>⏳ New Fund</t>
        </is>
      </c>
      <c r="P9" s="94" t="inlineStr">
        <is>
          <t>🔥 Hot Momentum</t>
        </is>
      </c>
      <c r="Q9" s="95" t="inlineStr">
        <is>
          <t>MOMENTUM_ONLY</t>
        </is>
      </c>
    </row>
    <row r="10" ht="16" customHeight="1">
      <c r="A10" s="77" t="n">
        <v>6</v>
      </c>
      <c r="B10" s="78" t="inlineStr">
        <is>
          <t>ICICI Prudential Arbitrage Fund - Growth</t>
        </is>
      </c>
      <c r="C10" s="78" t="inlineStr">
        <is>
          <t>ICICI Prudential Mutual Fund</t>
        </is>
      </c>
      <c r="D10" s="78" t="inlineStr">
        <is>
          <t>Arbitrage Fund</t>
        </is>
      </c>
      <c r="E10" s="79" t="n">
        <v>0.43</v>
      </c>
      <c r="F10" s="79" t="n">
        <v>1.46</v>
      </c>
      <c r="G10" s="79" t="n">
        <v>2.9</v>
      </c>
      <c r="H10" s="79" t="n">
        <v>5.94</v>
      </c>
      <c r="I10" s="79" t="n">
        <v>6.414284755384236</v>
      </c>
      <c r="J10" s="79" t="n">
        <v>21.81</v>
      </c>
      <c r="K10" s="16" t="n">
        <v>82.5</v>
      </c>
      <c r="L10" s="17" t="n">
        <v>0</v>
      </c>
      <c r="M10" s="23" t="n">
        <v>45.4</v>
      </c>
      <c r="N10" s="80" t="inlineStr">
        <is>
          <t>⭐ Strong</t>
        </is>
      </c>
      <c r="O10" s="80" t="inlineStr">
        <is>
          <t>🔴 Not Qualified</t>
        </is>
      </c>
      <c r="P10" s="80" t="inlineStr">
        <is>
          <t>⚠️ Watch</t>
        </is>
      </c>
      <c r="Q10" s="69" t="inlineStr">
        <is>
          <t>FULL</t>
        </is>
      </c>
    </row>
    <row r="11" ht="16" customHeight="1">
      <c r="A11" s="81" t="n">
        <v>7</v>
      </c>
      <c r="B11" s="82" t="inlineStr">
        <is>
          <t>LIC MF Arbitrage Fund-Regular Plan-Growth</t>
        </is>
      </c>
      <c r="C11" s="82" t="inlineStr">
        <is>
          <t>LIC Mutual Fund</t>
        </is>
      </c>
      <c r="D11" s="82" t="inlineStr">
        <is>
          <t>Arbitrage Fund</t>
        </is>
      </c>
      <c r="E11" s="83" t="n">
        <v>0.44</v>
      </c>
      <c r="F11" s="83" t="n">
        <v>1.48</v>
      </c>
      <c r="G11" s="83" t="n">
        <v>2.9</v>
      </c>
      <c r="H11" s="83" t="n">
        <v>5.85</v>
      </c>
      <c r="I11" s="83" t="n">
        <v>6.18380290797651</v>
      </c>
      <c r="J11" s="83" t="n">
        <v>20.65</v>
      </c>
      <c r="K11" s="16" t="n">
        <v>78.09999999999999</v>
      </c>
      <c r="L11" s="17" t="n">
        <v>0</v>
      </c>
      <c r="M11" s="23" t="n">
        <v>43</v>
      </c>
      <c r="N11" s="85" t="inlineStr">
        <is>
          <t>⭐ Strong</t>
        </is>
      </c>
      <c r="O11" s="85" t="inlineStr">
        <is>
          <t>🔴 Not Qualified</t>
        </is>
      </c>
      <c r="P11" s="85" t="inlineStr">
        <is>
          <t>⚠️ Watch</t>
        </is>
      </c>
      <c r="Q11" s="69" t="inlineStr">
        <is>
          <t>FULL</t>
        </is>
      </c>
    </row>
    <row r="12" ht="16" customHeight="1">
      <c r="A12" s="77" t="n">
        <v>8</v>
      </c>
      <c r="B12" s="78" t="inlineStr">
        <is>
          <t>Sundaram Arbitrage Fund (Formerly Know as Principal Arbitrage Fund) - Regular Plan - Growth</t>
        </is>
      </c>
      <c r="C12" s="78" t="inlineStr">
        <is>
          <t>Sundaram Mutual Fund</t>
        </is>
      </c>
      <c r="D12" s="78" t="inlineStr">
        <is>
          <t>Arbitrage Fund</t>
        </is>
      </c>
      <c r="E12" s="79" t="n">
        <v>0.42</v>
      </c>
      <c r="F12" s="79" t="n">
        <v>1.46</v>
      </c>
      <c r="G12" s="79" t="n">
        <v>2.91</v>
      </c>
      <c r="H12" s="79" t="n">
        <v>5.94</v>
      </c>
      <c r="I12" s="79" t="n">
        <v>6.207344378814028</v>
      </c>
      <c r="J12" s="79" t="n">
        <v>20.92</v>
      </c>
      <c r="K12" s="16" t="n">
        <v>76.7</v>
      </c>
      <c r="L12" s="17" t="n">
        <v>0</v>
      </c>
      <c r="M12" s="23" t="n">
        <v>42.2</v>
      </c>
      <c r="N12" s="80" t="inlineStr">
        <is>
          <t>⭐ Strong</t>
        </is>
      </c>
      <c r="O12" s="80" t="inlineStr">
        <is>
          <t>🔴 Not Qualified</t>
        </is>
      </c>
      <c r="P12" s="80" t="inlineStr">
        <is>
          <t>⚠️ Watch</t>
        </is>
      </c>
      <c r="Q12" s="69" t="inlineStr">
        <is>
          <t>FULL</t>
        </is>
      </c>
    </row>
    <row r="13" ht="16" customHeight="1">
      <c r="A13" s="81" t="n">
        <v>9</v>
      </c>
      <c r="B13" s="82" t="inlineStr">
        <is>
          <t>HDFC ARBITRAGE FUND - Regular Plan -Growth Option</t>
        </is>
      </c>
      <c r="C13" s="82" t="inlineStr">
        <is>
          <t>HDFC Mutual Fund</t>
        </is>
      </c>
      <c r="D13" s="82" t="inlineStr">
        <is>
          <t>Arbitrage Fund</t>
        </is>
      </c>
      <c r="E13" s="83" t="n">
        <v>0.42</v>
      </c>
      <c r="F13" s="83" t="n">
        <v>1.47</v>
      </c>
      <c r="G13" s="83" t="n">
        <v>2.84</v>
      </c>
      <c r="H13" s="83" t="n">
        <v>5.95</v>
      </c>
      <c r="I13" s="83" t="n">
        <v>6.348483769163349</v>
      </c>
      <c r="J13" s="83" t="n">
        <v>21.79</v>
      </c>
      <c r="K13" s="84" t="n">
        <v>73</v>
      </c>
      <c r="L13" s="17" t="n">
        <v>0</v>
      </c>
      <c r="M13" s="23" t="n">
        <v>40.1</v>
      </c>
      <c r="N13" s="85" t="inlineStr">
        <is>
          <t>📈 Good</t>
        </is>
      </c>
      <c r="O13" s="85" t="inlineStr">
        <is>
          <t>🔴 Not Qualified</t>
        </is>
      </c>
      <c r="P13" s="85" t="inlineStr">
        <is>
          <t>⚠️ Watch</t>
        </is>
      </c>
      <c r="Q13" s="69" t="inlineStr">
        <is>
          <t>FULL</t>
        </is>
      </c>
    </row>
    <row r="14" ht="16" customHeight="1">
      <c r="A14" s="77" t="n">
        <v>10</v>
      </c>
      <c r="B14" s="78" t="inlineStr">
        <is>
          <t>PGIM India Arbitrage Fund - Regular Plan - Growth</t>
        </is>
      </c>
      <c r="C14" s="78" t="inlineStr">
        <is>
          <t>PGIM India Mutual Fund</t>
        </is>
      </c>
      <c r="D14" s="78" t="inlineStr">
        <is>
          <t>Arbitrage Fund</t>
        </is>
      </c>
      <c r="E14" s="79" t="n">
        <v>0.46</v>
      </c>
      <c r="F14" s="79" t="n">
        <v>1.44</v>
      </c>
      <c r="G14" s="79" t="n">
        <v>2.86</v>
      </c>
      <c r="H14" s="79" t="n">
        <v>5.68</v>
      </c>
      <c r="I14" s="79" t="n">
        <v>6.033013726857739</v>
      </c>
      <c r="J14" s="79" t="n">
        <v>20.49</v>
      </c>
      <c r="K14" s="84" t="n">
        <v>72.8</v>
      </c>
      <c r="L14" s="17" t="n">
        <v>0</v>
      </c>
      <c r="M14" s="23" t="n">
        <v>40</v>
      </c>
      <c r="N14" s="80" t="inlineStr">
        <is>
          <t>📈 Good</t>
        </is>
      </c>
      <c r="O14" s="80" t="inlineStr">
        <is>
          <t>🔴 Not Qualified</t>
        </is>
      </c>
      <c r="P14" s="80" t="inlineStr">
        <is>
          <t>⚠️ Watch</t>
        </is>
      </c>
      <c r="Q14" s="69" t="inlineStr">
        <is>
          <t>FULL</t>
        </is>
      </c>
    </row>
    <row r="15" ht="16" customHeight="1">
      <c r="A15" s="25" t="n">
        <v>11</v>
      </c>
      <c r="B15" s="26" t="inlineStr">
        <is>
          <t>Parag Parikh Arbitrage Fund - Regular Plan Growth</t>
        </is>
      </c>
      <c r="C15" s="26" t="inlineStr">
        <is>
          <t>PPFAS Mutual Fund</t>
        </is>
      </c>
      <c r="D15" s="26" t="inlineStr">
        <is>
          <t>Arbitrage Fund</t>
        </is>
      </c>
      <c r="E15" s="27" t="n">
        <v>0.42</v>
      </c>
      <c r="F15" s="27" t="n">
        <v>1.43</v>
      </c>
      <c r="G15" s="27" t="n">
        <v>2.84</v>
      </c>
      <c r="H15" s="27" t="n">
        <v>5.97</v>
      </c>
      <c r="I15" s="27" t="n">
        <v>6.273232754066527</v>
      </c>
      <c r="J15" s="27" t="n">
        <v>0</v>
      </c>
      <c r="K15" s="84" t="n">
        <v>66.2</v>
      </c>
      <c r="L15" s="17" t="n">
        <v>0</v>
      </c>
      <c r="M15" s="23" t="n">
        <v>36.4</v>
      </c>
      <c r="N15" s="94" t="inlineStr">
        <is>
          <t>📈 Good</t>
        </is>
      </c>
      <c r="O15" s="94" t="inlineStr">
        <is>
          <t>⏳ New Fund</t>
        </is>
      </c>
      <c r="P15" s="94" t="inlineStr">
        <is>
          <t>📈 Momentum Only</t>
        </is>
      </c>
      <c r="Q15" s="95" t="inlineStr">
        <is>
          <t>MOMENTUM_ONLY</t>
        </is>
      </c>
    </row>
    <row r="16" ht="16" customHeight="1">
      <c r="A16" s="77" t="n">
        <v>12</v>
      </c>
      <c r="B16" s="78" t="inlineStr">
        <is>
          <t>Edelweiss Arbitrage Fund- Regular Plan- Growth Option</t>
        </is>
      </c>
      <c r="C16" s="78" t="inlineStr">
        <is>
          <t>Edelweiss Mutual Fund</t>
        </is>
      </c>
      <c r="D16" s="78" t="inlineStr">
        <is>
          <t>Arbitrage Fund</t>
        </is>
      </c>
      <c r="E16" s="79" t="n">
        <v>0.39</v>
      </c>
      <c r="F16" s="79" t="n">
        <v>1.45</v>
      </c>
      <c r="G16" s="79" t="n">
        <v>2.85</v>
      </c>
      <c r="H16" s="79" t="n">
        <v>5.86</v>
      </c>
      <c r="I16" s="79" t="n">
        <v>6.301458127346482</v>
      </c>
      <c r="J16" s="79" t="n">
        <v>21.65</v>
      </c>
      <c r="K16" s="84" t="n">
        <v>60.8</v>
      </c>
      <c r="L16" s="17" t="n">
        <v>0</v>
      </c>
      <c r="M16" s="23" t="n">
        <v>33.4</v>
      </c>
      <c r="N16" s="80" t="inlineStr">
        <is>
          <t>📈 Good</t>
        </is>
      </c>
      <c r="O16" s="80" t="inlineStr">
        <is>
          <t>🔴 Not Qualified</t>
        </is>
      </c>
      <c r="P16" s="80" t="inlineStr">
        <is>
          <t>🔴 Avoid</t>
        </is>
      </c>
      <c r="Q16" s="69" t="inlineStr">
        <is>
          <t>FULL</t>
        </is>
      </c>
    </row>
    <row r="17" ht="16" customHeight="1">
      <c r="A17" s="81" t="n">
        <v>13</v>
      </c>
      <c r="B17" s="82" t="inlineStr">
        <is>
          <t>SBI Arbitrage Opportunities Fund - Regular Plan - Gr</t>
        </is>
      </c>
      <c r="C17" s="82" t="inlineStr">
        <is>
          <t>SBI Mutual Fund</t>
        </is>
      </c>
      <c r="D17" s="82" t="inlineStr">
        <is>
          <t>Arbitrage Fund</t>
        </is>
      </c>
      <c r="E17" s="83" t="n">
        <v>0.41</v>
      </c>
      <c r="F17" s="83" t="n">
        <v>1.4</v>
      </c>
      <c r="G17" s="83" t="n">
        <v>2.83</v>
      </c>
      <c r="H17" s="83" t="n">
        <v>5.9</v>
      </c>
      <c r="I17" s="83" t="n">
        <v>6.390789074994641</v>
      </c>
      <c r="J17" s="83" t="n">
        <v>21.78</v>
      </c>
      <c r="K17" s="84" t="n">
        <v>60.2</v>
      </c>
      <c r="L17" s="17" t="n">
        <v>0</v>
      </c>
      <c r="M17" s="23" t="n">
        <v>33.1</v>
      </c>
      <c r="N17" s="85" t="inlineStr">
        <is>
          <t>📈 Good</t>
        </is>
      </c>
      <c r="O17" s="85" t="inlineStr">
        <is>
          <t>🔴 Not Qualified</t>
        </is>
      </c>
      <c r="P17" s="85" t="inlineStr">
        <is>
          <t>🔴 Avoid</t>
        </is>
      </c>
      <c r="Q17" s="69" t="inlineStr">
        <is>
          <t>FULL</t>
        </is>
      </c>
    </row>
    <row r="18" ht="16" customHeight="1">
      <c r="A18" s="77" t="n">
        <v>14</v>
      </c>
      <c r="B18" s="78" t="inlineStr">
        <is>
          <t>Nippon India Arbitrage Fund - Growth Plan - Growth Option</t>
        </is>
      </c>
      <c r="C18" s="78" t="inlineStr">
        <is>
          <t>Nippon India Mutual Fund</t>
        </is>
      </c>
      <c r="D18" s="78" t="inlineStr">
        <is>
          <t>Arbitrage Fund</t>
        </is>
      </c>
      <c r="E18" s="79" t="n">
        <v>0.4</v>
      </c>
      <c r="F18" s="79" t="n">
        <v>1.45</v>
      </c>
      <c r="G18" s="79" t="n">
        <v>2.81</v>
      </c>
      <c r="H18" s="79" t="n">
        <v>5.87</v>
      </c>
      <c r="I18" s="79" t="n">
        <v>6.202636502113257</v>
      </c>
      <c r="J18" s="79" t="n">
        <v>21.26</v>
      </c>
      <c r="K18" s="84" t="n">
        <v>59.7</v>
      </c>
      <c r="L18" s="17" t="n">
        <v>0</v>
      </c>
      <c r="M18" s="23" t="n">
        <v>32.8</v>
      </c>
      <c r="N18" s="80" t="inlineStr">
        <is>
          <t>➡️ Neutral</t>
        </is>
      </c>
      <c r="O18" s="80" t="inlineStr">
        <is>
          <t>🔴 Not Qualified</t>
        </is>
      </c>
      <c r="P18" s="80" t="inlineStr">
        <is>
          <t>🔴 Avoid</t>
        </is>
      </c>
      <c r="Q18" s="69" t="inlineStr">
        <is>
          <t>FULL</t>
        </is>
      </c>
    </row>
    <row r="19" ht="16" customHeight="1">
      <c r="A19" s="81" t="n">
        <v>15</v>
      </c>
      <c r="B19" s="82" t="inlineStr">
        <is>
          <t>Aditya BIRLA SUN LIFE ARBITRAGE FUND - REGULAR PLAN - GROWTH</t>
        </is>
      </c>
      <c r="C19" s="82" t="inlineStr">
        <is>
          <t>Aditya Birla Sun Life Mutual Fund</t>
        </is>
      </c>
      <c r="D19" s="82" t="inlineStr">
        <is>
          <t>Arbitrage Fund</t>
        </is>
      </c>
      <c r="E19" s="83" t="n">
        <v>0.4</v>
      </c>
      <c r="F19" s="83" t="n">
        <v>1.45</v>
      </c>
      <c r="G19" s="83" t="n">
        <v>2.79</v>
      </c>
      <c r="H19" s="83" t="n">
        <v>5.86</v>
      </c>
      <c r="I19" s="83" t="n">
        <v>6.315568003938177</v>
      </c>
      <c r="J19" s="83" t="n">
        <v>21.55</v>
      </c>
      <c r="K19" s="84" t="n">
        <v>55.5</v>
      </c>
      <c r="L19" s="17" t="n">
        <v>0</v>
      </c>
      <c r="M19" s="23" t="n">
        <v>30.5</v>
      </c>
      <c r="N19" s="85" t="inlineStr">
        <is>
          <t>➡️ Neutral</t>
        </is>
      </c>
      <c r="O19" s="85" t="inlineStr">
        <is>
          <t>🔴 Not Qualified</t>
        </is>
      </c>
      <c r="P19" s="85" t="inlineStr">
        <is>
          <t>🔴 Avoid</t>
        </is>
      </c>
      <c r="Q19" s="69" t="inlineStr">
        <is>
          <t>FULL</t>
        </is>
      </c>
    </row>
    <row r="20" ht="16" customHeight="1">
      <c r="A20" s="77" t="n">
        <v>16</v>
      </c>
      <c r="B20" s="78" t="inlineStr">
        <is>
          <t>TATA Arbitrage Fund Regular Plan - Monthly Reinvestment of Income Distribution cum capital withdrawal option</t>
        </is>
      </c>
      <c r="C20" s="78" t="inlineStr">
        <is>
          <t>Tata Mutual Fund</t>
        </is>
      </c>
      <c r="D20" s="78" t="inlineStr">
        <is>
          <t>Arbitrage Fund</t>
        </is>
      </c>
      <c r="E20" s="79" t="n">
        <v>0.42</v>
      </c>
      <c r="F20" s="79" t="n">
        <v>1.43</v>
      </c>
      <c r="G20" s="79" t="n">
        <v>2.82</v>
      </c>
      <c r="H20" s="79" t="n">
        <v>5.85</v>
      </c>
      <c r="I20" s="79" t="n">
        <v>6.324973548080415</v>
      </c>
      <c r="J20" s="79" t="n">
        <v>21.54</v>
      </c>
      <c r="K20" s="84" t="n">
        <v>52.3</v>
      </c>
      <c r="L20" s="17" t="n">
        <v>0</v>
      </c>
      <c r="M20" s="23" t="n">
        <v>28.8</v>
      </c>
      <c r="N20" s="80" t="inlineStr">
        <is>
          <t>➡️ Neutral</t>
        </is>
      </c>
      <c r="O20" s="80" t="inlineStr">
        <is>
          <t>🔴 Not Qualified</t>
        </is>
      </c>
      <c r="P20" s="80" t="inlineStr">
        <is>
          <t>🔴 Avoid</t>
        </is>
      </c>
      <c r="Q20" s="69" t="inlineStr">
        <is>
          <t>FULL</t>
        </is>
      </c>
    </row>
    <row r="21" ht="16" customHeight="1">
      <c r="A21" s="81" t="n">
        <v>16</v>
      </c>
      <c r="B21" s="82" t="inlineStr">
        <is>
          <t>TATA Arbitrage Fund Regular Plan - Monthly Payout of Income Distribution cum capital withdrawal option</t>
        </is>
      </c>
      <c r="C21" s="82" t="inlineStr">
        <is>
          <t>Tata Mutual Fund</t>
        </is>
      </c>
      <c r="D21" s="82" t="inlineStr">
        <is>
          <t>Arbitrage Fund</t>
        </is>
      </c>
      <c r="E21" s="83" t="n">
        <v>0.42</v>
      </c>
      <c r="F21" s="83" t="n">
        <v>1.43</v>
      </c>
      <c r="G21" s="83" t="n">
        <v>2.82</v>
      </c>
      <c r="H21" s="83" t="n">
        <v>5.85</v>
      </c>
      <c r="I21" s="83" t="n">
        <v>6.324973548080415</v>
      </c>
      <c r="J21" s="83" t="n">
        <v>21.54</v>
      </c>
      <c r="K21" s="84" t="n">
        <v>52.3</v>
      </c>
      <c r="L21" s="17" t="n">
        <v>0</v>
      </c>
      <c r="M21" s="23" t="n">
        <v>28.8</v>
      </c>
      <c r="N21" s="85" t="inlineStr">
        <is>
          <t>➡️ Neutral</t>
        </is>
      </c>
      <c r="O21" s="85" t="inlineStr">
        <is>
          <t>🔴 Not Qualified</t>
        </is>
      </c>
      <c r="P21" s="85" t="inlineStr">
        <is>
          <t>🔴 Avoid</t>
        </is>
      </c>
      <c r="Q21" s="69" t="inlineStr">
        <is>
          <t>FULL</t>
        </is>
      </c>
    </row>
    <row r="22" ht="16" customHeight="1">
      <c r="A22" s="77" t="n">
        <v>16</v>
      </c>
      <c r="B22" s="78" t="inlineStr">
        <is>
          <t>Tata Arbitrage Fund-Regular Plan-Growth</t>
        </is>
      </c>
      <c r="C22" s="78" t="inlineStr">
        <is>
          <t>Tata Mutual Fund</t>
        </is>
      </c>
      <c r="D22" s="78" t="inlineStr">
        <is>
          <t>Arbitrage Fund</t>
        </is>
      </c>
      <c r="E22" s="79" t="n">
        <v>0.42</v>
      </c>
      <c r="F22" s="79" t="n">
        <v>1.43</v>
      </c>
      <c r="G22" s="79" t="n">
        <v>2.82</v>
      </c>
      <c r="H22" s="79" t="n">
        <v>5.85</v>
      </c>
      <c r="I22" s="79" t="n">
        <v>6.324973548080415</v>
      </c>
      <c r="J22" s="79" t="n">
        <v>21.53</v>
      </c>
      <c r="K22" s="84" t="n">
        <v>52.3</v>
      </c>
      <c r="L22" s="17" t="n">
        <v>0</v>
      </c>
      <c r="M22" s="23" t="n">
        <v>28.8</v>
      </c>
      <c r="N22" s="80" t="inlineStr">
        <is>
          <t>➡️ Neutral</t>
        </is>
      </c>
      <c r="O22" s="80" t="inlineStr">
        <is>
          <t>🔴 Not Qualified</t>
        </is>
      </c>
      <c r="P22" s="80" t="inlineStr">
        <is>
          <t>🔴 Avoid</t>
        </is>
      </c>
      <c r="Q22" s="69" t="inlineStr">
        <is>
          <t>FULL</t>
        </is>
      </c>
    </row>
    <row r="23" ht="16" customHeight="1">
      <c r="A23" s="81" t="n">
        <v>19</v>
      </c>
      <c r="B23" s="82" t="inlineStr">
        <is>
          <t>Axis Arbitrage Fund - Regular Plan - Growth</t>
        </is>
      </c>
      <c r="C23" s="82" t="inlineStr">
        <is>
          <t>Axis Mutual Fund</t>
        </is>
      </c>
      <c r="D23" s="82" t="inlineStr">
        <is>
          <t>Arbitrage Fund</t>
        </is>
      </c>
      <c r="E23" s="83" t="n">
        <v>0.42</v>
      </c>
      <c r="F23" s="83" t="n">
        <v>1.43</v>
      </c>
      <c r="G23" s="83" t="n">
        <v>2.8</v>
      </c>
      <c r="H23" s="83" t="n">
        <v>5.85</v>
      </c>
      <c r="I23" s="83" t="n">
        <v>6.268527796333001</v>
      </c>
      <c r="J23" s="83" t="n">
        <v>21.49</v>
      </c>
      <c r="K23" s="84" t="n">
        <v>50.5</v>
      </c>
      <c r="L23" s="17" t="n">
        <v>0</v>
      </c>
      <c r="M23" s="23" t="n">
        <v>27.8</v>
      </c>
      <c r="N23" s="85" t="inlineStr">
        <is>
          <t>➡️ Neutral</t>
        </is>
      </c>
      <c r="O23" s="85" t="inlineStr">
        <is>
          <t>🔴 Not Qualified</t>
        </is>
      </c>
      <c r="P23" s="85" t="inlineStr">
        <is>
          <t>🔴 Avoid</t>
        </is>
      </c>
      <c r="Q23" s="69" t="inlineStr">
        <is>
          <t>FULL</t>
        </is>
      </c>
    </row>
    <row r="24" ht="16" customHeight="1">
      <c r="A24" s="25" t="n">
        <v>20</v>
      </c>
      <c r="B24" s="26" t="inlineStr">
        <is>
          <t>Motilal Oswal Arbitrage Fund-Regular Plan-Growth</t>
        </is>
      </c>
      <c r="C24" s="26" t="inlineStr">
        <is>
          <t>Motilal Oswal Mutual Fund</t>
        </is>
      </c>
      <c r="D24" s="26" t="inlineStr">
        <is>
          <t>Arbitrage Fund</t>
        </is>
      </c>
      <c r="E24" s="27" t="n">
        <v>0.42</v>
      </c>
      <c r="F24" s="27" t="n">
        <v>1.39</v>
      </c>
      <c r="G24" s="27" t="n">
        <v>2.76</v>
      </c>
      <c r="H24" s="27" t="n">
        <v>5.86</v>
      </c>
      <c r="I24" s="27" t="n">
        <v>0</v>
      </c>
      <c r="J24" s="27" t="n">
        <v>0</v>
      </c>
      <c r="K24" s="87" t="n">
        <v>49.1</v>
      </c>
      <c r="L24" s="17" t="n">
        <v>0</v>
      </c>
      <c r="M24" s="23" t="n">
        <v>27</v>
      </c>
      <c r="N24" s="94" t="inlineStr">
        <is>
          <t>➡️ Neutral</t>
        </is>
      </c>
      <c r="O24" s="94" t="inlineStr">
        <is>
          <t>⏳ New Fund</t>
        </is>
      </c>
      <c r="P24" s="94" t="inlineStr">
        <is>
          <t>⏳ New Fund</t>
        </is>
      </c>
      <c r="Q24" s="95" t="inlineStr">
        <is>
          <t>MOMENTUM_ONLY</t>
        </is>
      </c>
    </row>
    <row r="25" ht="16" customHeight="1">
      <c r="A25" s="81" t="n">
        <v>21</v>
      </c>
      <c r="B25" s="82" t="inlineStr">
        <is>
          <t>DSP Arbitrage Fund - Regular - Growth</t>
        </is>
      </c>
      <c r="C25" s="82" t="inlineStr">
        <is>
          <t>DSP Mutual Fund</t>
        </is>
      </c>
      <c r="D25" s="82" t="inlineStr">
        <is>
          <t>Arbitrage Fund</t>
        </is>
      </c>
      <c r="E25" s="83" t="n">
        <v>0.42</v>
      </c>
      <c r="F25" s="83" t="n">
        <v>1.41</v>
      </c>
      <c r="G25" s="83" t="n">
        <v>2.74</v>
      </c>
      <c r="H25" s="83" t="n">
        <v>5.75</v>
      </c>
      <c r="I25" s="83" t="n">
        <v>6.169675519895979</v>
      </c>
      <c r="J25" s="83" t="n">
        <v>21.12</v>
      </c>
      <c r="K25" s="87" t="n">
        <v>43.8</v>
      </c>
      <c r="L25" s="17" t="n">
        <v>0</v>
      </c>
      <c r="M25" s="23" t="n">
        <v>24.1</v>
      </c>
      <c r="N25" s="85" t="inlineStr">
        <is>
          <t>➡️ Neutral</t>
        </is>
      </c>
      <c r="O25" s="85" t="inlineStr">
        <is>
          <t>🔴 Not Qualified</t>
        </is>
      </c>
      <c r="P25" s="85" t="inlineStr">
        <is>
          <t>🔴 Avoid</t>
        </is>
      </c>
      <c r="Q25" s="69" t="inlineStr">
        <is>
          <t>FULL</t>
        </is>
      </c>
    </row>
    <row r="26" ht="16" customHeight="1">
      <c r="A26" s="77" t="n">
        <v>22</v>
      </c>
      <c r="B26" s="78" t="inlineStr">
        <is>
          <t>BANDHAN Arbitrage Fund - Regular Plan - Growth</t>
        </is>
      </c>
      <c r="C26" s="78" t="inlineStr">
        <is>
          <t>Bandhan Mutual Fund</t>
        </is>
      </c>
      <c r="D26" s="78" t="inlineStr">
        <is>
          <t>Arbitrage Fund</t>
        </is>
      </c>
      <c r="E26" s="79" t="n">
        <v>0.42</v>
      </c>
      <c r="F26" s="79" t="n">
        <v>1.39</v>
      </c>
      <c r="G26" s="79" t="n">
        <v>2.71</v>
      </c>
      <c r="H26" s="79" t="n">
        <v>5.61</v>
      </c>
      <c r="I26" s="79" t="n">
        <v>6.146125694723303</v>
      </c>
      <c r="J26" s="79" t="n">
        <v>21.15</v>
      </c>
      <c r="K26" s="87" t="n">
        <v>39.4</v>
      </c>
      <c r="L26" s="17" t="n">
        <v>0</v>
      </c>
      <c r="M26" s="23" t="n">
        <v>21.7</v>
      </c>
      <c r="N26" s="80" t="inlineStr">
        <is>
          <t>📉 Weak</t>
        </is>
      </c>
      <c r="O26" s="80" t="inlineStr">
        <is>
          <t>🔴 Not Qualified</t>
        </is>
      </c>
      <c r="P26" s="80" t="inlineStr">
        <is>
          <t>🔴 Avoid</t>
        </is>
      </c>
      <c r="Q26" s="69" t="inlineStr">
        <is>
          <t>FULL</t>
        </is>
      </c>
    </row>
    <row r="27" ht="16" customHeight="1">
      <c r="A27" s="81" t="n">
        <v>23</v>
      </c>
      <c r="B27" s="82" t="inlineStr">
        <is>
          <t>BANK OF INDIA Arbitrage Fund Regular Growth</t>
        </is>
      </c>
      <c r="C27" s="82" t="inlineStr">
        <is>
          <t>Bank of India Mutual Fund</t>
        </is>
      </c>
      <c r="D27" s="82" t="inlineStr">
        <is>
          <t>Arbitrage Fund</t>
        </is>
      </c>
      <c r="E27" s="83" t="n">
        <v>0.43</v>
      </c>
      <c r="F27" s="83" t="n">
        <v>1.2</v>
      </c>
      <c r="G27" s="83" t="n">
        <v>2.6</v>
      </c>
      <c r="H27" s="83" t="n">
        <v>5.46</v>
      </c>
      <c r="I27" s="83" t="n">
        <v>5.8772874605314</v>
      </c>
      <c r="J27" s="83" t="n">
        <v>19.7</v>
      </c>
      <c r="K27" s="87" t="n">
        <v>38.6</v>
      </c>
      <c r="L27" s="17" t="n">
        <v>0</v>
      </c>
      <c r="M27" s="23" t="n">
        <v>21.2</v>
      </c>
      <c r="N27" s="85" t="inlineStr">
        <is>
          <t>📉 Weak</t>
        </is>
      </c>
      <c r="O27" s="85" t="inlineStr">
        <is>
          <t>🔴 Not Qualified</t>
        </is>
      </c>
      <c r="P27" s="85" t="inlineStr">
        <is>
          <t>🔴 Avoid</t>
        </is>
      </c>
      <c r="Q27" s="69" t="inlineStr">
        <is>
          <t>FULL</t>
        </is>
      </c>
    </row>
    <row r="28" ht="16" customHeight="1">
      <c r="A28" s="25" t="n">
        <v>24</v>
      </c>
      <c r="B28" s="26" t="inlineStr">
        <is>
          <t>Bajaj Finserv Arbitrage Fund- Regular Plan-Growth</t>
        </is>
      </c>
      <c r="C28" s="26" t="inlineStr">
        <is>
          <t>Bajaj Finserv Mutual Fund</t>
        </is>
      </c>
      <c r="D28" s="26" t="inlineStr">
        <is>
          <t>Arbitrage Fund</t>
        </is>
      </c>
      <c r="E28" s="27" t="n">
        <v>0.38</v>
      </c>
      <c r="F28" s="27" t="n">
        <v>1.37</v>
      </c>
      <c r="G28" s="27" t="n">
        <v>2.76</v>
      </c>
      <c r="H28" s="27" t="n">
        <v>5.76</v>
      </c>
      <c r="I28" s="27" t="n">
        <v>5.985848111905967</v>
      </c>
      <c r="J28" s="27" t="n">
        <v>0</v>
      </c>
      <c r="K28" s="87" t="n">
        <v>35.2</v>
      </c>
      <c r="L28" s="17" t="n">
        <v>0</v>
      </c>
      <c r="M28" s="23" t="n">
        <v>19.3</v>
      </c>
      <c r="N28" s="94" t="inlineStr">
        <is>
          <t>📉 Weak</t>
        </is>
      </c>
      <c r="O28" s="94" t="inlineStr">
        <is>
          <t>⏳ New Fund</t>
        </is>
      </c>
      <c r="P28" s="94" t="inlineStr">
        <is>
          <t>⏳ New Fund</t>
        </is>
      </c>
      <c r="Q28" s="95" t="inlineStr">
        <is>
          <t>MOMENTUM_ONLY</t>
        </is>
      </c>
    </row>
    <row r="29" ht="16" customHeight="1">
      <c r="A29" s="25" t="n">
        <v>25</v>
      </c>
      <c r="B29" s="26" t="inlineStr">
        <is>
          <t>Old Bridge Arbitrage Fund Regular Growth</t>
        </is>
      </c>
      <c r="C29" s="26" t="inlineStr">
        <is>
          <t>Old Bridge Mutual Fund</t>
        </is>
      </c>
      <c r="D29" s="26" t="inlineStr">
        <is>
          <t>Arbitrage Fund</t>
        </is>
      </c>
      <c r="E29" s="27" t="n">
        <v>0.39</v>
      </c>
      <c r="F29" s="27" t="n">
        <v>1.43</v>
      </c>
      <c r="G29" s="27" t="n">
        <v>2.59</v>
      </c>
      <c r="H29" s="27" t="n">
        <v>0</v>
      </c>
      <c r="I29" s="27" t="n">
        <v>0</v>
      </c>
      <c r="J29" s="27" t="n">
        <v>0</v>
      </c>
      <c r="K29" s="87" t="n">
        <v>25.6</v>
      </c>
      <c r="L29" s="17" t="n">
        <v>0</v>
      </c>
      <c r="M29" s="23" t="n">
        <v>14.1</v>
      </c>
      <c r="N29" s="94" t="inlineStr">
        <is>
          <t>📉 Weak</t>
        </is>
      </c>
      <c r="O29" s="94" t="inlineStr">
        <is>
          <t>⏳ New Fund</t>
        </is>
      </c>
      <c r="P29" s="94" t="inlineStr">
        <is>
          <t>⏳ New Fund</t>
        </is>
      </c>
      <c r="Q29" s="95" t="inlineStr">
        <is>
          <t>MOMENTUM_ONLY</t>
        </is>
      </c>
    </row>
    <row r="30" ht="16" customHeight="1">
      <c r="A30" s="77" t="n">
        <v>26</v>
      </c>
      <c r="B30" s="78" t="inlineStr">
        <is>
          <t>BARODA BNP PARIBAS ARBITRAGE FUND- REGULAR PLAN- GROWTH OPTION</t>
        </is>
      </c>
      <c r="C30" s="78" t="inlineStr">
        <is>
          <t>Baroda BNP Paribas Mutual Fund</t>
        </is>
      </c>
      <c r="D30" s="78" t="inlineStr">
        <is>
          <t>Arbitrage Fund</t>
        </is>
      </c>
      <c r="E30" s="79" t="n">
        <v>0.38</v>
      </c>
      <c r="F30" s="79" t="n">
        <v>1.26</v>
      </c>
      <c r="G30" s="79" t="n">
        <v>2.59</v>
      </c>
      <c r="H30" s="79" t="n">
        <v>5.48</v>
      </c>
      <c r="I30" s="79" t="n">
        <v>5.971694333911648</v>
      </c>
      <c r="J30" s="79" t="n">
        <v>20.77</v>
      </c>
      <c r="K30" s="87" t="n">
        <v>23</v>
      </c>
      <c r="L30" s="17" t="n">
        <v>0</v>
      </c>
      <c r="M30" s="23" t="n">
        <v>12.6</v>
      </c>
      <c r="N30" s="80" t="inlineStr">
        <is>
          <t>📉 Weak</t>
        </is>
      </c>
      <c r="O30" s="80" t="inlineStr">
        <is>
          <t>🔴 Not Qualified</t>
        </is>
      </c>
      <c r="P30" s="80" t="inlineStr">
        <is>
          <t>🔴 Avoid</t>
        </is>
      </c>
      <c r="Q30" s="69" t="inlineStr">
        <is>
          <t>FULL</t>
        </is>
      </c>
    </row>
    <row r="31" ht="16" customHeight="1">
      <c r="A31" s="25" t="n">
        <v>27</v>
      </c>
      <c r="B31" s="26" t="inlineStr">
        <is>
          <t>THE WEALTH COMPANY ARBITRAGE FUND REGULAR GROWTH</t>
        </is>
      </c>
      <c r="C31" s="26" t="inlineStr">
        <is>
          <t>The Wealth Company Mutual Fund</t>
        </is>
      </c>
      <c r="D31" s="26" t="inlineStr">
        <is>
          <t>Arbitrage Fund</t>
        </is>
      </c>
      <c r="E31" s="27" t="n">
        <v>0.38</v>
      </c>
      <c r="F31" s="27" t="n">
        <v>1.28</v>
      </c>
      <c r="G31" s="27" t="n">
        <v>2.69</v>
      </c>
      <c r="H31" s="27" t="n">
        <v>0</v>
      </c>
      <c r="I31" s="27" t="n">
        <v>0</v>
      </c>
      <c r="J31" s="27" t="n">
        <v>0</v>
      </c>
      <c r="K31" s="87" t="n">
        <v>21.7</v>
      </c>
      <c r="L31" s="17" t="n">
        <v>0</v>
      </c>
      <c r="M31" s="23" t="n">
        <v>11.9</v>
      </c>
      <c r="N31" s="94" t="inlineStr">
        <is>
          <t>📉 Weak</t>
        </is>
      </c>
      <c r="O31" s="94" t="inlineStr">
        <is>
          <t>⏳ New Fund</t>
        </is>
      </c>
      <c r="P31" s="94" t="inlineStr">
        <is>
          <t>⏳ New Fund</t>
        </is>
      </c>
      <c r="Q31" s="95" t="inlineStr">
        <is>
          <t>MOMENTUM_ONLY</t>
        </is>
      </c>
    </row>
    <row r="32" ht="16" customHeight="1">
      <c r="A32" s="77" t="n">
        <v>28</v>
      </c>
      <c r="B32" s="78" t="inlineStr">
        <is>
          <t>Mahindra Manulife Arbitrage Fund - Regular Plan - Growth</t>
        </is>
      </c>
      <c r="C32" s="78" t="inlineStr">
        <is>
          <t>Mahindra Manulife Mutual Fund</t>
        </is>
      </c>
      <c r="D32" s="78" t="inlineStr">
        <is>
          <t>Arbitrage Fund</t>
        </is>
      </c>
      <c r="E32" s="79" t="n">
        <v>0.39</v>
      </c>
      <c r="F32" s="79" t="n">
        <v>1.29</v>
      </c>
      <c r="G32" s="79" t="n">
        <v>2.45</v>
      </c>
      <c r="H32" s="79" t="n">
        <v>5.38</v>
      </c>
      <c r="I32" s="79" t="n">
        <v>5.375518978555927</v>
      </c>
      <c r="J32" s="79" t="n">
        <v>17.88</v>
      </c>
      <c r="K32" s="87" t="n">
        <v>21.2</v>
      </c>
      <c r="L32" s="17" t="n">
        <v>0</v>
      </c>
      <c r="M32" s="23" t="n">
        <v>11.7</v>
      </c>
      <c r="N32" s="80" t="inlineStr">
        <is>
          <t>📉 Weak</t>
        </is>
      </c>
      <c r="O32" s="80" t="inlineStr">
        <is>
          <t>🔴 Not Qualified</t>
        </is>
      </c>
      <c r="P32" s="80" t="inlineStr">
        <is>
          <t>🔴 Avoid</t>
        </is>
      </c>
      <c r="Q32" s="69" t="inlineStr">
        <is>
          <t>FULL</t>
        </is>
      </c>
    </row>
    <row r="33" ht="16" customHeight="1">
      <c r="A33" s="81" t="n">
        <v>29</v>
      </c>
      <c r="B33" s="82" t="inlineStr">
        <is>
          <t>JM Arbitrage Fund (Regular) - Growth Option</t>
        </is>
      </c>
      <c r="C33" s="82" t="inlineStr">
        <is>
          <t>JM Financial Mutual Fund</t>
        </is>
      </c>
      <c r="D33" s="82" t="inlineStr">
        <is>
          <t>Arbitrage Fund</t>
        </is>
      </c>
      <c r="E33" s="83" t="n">
        <v>0.35</v>
      </c>
      <c r="F33" s="83" t="n">
        <v>1.22</v>
      </c>
      <c r="G33" s="83" t="n">
        <v>2.58</v>
      </c>
      <c r="H33" s="83" t="n">
        <v>5.55</v>
      </c>
      <c r="I33" s="83" t="n">
        <v>5.858395982557751</v>
      </c>
      <c r="J33" s="83" t="n">
        <v>20.08</v>
      </c>
      <c r="K33" s="87" t="n">
        <v>20.8</v>
      </c>
      <c r="L33" s="17" t="n">
        <v>0</v>
      </c>
      <c r="M33" s="23" t="n">
        <v>11.4</v>
      </c>
      <c r="N33" s="85" t="inlineStr">
        <is>
          <t>📉 Weak</t>
        </is>
      </c>
      <c r="O33" s="85" t="inlineStr">
        <is>
          <t>🔴 Not Qualified</t>
        </is>
      </c>
      <c r="P33" s="85" t="inlineStr">
        <is>
          <t>🔴 Avoid</t>
        </is>
      </c>
      <c r="Q33" s="69" t="inlineStr">
        <is>
          <t>FULL</t>
        </is>
      </c>
    </row>
    <row r="34" ht="16" customHeight="1">
      <c r="A34" s="77" t="n">
        <v>30</v>
      </c>
      <c r="B34" s="78" t="inlineStr">
        <is>
          <t>ITI Arbitrage Fund - Regular Plan - Growth Option</t>
        </is>
      </c>
      <c r="C34" s="78" t="inlineStr">
        <is>
          <t>ITI Mutual Fund</t>
        </is>
      </c>
      <c r="D34" s="78" t="inlineStr">
        <is>
          <t>Arbitrage Fund</t>
        </is>
      </c>
      <c r="E34" s="79" t="n">
        <v>0.29</v>
      </c>
      <c r="F34" s="79" t="n">
        <v>1.09</v>
      </c>
      <c r="G34" s="79" t="n">
        <v>2.54</v>
      </c>
      <c r="H34" s="79" t="n">
        <v>5.6</v>
      </c>
      <c r="I34" s="79" t="n">
        <v>6.150836077724797</v>
      </c>
      <c r="J34" s="79" t="n">
        <v>20.91</v>
      </c>
      <c r="K34" s="87" t="n">
        <v>16.9</v>
      </c>
      <c r="L34" s="17" t="n">
        <v>0</v>
      </c>
      <c r="M34" s="23" t="n">
        <v>9.300000000000001</v>
      </c>
      <c r="N34" s="80" t="inlineStr">
        <is>
          <t>📉 Weak</t>
        </is>
      </c>
      <c r="O34" s="80" t="inlineStr">
        <is>
          <t>🔴 Not Qualified</t>
        </is>
      </c>
      <c r="P34" s="80" t="inlineStr">
        <is>
          <t>🔴 Avoid</t>
        </is>
      </c>
      <c r="Q34" s="69" t="inlineStr">
        <is>
          <t>FULL</t>
        </is>
      </c>
    </row>
    <row r="35" ht="16" customHeight="1">
      <c r="A35" s="25" t="n">
        <v>31</v>
      </c>
      <c r="B35" s="26" t="inlineStr">
        <is>
          <t>TRUSTMF ARBITRAGE FUND -REGULAR PLAN-GROWTH</t>
        </is>
      </c>
      <c r="C35" s="26" t="inlineStr">
        <is>
          <t>Trust Mutual Fund</t>
        </is>
      </c>
      <c r="D35" s="26" t="inlineStr">
        <is>
          <t>Arbitrage Fund</t>
        </is>
      </c>
      <c r="E35" s="27" t="n">
        <v>0.34</v>
      </c>
      <c r="F35" s="27" t="n">
        <v>1.25</v>
      </c>
      <c r="G35" s="27" t="n">
        <v>2.56</v>
      </c>
      <c r="H35" s="27" t="n">
        <v>0</v>
      </c>
      <c r="I35" s="27" t="n">
        <v>0</v>
      </c>
      <c r="J35" s="27" t="n">
        <v>0</v>
      </c>
      <c r="K35" s="87" t="n">
        <v>14.2</v>
      </c>
      <c r="L35" s="17" t="n">
        <v>0</v>
      </c>
      <c r="M35" s="23" t="n">
        <v>7.8</v>
      </c>
      <c r="N35" s="94" t="inlineStr">
        <is>
          <t>📉 Weak</t>
        </is>
      </c>
      <c r="O35" s="94" t="inlineStr">
        <is>
          <t>⏳ New Fund</t>
        </is>
      </c>
      <c r="P35" s="94" t="inlineStr">
        <is>
          <t>⏳ New Fund</t>
        </is>
      </c>
      <c r="Q35" s="95" t="inlineStr">
        <is>
          <t>MOMENTUM_ONLY</t>
        </is>
      </c>
    </row>
    <row r="36" ht="16" customHeight="1">
      <c r="A36" s="77" t="n">
        <v>32</v>
      </c>
      <c r="B36" s="78" t="inlineStr">
        <is>
          <t>Sundaram Arbitrage Fund (Formerly Known as Principal Arbitrage Fund)- Regular Plan - Monthly Income Distribution CUM Capital Withdrawal</t>
        </is>
      </c>
      <c r="C36" s="78" t="inlineStr">
        <is>
          <t>Sundaram Mutual Fund</t>
        </is>
      </c>
      <c r="D36" s="78" t="inlineStr">
        <is>
          <t>Arbitrage Fund</t>
        </is>
      </c>
      <c r="E36" s="79" t="n">
        <v>0.42</v>
      </c>
      <c r="F36" s="86" t="n">
        <v>-4.6</v>
      </c>
      <c r="G36" s="86" t="n">
        <v>-3.24</v>
      </c>
      <c r="H36" s="86" t="n">
        <v>-0.39</v>
      </c>
      <c r="I36" s="79" t="n">
        <v>2.985435863523933</v>
      </c>
      <c r="J36" s="79" t="n">
        <v>13.7</v>
      </c>
      <c r="K36" s="87" t="n">
        <v>13.4</v>
      </c>
      <c r="L36" s="17" t="n">
        <v>0</v>
      </c>
      <c r="M36" s="23" t="n">
        <v>7.4</v>
      </c>
      <c r="N36" s="80" t="inlineStr">
        <is>
          <t>📉 Weak</t>
        </is>
      </c>
      <c r="O36" s="80" t="inlineStr">
        <is>
          <t>🔴 Not Qualified</t>
        </is>
      </c>
      <c r="P36" s="80" t="inlineStr">
        <is>
          <t>🔴 Avoid</t>
        </is>
      </c>
      <c r="Q36" s="69" t="inlineStr">
        <is>
          <t>FULL</t>
        </is>
      </c>
    </row>
    <row r="37" ht="16" customHeight="1">
      <c r="A37" s="25" t="n">
        <v>33</v>
      </c>
      <c r="B37" s="26" t="inlineStr">
        <is>
          <t>Samco Arbitrage Fund - Regular Plan - Growth</t>
        </is>
      </c>
      <c r="C37" s="26" t="inlineStr">
        <is>
          <t>Samco Mutual Fund</t>
        </is>
      </c>
      <c r="D37" s="26" t="inlineStr">
        <is>
          <t>Arbitrage Fund</t>
        </is>
      </c>
      <c r="E37" s="27" t="n">
        <v>0.09</v>
      </c>
      <c r="F37" s="27" t="n">
        <v>0.75</v>
      </c>
      <c r="G37" s="27" t="n">
        <v>1.61</v>
      </c>
      <c r="H37" s="27" t="n">
        <v>3.68</v>
      </c>
      <c r="I37" s="27" t="n">
        <v>0</v>
      </c>
      <c r="J37" s="27" t="n">
        <v>0</v>
      </c>
      <c r="K37" s="87" t="n">
        <v>9.699999999999999</v>
      </c>
      <c r="L37" s="17" t="n">
        <v>0</v>
      </c>
      <c r="M37" s="23" t="n">
        <v>5.3</v>
      </c>
      <c r="N37" s="94" t="inlineStr">
        <is>
          <t>📉 Weak</t>
        </is>
      </c>
      <c r="O37" s="94" t="inlineStr">
        <is>
          <t>⏳ New Fund</t>
        </is>
      </c>
      <c r="P37" s="94" t="inlineStr">
        <is>
          <t>⏳ New Fund</t>
        </is>
      </c>
      <c r="Q37" s="95" t="inlineStr">
        <is>
          <t>MOMENTUM_ONLY</t>
        </is>
      </c>
    </row>
    <row r="38" ht="16" customHeight="1">
      <c r="A38" s="89" t="n">
        <v>0</v>
      </c>
      <c r="B38" s="90" t="inlineStr">
        <is>
          <t>Capitalmind Arbitrage Fund-regular-Growth</t>
        </is>
      </c>
      <c r="C38" s="90" t="inlineStr">
        <is>
          <t>Capitalmind Mutual Fund</t>
        </is>
      </c>
      <c r="D38" s="90" t="inlineStr">
        <is>
          <t>Arbitrage Fund</t>
        </is>
      </c>
      <c r="E38" s="91" t="n">
        <v>0.37</v>
      </c>
      <c r="F38" s="91" t="n">
        <v>1.08</v>
      </c>
      <c r="G38" s="91" t="n">
        <v>0</v>
      </c>
      <c r="H38" s="91" t="n">
        <v>0</v>
      </c>
      <c r="I38" s="91" t="n">
        <v>0</v>
      </c>
      <c r="J38" s="91" t="n">
        <v>0</v>
      </c>
      <c r="K38" s="87" t="n">
        <v>0</v>
      </c>
      <c r="L38" s="17" t="n">
        <v>0</v>
      </c>
      <c r="M38" s="23" t="n">
        <v>0</v>
      </c>
      <c r="N38" s="92" t="inlineStr">
        <is>
          <t>❌ N/A</t>
        </is>
      </c>
      <c r="O38" s="92" t="inlineStr">
        <is>
          <t>❌ N/A</t>
        </is>
      </c>
      <c r="P38" s="92" t="inlineStr">
        <is>
          <t>❌ Missing Data</t>
        </is>
      </c>
      <c r="Q38" s="93" t="inlineStr">
        <is>
          <t>MISSING</t>
        </is>
      </c>
    </row>
  </sheetData>
  <autoFilter ref="A4:Q38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BALANCED HYBRID FUND  ✦</t>
        </is>
      </c>
    </row>
    <row r="2" ht="16" customHeight="1">
      <c r="A2" s="2">
        <f>"Dual Engine: 55% Momentum + 45% Quality | ✅ Full: "&amp;COUNTIF(Q5:Q7,"FULL")&amp;" | ⚠️ Momentum: "&amp;COUNTIF(Q5:Q7,"MOMENTUM_ONLY")&amp;" | ❌ Missing: "&amp;COUNTIF(Q5:Q7,"MISSING")&amp;" | Total: "&amp;COUNTA(B5:B7)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25" t="n">
        <v>1</v>
      </c>
      <c r="B5" s="26" t="inlineStr">
        <is>
          <t>360 ONE Balanced Hybrid Fund - Regular Plan - Growth</t>
        </is>
      </c>
      <c r="C5" s="26" t="inlineStr">
        <is>
          <t>360 ONE Mutual Fund</t>
        </is>
      </c>
      <c r="D5" s="26" t="inlineStr">
        <is>
          <t>Balanced Hybrid Fund</t>
        </is>
      </c>
      <c r="E5" s="27" t="n">
        <v>0.39</v>
      </c>
      <c r="F5" s="27" t="n">
        <v>5.11</v>
      </c>
      <c r="G5" s="27" t="n">
        <v>3.89</v>
      </c>
      <c r="H5" s="27" t="n">
        <v>5.5</v>
      </c>
      <c r="I5" s="27" t="n">
        <v>4.086502487114041</v>
      </c>
      <c r="J5" s="27" t="n">
        <v>0</v>
      </c>
      <c r="K5" s="16" t="n">
        <v>77.5</v>
      </c>
      <c r="L5" s="17" t="n">
        <v>0</v>
      </c>
      <c r="M5" s="23" t="n">
        <v>42.6</v>
      </c>
      <c r="N5" s="94" t="inlineStr">
        <is>
          <t>⭐ Strong</t>
        </is>
      </c>
      <c r="O5" s="94" t="inlineStr">
        <is>
          <t>⏳ New Fund</t>
        </is>
      </c>
      <c r="P5" s="94" t="inlineStr">
        <is>
          <t>📈 Momentum Only</t>
        </is>
      </c>
      <c r="Q5" s="95" t="inlineStr">
        <is>
          <t>MOMENTUM_ONLY</t>
        </is>
      </c>
    </row>
    <row r="6" ht="16" customHeight="1">
      <c r="A6" s="25" t="n">
        <v>2</v>
      </c>
      <c r="B6" s="26" t="inlineStr">
        <is>
          <t>WhiteOak Capital Balanced Hybrid Fund Regular Plan Growth</t>
        </is>
      </c>
      <c r="C6" s="26" t="inlineStr">
        <is>
          <t>WhiteOak Capital Mutual Fund</t>
        </is>
      </c>
      <c r="D6" s="26" t="inlineStr">
        <is>
          <t>Balanced Hybrid Fund</t>
        </is>
      </c>
      <c r="E6" s="27" t="n">
        <v>1.04</v>
      </c>
      <c r="F6" s="27" t="n">
        <v>5.1</v>
      </c>
      <c r="G6" s="27" t="n">
        <v>2.24</v>
      </c>
      <c r="H6" s="27" t="n">
        <v>4.98</v>
      </c>
      <c r="I6" s="27" t="n">
        <v>4.976187776085683</v>
      </c>
      <c r="J6" s="27" t="n">
        <v>0</v>
      </c>
      <c r="K6" s="87" t="n">
        <v>27.5</v>
      </c>
      <c r="L6" s="17" t="n">
        <v>0</v>
      </c>
      <c r="M6" s="23" t="n">
        <v>15.1</v>
      </c>
      <c r="N6" s="94" t="inlineStr">
        <is>
          <t>📉 Weak</t>
        </is>
      </c>
      <c r="O6" s="94" t="inlineStr">
        <is>
          <t>⏳ New Fund</t>
        </is>
      </c>
      <c r="P6" s="94" t="inlineStr">
        <is>
          <t>⏳ New Fund</t>
        </is>
      </c>
      <c r="Q6" s="95" t="inlineStr">
        <is>
          <t>MOMENTUM_ONLY</t>
        </is>
      </c>
    </row>
    <row r="7" ht="16" customHeight="1">
      <c r="A7" s="89" t="n">
        <v>0</v>
      </c>
      <c r="B7" s="90" t="inlineStr">
        <is>
          <t>ICICI Prudential Balanced Hybrid Fund - Growth</t>
        </is>
      </c>
      <c r="C7" s="90" t="inlineStr">
        <is>
          <t>ICICI Prudential Mutual Fund</t>
        </is>
      </c>
      <c r="D7" s="90" t="inlineStr">
        <is>
          <t>Balanced Hybrid Fund</t>
        </is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87" t="n">
        <v>0</v>
      </c>
      <c r="L7" s="17" t="n">
        <v>0</v>
      </c>
      <c r="M7" s="23" t="n">
        <v>0</v>
      </c>
      <c r="N7" s="92" t="inlineStr">
        <is>
          <t>❌ N/A</t>
        </is>
      </c>
      <c r="O7" s="92" t="inlineStr">
        <is>
          <t>❌ N/A</t>
        </is>
      </c>
      <c r="P7" s="92" t="inlineStr">
        <is>
          <t>❌ Missing Data</t>
        </is>
      </c>
      <c r="Q7" s="93" t="inlineStr">
        <is>
          <t>MISSING</t>
        </is>
      </c>
    </row>
  </sheetData>
  <autoFilter ref="A4:Q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CONSERVATIVE HYBRID FUND  ✦</t>
        </is>
      </c>
    </row>
    <row r="2" ht="16" customHeight="1">
      <c r="A2" s="2">
        <f>"Dual Engine: 55% Momentum + 45% Quality | ✅ Full: "&amp;COUNTIF(Q5:Q26,"FULL")&amp;" | ⚠️ Momentum: "&amp;COUNTIF(Q5:Q26,"MOMENTUM_ONLY")&amp;" | ❌ Missing: "&amp;COUNTIF(Q5:Q26,"MISSING")&amp;" | Total: "&amp;COUNTA(B5:B26)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6" t="n">
        <v>1</v>
      </c>
      <c r="B5" s="67" t="inlineStr">
        <is>
          <t>Nippon India Conservative Hybrid  Fund-Growth Plan</t>
        </is>
      </c>
      <c r="C5" s="67" t="inlineStr">
        <is>
          <t>Nippon India Mutual Fund</t>
        </is>
      </c>
      <c r="D5" s="67" t="inlineStr">
        <is>
          <t>Conservative Hybrid Fund</t>
        </is>
      </c>
      <c r="E5" s="68" t="n">
        <v>0.79</v>
      </c>
      <c r="F5" s="68" t="n">
        <v>2.99</v>
      </c>
      <c r="G5" s="68" t="n">
        <v>2.56</v>
      </c>
      <c r="H5" s="68" t="n">
        <v>7.22</v>
      </c>
      <c r="I5" s="68" t="n">
        <v>7.531390765673618</v>
      </c>
      <c r="J5" s="68" t="n">
        <v>26.82</v>
      </c>
      <c r="K5" s="16" t="n">
        <v>87.8</v>
      </c>
      <c r="L5" s="17" t="n">
        <v>0</v>
      </c>
      <c r="M5" s="23" t="n">
        <v>48.3</v>
      </c>
      <c r="N5" s="19" t="inlineStr">
        <is>
          <t>⭐ Strong</t>
        </is>
      </c>
      <c r="O5" s="19" t="inlineStr">
        <is>
          <t>🔴 Not Qualified</t>
        </is>
      </c>
      <c r="P5" s="19" t="inlineStr">
        <is>
          <t>⚠️ Watch</t>
        </is>
      </c>
      <c r="Q5" s="69" t="inlineStr">
        <is>
          <t>FULL</t>
        </is>
      </c>
    </row>
    <row r="6" ht="16" customHeight="1">
      <c r="A6" s="70" t="n">
        <v>2</v>
      </c>
      <c r="B6" s="71" t="inlineStr">
        <is>
          <t>Aditya Birla Sun Life Regular Savings Fund - Growth / Payment - Direct Plan</t>
        </is>
      </c>
      <c r="C6" s="71" t="inlineStr">
        <is>
          <t>Aditya Birla Sun Life Mutual Fund</t>
        </is>
      </c>
      <c r="D6" s="71" t="inlineStr">
        <is>
          <t>Conservative Hybrid Fund</t>
        </is>
      </c>
      <c r="E6" s="72" t="n">
        <v>0.67</v>
      </c>
      <c r="F6" s="72" t="n">
        <v>3.47</v>
      </c>
      <c r="G6" s="72" t="n">
        <v>2.52</v>
      </c>
      <c r="H6" s="72" t="n">
        <v>6.34</v>
      </c>
      <c r="I6" s="72" t="n">
        <v>7.517440445724888</v>
      </c>
      <c r="J6" s="72" t="n">
        <v>30.9</v>
      </c>
      <c r="K6" s="16" t="n">
        <v>87.5</v>
      </c>
      <c r="L6" s="17" t="n">
        <v>0</v>
      </c>
      <c r="M6" s="23" t="n">
        <v>48.1</v>
      </c>
      <c r="N6" s="73" t="inlineStr">
        <is>
          <t>⭐ Strong</t>
        </is>
      </c>
      <c r="O6" s="73" t="inlineStr">
        <is>
          <t>🔴 Not Qualified</t>
        </is>
      </c>
      <c r="P6" s="73" t="inlineStr">
        <is>
          <t>⚠️ Watch</t>
        </is>
      </c>
      <c r="Q6" s="69" t="inlineStr">
        <is>
          <t>FULL</t>
        </is>
      </c>
    </row>
    <row r="7" ht="16" customHeight="1">
      <c r="A7" s="74" t="n">
        <v>3</v>
      </c>
      <c r="B7" s="75" t="inlineStr">
        <is>
          <t>CANARA ROBECO CONSERVATIVE HYBRID FUND - REGULAR PLAN - GROWTH OPTION</t>
        </is>
      </c>
      <c r="C7" s="75" t="inlineStr">
        <is>
          <t>Canara Robeco Mutual Fund</t>
        </is>
      </c>
      <c r="D7" s="75" t="inlineStr">
        <is>
          <t>Conservative Hybrid Fund</t>
        </is>
      </c>
      <c r="E7" s="76" t="n">
        <v>0.8100000000000001</v>
      </c>
      <c r="F7" s="76" t="n">
        <v>3.7</v>
      </c>
      <c r="G7" s="76" t="n">
        <v>2.6</v>
      </c>
      <c r="H7" s="76" t="n">
        <v>3.22</v>
      </c>
      <c r="I7" s="76" t="n">
        <v>4.647025758021428</v>
      </c>
      <c r="J7" s="76" t="n">
        <v>23.74</v>
      </c>
      <c r="K7" s="16" t="n">
        <v>81.2</v>
      </c>
      <c r="L7" s="17" t="n">
        <v>0</v>
      </c>
      <c r="M7" s="23" t="n">
        <v>44.7</v>
      </c>
      <c r="N7" s="24" t="inlineStr">
        <is>
          <t>⭐ Strong</t>
        </is>
      </c>
      <c r="O7" s="24" t="inlineStr">
        <is>
          <t>🔴 Not Qualified</t>
        </is>
      </c>
      <c r="P7" s="24" t="inlineStr">
        <is>
          <t>⚠️ Watch</t>
        </is>
      </c>
      <c r="Q7" s="69" t="inlineStr">
        <is>
          <t>FULL</t>
        </is>
      </c>
    </row>
    <row r="8" ht="16" customHeight="1">
      <c r="A8" s="77" t="n">
        <v>4</v>
      </c>
      <c r="B8" s="78" t="inlineStr">
        <is>
          <t>SBI Conservative Hybrid Fund - Regular Plan - Growth</t>
        </is>
      </c>
      <c r="C8" s="78" t="inlineStr">
        <is>
          <t>SBI Mutual Fund</t>
        </is>
      </c>
      <c r="D8" s="78" t="inlineStr">
        <is>
          <t>Conservative Hybrid Fund</t>
        </is>
      </c>
      <c r="E8" s="79" t="n">
        <v>0.55</v>
      </c>
      <c r="F8" s="79" t="n">
        <v>2.5</v>
      </c>
      <c r="G8" s="79" t="n">
        <v>2.82</v>
      </c>
      <c r="H8" s="79" t="n">
        <v>6.09</v>
      </c>
      <c r="I8" s="79" t="n">
        <v>5.645634079217876</v>
      </c>
      <c r="J8" s="79" t="n">
        <v>28.14</v>
      </c>
      <c r="K8" s="16" t="n">
        <v>79.5</v>
      </c>
      <c r="L8" s="17" t="n">
        <v>0</v>
      </c>
      <c r="M8" s="23" t="n">
        <v>43.7</v>
      </c>
      <c r="N8" s="80" t="inlineStr">
        <is>
          <t>⭐ Strong</t>
        </is>
      </c>
      <c r="O8" s="80" t="inlineStr">
        <is>
          <t>🔴 Not Qualified</t>
        </is>
      </c>
      <c r="P8" s="80" t="inlineStr">
        <is>
          <t>⚠️ Watch</t>
        </is>
      </c>
      <c r="Q8" s="69" t="inlineStr">
        <is>
          <t>FULL</t>
        </is>
      </c>
    </row>
    <row r="9" ht="16" customHeight="1">
      <c r="A9" s="81" t="n">
        <v>5</v>
      </c>
      <c r="B9" s="82" t="inlineStr">
        <is>
          <t>Aditya Birla Sun Life Regular Savings Fund - Growth / Payment - Regular Plan</t>
        </is>
      </c>
      <c r="C9" s="82" t="inlineStr">
        <is>
          <t>Aditya Birla Sun Life Mutual Fund</t>
        </is>
      </c>
      <c r="D9" s="82" t="inlineStr">
        <is>
          <t>Conservative Hybrid Fund</t>
        </is>
      </c>
      <c r="E9" s="83" t="n">
        <v>0.6</v>
      </c>
      <c r="F9" s="83" t="n">
        <v>3.25</v>
      </c>
      <c r="G9" s="83" t="n">
        <v>2.09</v>
      </c>
      <c r="H9" s="83" t="n">
        <v>5.4</v>
      </c>
      <c r="I9" s="83" t="n">
        <v>6.569226327303324</v>
      </c>
      <c r="J9" s="83" t="n">
        <v>27.42</v>
      </c>
      <c r="K9" s="16" t="n">
        <v>77.5</v>
      </c>
      <c r="L9" s="17" t="n">
        <v>0</v>
      </c>
      <c r="M9" s="23" t="n">
        <v>42.6</v>
      </c>
      <c r="N9" s="85" t="inlineStr">
        <is>
          <t>⭐ Strong</t>
        </is>
      </c>
      <c r="O9" s="85" t="inlineStr">
        <is>
          <t>🔴 Not Qualified</t>
        </is>
      </c>
      <c r="P9" s="85" t="inlineStr">
        <is>
          <t>⚠️ Watch</t>
        </is>
      </c>
      <c r="Q9" s="69" t="inlineStr">
        <is>
          <t>FULL</t>
        </is>
      </c>
    </row>
    <row r="10" ht="16" customHeight="1">
      <c r="A10" s="77" t="n">
        <v>6</v>
      </c>
      <c r="B10" s="78" t="inlineStr">
        <is>
          <t>BARODA BNP PARIBAS Conservative Hybrid Fund-Regular Plan-Growth Option</t>
        </is>
      </c>
      <c r="C10" s="78" t="inlineStr">
        <is>
          <t>Baroda BNP Paribas Mutual Fund</t>
        </is>
      </c>
      <c r="D10" s="78" t="inlineStr">
        <is>
          <t>Conservative Hybrid Fund</t>
        </is>
      </c>
      <c r="E10" s="79" t="n">
        <v>0.6899999999999999</v>
      </c>
      <c r="F10" s="79" t="n">
        <v>2.82</v>
      </c>
      <c r="G10" s="79" t="n">
        <v>2.16</v>
      </c>
      <c r="H10" s="79" t="n">
        <v>4.89</v>
      </c>
      <c r="I10" s="79" t="n">
        <v>4.91425070027427</v>
      </c>
      <c r="J10" s="79" t="n">
        <v>24.35</v>
      </c>
      <c r="K10" s="16" t="n">
        <v>75</v>
      </c>
      <c r="L10" s="17" t="n">
        <v>0</v>
      </c>
      <c r="M10" s="23" t="n">
        <v>41.2</v>
      </c>
      <c r="N10" s="80" t="inlineStr">
        <is>
          <t>⭐ Strong</t>
        </is>
      </c>
      <c r="O10" s="80" t="inlineStr">
        <is>
          <t>🔴 Not Qualified</t>
        </is>
      </c>
      <c r="P10" s="80" t="inlineStr">
        <is>
          <t>⚠️ Watch</t>
        </is>
      </c>
      <c r="Q10" s="69" t="inlineStr">
        <is>
          <t>FULL</t>
        </is>
      </c>
    </row>
    <row r="11" ht="16" customHeight="1">
      <c r="A11" s="81" t="n">
        <v>7</v>
      </c>
      <c r="B11" s="82" t="inlineStr">
        <is>
          <t>BANDHAN Conservative Hybrid Fund - Regular Plan - Growth</t>
        </is>
      </c>
      <c r="C11" s="82" t="inlineStr">
        <is>
          <t>Bandhan Mutual Fund</t>
        </is>
      </c>
      <c r="D11" s="82" t="inlineStr">
        <is>
          <t>Conservative Hybrid Fund</t>
        </is>
      </c>
      <c r="E11" s="83" t="n">
        <v>0.87</v>
      </c>
      <c r="F11" s="83" t="n">
        <v>3.52</v>
      </c>
      <c r="G11" s="83" t="n">
        <v>1.39</v>
      </c>
      <c r="H11" s="83" t="n">
        <v>4.53</v>
      </c>
      <c r="I11" s="83" t="n">
        <v>4.062481231229542</v>
      </c>
      <c r="J11" s="83" t="n">
        <v>22.16</v>
      </c>
      <c r="K11" s="84" t="n">
        <v>72.5</v>
      </c>
      <c r="L11" s="17" t="n">
        <v>0</v>
      </c>
      <c r="M11" s="23" t="n">
        <v>39.9</v>
      </c>
      <c r="N11" s="85" t="inlineStr">
        <is>
          <t>📈 Good</t>
        </is>
      </c>
      <c r="O11" s="85" t="inlineStr">
        <is>
          <t>🔴 Not Qualified</t>
        </is>
      </c>
      <c r="P11" s="85" t="inlineStr">
        <is>
          <t>🔴 Avoid</t>
        </is>
      </c>
      <c r="Q11" s="69" t="inlineStr">
        <is>
          <t>FULL</t>
        </is>
      </c>
    </row>
    <row r="12" ht="16" customHeight="1">
      <c r="A12" s="77" t="n">
        <v>8</v>
      </c>
      <c r="B12" s="78" t="inlineStr">
        <is>
          <t>LIC MF Conservative Hybrid Fund-Regular Plan-Growth</t>
        </is>
      </c>
      <c r="C12" s="78" t="inlineStr">
        <is>
          <t>LIC Mutual Fund</t>
        </is>
      </c>
      <c r="D12" s="78" t="inlineStr">
        <is>
          <t>Conservative Hybrid Fund</t>
        </is>
      </c>
      <c r="E12" s="79" t="n">
        <v>0.8100000000000001</v>
      </c>
      <c r="F12" s="79" t="n">
        <v>3.92</v>
      </c>
      <c r="G12" s="79" t="n">
        <v>1.51</v>
      </c>
      <c r="H12" s="79" t="n">
        <v>4.47</v>
      </c>
      <c r="I12" s="79" t="n">
        <v>4.249700239377185</v>
      </c>
      <c r="J12" s="79" t="n">
        <v>19.85</v>
      </c>
      <c r="K12" s="84" t="n">
        <v>72.2</v>
      </c>
      <c r="L12" s="17" t="n">
        <v>0</v>
      </c>
      <c r="M12" s="23" t="n">
        <v>39.7</v>
      </c>
      <c r="N12" s="80" t="inlineStr">
        <is>
          <t>📈 Good</t>
        </is>
      </c>
      <c r="O12" s="80" t="inlineStr">
        <is>
          <t>🔴 Not Qualified</t>
        </is>
      </c>
      <c r="P12" s="80" t="inlineStr">
        <is>
          <t>🔴 Avoid</t>
        </is>
      </c>
      <c r="Q12" s="69" t="inlineStr">
        <is>
          <t>FULL</t>
        </is>
      </c>
    </row>
    <row r="13" ht="16" customHeight="1">
      <c r="A13" s="81" t="n">
        <v>9</v>
      </c>
      <c r="B13" s="82" t="inlineStr">
        <is>
          <t>Parag Parikh Conservative Hybrid Fund - Regular Plan - Growth</t>
        </is>
      </c>
      <c r="C13" s="82" t="inlineStr">
        <is>
          <t>PPFAS Mutual Fund</t>
        </is>
      </c>
      <c r="D13" s="82" t="inlineStr">
        <is>
          <t>Conservative Hybrid Fund</t>
        </is>
      </c>
      <c r="E13" s="83" t="n">
        <v>0.22</v>
      </c>
      <c r="F13" s="83" t="n">
        <v>2.77</v>
      </c>
      <c r="G13" s="83" t="n">
        <v>1.76</v>
      </c>
      <c r="H13" s="83" t="n">
        <v>5.46</v>
      </c>
      <c r="I13" s="83" t="n">
        <v>6.221466756960203</v>
      </c>
      <c r="J13" s="83" t="n">
        <v>34.54</v>
      </c>
      <c r="K13" s="84" t="n">
        <v>60.8</v>
      </c>
      <c r="L13" s="17" t="n">
        <v>0</v>
      </c>
      <c r="M13" s="23" t="n">
        <v>33.4</v>
      </c>
      <c r="N13" s="85" t="inlineStr">
        <is>
          <t>📈 Good</t>
        </is>
      </c>
      <c r="O13" s="85" t="inlineStr">
        <is>
          <t>🔴 Not Qualified</t>
        </is>
      </c>
      <c r="P13" s="85" t="inlineStr">
        <is>
          <t>🔴 Avoid</t>
        </is>
      </c>
      <c r="Q13" s="69" t="inlineStr">
        <is>
          <t>FULL</t>
        </is>
      </c>
    </row>
    <row r="14" ht="16" customHeight="1">
      <c r="A14" s="77" t="n">
        <v>10</v>
      </c>
      <c r="B14" s="78" t="inlineStr">
        <is>
          <t>Kotak Debt Hybrid - Growth</t>
        </is>
      </c>
      <c r="C14" s="78" t="inlineStr">
        <is>
          <t>Kotak Mahindra Mutual Fund</t>
        </is>
      </c>
      <c r="D14" s="78" t="inlineStr">
        <is>
          <t>Conservative Hybrid Fund</t>
        </is>
      </c>
      <c r="E14" s="79" t="n">
        <v>0.55</v>
      </c>
      <c r="F14" s="79" t="n">
        <v>3.36</v>
      </c>
      <c r="G14" s="79" t="n">
        <v>0.97</v>
      </c>
      <c r="H14" s="79" t="n">
        <v>3.65</v>
      </c>
      <c r="I14" s="79" t="n">
        <v>3.754517973917637</v>
      </c>
      <c r="J14" s="79" t="n">
        <v>26.74</v>
      </c>
      <c r="K14" s="84" t="n">
        <v>54</v>
      </c>
      <c r="L14" s="17" t="n">
        <v>0</v>
      </c>
      <c r="M14" s="23" t="n">
        <v>29.7</v>
      </c>
      <c r="N14" s="80" t="inlineStr">
        <is>
          <t>➡️ Neutral</t>
        </is>
      </c>
      <c r="O14" s="80" t="inlineStr">
        <is>
          <t>🔴 Not Qualified</t>
        </is>
      </c>
      <c r="P14" s="80" t="inlineStr">
        <is>
          <t>🔴 Avoid</t>
        </is>
      </c>
      <c r="Q14" s="69" t="inlineStr">
        <is>
          <t>FULL</t>
        </is>
      </c>
    </row>
    <row r="15" ht="16" customHeight="1">
      <c r="A15" s="81" t="n">
        <v>11</v>
      </c>
      <c r="B15" s="82" t="inlineStr">
        <is>
          <t>ICICI Prudential Regular Savings Fund - Direct Plan - Growth</t>
        </is>
      </c>
      <c r="C15" s="82" t="inlineStr">
        <is>
          <t>ICICI Prudential Mutual Fund</t>
        </is>
      </c>
      <c r="D15" s="82" t="inlineStr">
        <is>
          <t>Conservative Hybrid Fund</t>
        </is>
      </c>
      <c r="E15" s="83" t="n">
        <v>0.12</v>
      </c>
      <c r="F15" s="83" t="n">
        <v>2.31</v>
      </c>
      <c r="G15" s="83" t="n">
        <v>2.02</v>
      </c>
      <c r="H15" s="83" t="n">
        <v>5.06</v>
      </c>
      <c r="I15" s="83" t="n">
        <v>6.545764814937627</v>
      </c>
      <c r="J15" s="83" t="n">
        <v>31.53</v>
      </c>
      <c r="K15" s="84" t="n">
        <v>52.2</v>
      </c>
      <c r="L15" s="17" t="n">
        <v>0</v>
      </c>
      <c r="M15" s="23" t="n">
        <v>28.7</v>
      </c>
      <c r="N15" s="85" t="inlineStr">
        <is>
          <t>➡️ Neutral</t>
        </is>
      </c>
      <c r="O15" s="85" t="inlineStr">
        <is>
          <t>🔴 Not Qualified</t>
        </is>
      </c>
      <c r="P15" s="85" t="inlineStr">
        <is>
          <t>🔴 Avoid</t>
        </is>
      </c>
      <c r="Q15" s="69" t="inlineStr">
        <is>
          <t>FULL</t>
        </is>
      </c>
    </row>
    <row r="16" ht="16" customHeight="1">
      <c r="A16" s="77" t="n">
        <v>12</v>
      </c>
      <c r="B16" s="78" t="inlineStr">
        <is>
          <t>DSP Regular Savings Fund - Direct Plan - Growth</t>
        </is>
      </c>
      <c r="C16" s="78" t="inlineStr">
        <is>
          <t>DSP Mutual Fund</t>
        </is>
      </c>
      <c r="D16" s="78" t="inlineStr">
        <is>
          <t>Conservative Hybrid Fund</t>
        </is>
      </c>
      <c r="E16" s="79" t="n">
        <v>0.12</v>
      </c>
      <c r="F16" s="79" t="n">
        <v>2.3</v>
      </c>
      <c r="G16" s="79" t="n">
        <v>1.94</v>
      </c>
      <c r="H16" s="79" t="n">
        <v>4.77</v>
      </c>
      <c r="I16" s="79" t="n">
        <v>6.207344378814028</v>
      </c>
      <c r="J16" s="79" t="n">
        <v>30.19</v>
      </c>
      <c r="K16" s="87" t="n">
        <v>47.2</v>
      </c>
      <c r="L16" s="17" t="n">
        <v>0</v>
      </c>
      <c r="M16" s="23" t="n">
        <v>26</v>
      </c>
      <c r="N16" s="80" t="inlineStr">
        <is>
          <t>➡️ Neutral</t>
        </is>
      </c>
      <c r="O16" s="80" t="inlineStr">
        <is>
          <t>🔴 Not Qualified</t>
        </is>
      </c>
      <c r="P16" s="80" t="inlineStr">
        <is>
          <t>🔴 Avoid</t>
        </is>
      </c>
      <c r="Q16" s="69" t="inlineStr">
        <is>
          <t>FULL</t>
        </is>
      </c>
    </row>
    <row r="17" ht="16" customHeight="1">
      <c r="A17" s="81" t="n">
        <v>13</v>
      </c>
      <c r="B17" s="82" t="inlineStr">
        <is>
          <t>ICICI Prudential Regular Savings Fund - Plan - Growth</t>
        </is>
      </c>
      <c r="C17" s="82" t="inlineStr">
        <is>
          <t>ICICI Prudential Mutual Fund</t>
        </is>
      </c>
      <c r="D17" s="82" t="inlineStr">
        <is>
          <t>Conservative Hybrid Fund</t>
        </is>
      </c>
      <c r="E17" s="83" t="n">
        <v>0.06</v>
      </c>
      <c r="F17" s="83" t="n">
        <v>2.14</v>
      </c>
      <c r="G17" s="83" t="n">
        <v>1.65</v>
      </c>
      <c r="H17" s="83" t="n">
        <v>4.28</v>
      </c>
      <c r="I17" s="83" t="n">
        <v>5.763887976946092</v>
      </c>
      <c r="J17" s="83" t="n">
        <v>28.61</v>
      </c>
      <c r="K17" s="87" t="n">
        <v>36</v>
      </c>
      <c r="L17" s="17" t="n">
        <v>0</v>
      </c>
      <c r="M17" s="23" t="n">
        <v>19.8</v>
      </c>
      <c r="N17" s="85" t="inlineStr">
        <is>
          <t>📉 Weak</t>
        </is>
      </c>
      <c r="O17" s="85" t="inlineStr">
        <is>
          <t>🔴 Not Qualified</t>
        </is>
      </c>
      <c r="P17" s="85" t="inlineStr">
        <is>
          <t>🔴 Avoid</t>
        </is>
      </c>
      <c r="Q17" s="69" t="inlineStr">
        <is>
          <t>FULL</t>
        </is>
      </c>
    </row>
    <row r="18" ht="16" customHeight="1">
      <c r="A18" s="77" t="n">
        <v>14</v>
      </c>
      <c r="B18" s="78" t="inlineStr">
        <is>
          <t>UTI Conservative Hybrid Fund - Regular Plan - Growth Option</t>
        </is>
      </c>
      <c r="C18" s="78" t="inlineStr">
        <is>
          <t>UTI Mutual Fund</t>
        </is>
      </c>
      <c r="D18" s="78" t="inlineStr">
        <is>
          <t>Conservative Hybrid Fund</t>
        </is>
      </c>
      <c r="E18" s="79" t="n">
        <v>0.18</v>
      </c>
      <c r="F18" s="79" t="n">
        <v>3.07</v>
      </c>
      <c r="G18" s="79" t="n">
        <v>0.88</v>
      </c>
      <c r="H18" s="79" t="n">
        <v>2.81</v>
      </c>
      <c r="I18" s="79" t="n">
        <v>4.192130221048851</v>
      </c>
      <c r="J18" s="79" t="n">
        <v>25.95</v>
      </c>
      <c r="K18" s="87" t="n">
        <v>35.5</v>
      </c>
      <c r="L18" s="17" t="n">
        <v>0</v>
      </c>
      <c r="M18" s="23" t="n">
        <v>19.5</v>
      </c>
      <c r="N18" s="80" t="inlineStr">
        <is>
          <t>📉 Weak</t>
        </is>
      </c>
      <c r="O18" s="80" t="inlineStr">
        <is>
          <t>🔴 Not Qualified</t>
        </is>
      </c>
      <c r="P18" s="80" t="inlineStr">
        <is>
          <t>🔴 Avoid</t>
        </is>
      </c>
      <c r="Q18" s="69" t="inlineStr">
        <is>
          <t>FULL</t>
        </is>
      </c>
    </row>
    <row r="19" ht="16" customHeight="1">
      <c r="A19" s="81" t="n">
        <v>14</v>
      </c>
      <c r="B19" s="82" t="inlineStr">
        <is>
          <t>UTI Conservative Hybrd Fund - Regular Plan - Monthly Payment Option</t>
        </is>
      </c>
      <c r="C19" s="82" t="inlineStr">
        <is>
          <t>UTI Mutual Fund</t>
        </is>
      </c>
      <c r="D19" s="82" t="inlineStr">
        <is>
          <t>Conservative Hybrid Fund</t>
        </is>
      </c>
      <c r="E19" s="83" t="n">
        <v>0.18</v>
      </c>
      <c r="F19" s="83" t="n">
        <v>3.07</v>
      </c>
      <c r="G19" s="83" t="n">
        <v>0.88</v>
      </c>
      <c r="H19" s="83" t="n">
        <v>2.81</v>
      </c>
      <c r="I19" s="83" t="n">
        <v>4.192130221048851</v>
      </c>
      <c r="J19" s="83" t="n">
        <v>25.95</v>
      </c>
      <c r="K19" s="87" t="n">
        <v>35.5</v>
      </c>
      <c r="L19" s="17" t="n">
        <v>0</v>
      </c>
      <c r="M19" s="23" t="n">
        <v>19.5</v>
      </c>
      <c r="N19" s="85" t="inlineStr">
        <is>
          <t>📉 Weak</t>
        </is>
      </c>
      <c r="O19" s="85" t="inlineStr">
        <is>
          <t>🔴 Not Qualified</t>
        </is>
      </c>
      <c r="P19" s="85" t="inlineStr">
        <is>
          <t>🔴 Avoid</t>
        </is>
      </c>
      <c r="Q19" s="69" t="inlineStr">
        <is>
          <t>FULL</t>
        </is>
      </c>
    </row>
    <row r="20" ht="16" customHeight="1">
      <c r="A20" s="77" t="n">
        <v>14</v>
      </c>
      <c r="B20" s="78" t="inlineStr">
        <is>
          <t>DSP Regular Savings Fund- Regular Plan - Growth</t>
        </is>
      </c>
      <c r="C20" s="78" t="inlineStr">
        <is>
          <t>DSP Mutual Fund</t>
        </is>
      </c>
      <c r="D20" s="78" t="inlineStr">
        <is>
          <t>Conservative Hybrid Fund</t>
        </is>
      </c>
      <c r="E20" s="79" t="n">
        <v>0.07000000000000001</v>
      </c>
      <c r="F20" s="79" t="n">
        <v>2.15</v>
      </c>
      <c r="G20" s="79" t="n">
        <v>1.61</v>
      </c>
      <c r="H20" s="79" t="n">
        <v>4.05</v>
      </c>
      <c r="I20" s="79" t="n">
        <v>5.508293512879825</v>
      </c>
      <c r="J20" s="79" t="n">
        <v>27.69</v>
      </c>
      <c r="K20" s="87" t="n">
        <v>35.5</v>
      </c>
      <c r="L20" s="17" t="n">
        <v>0</v>
      </c>
      <c r="M20" s="23" t="n">
        <v>19.5</v>
      </c>
      <c r="N20" s="80" t="inlineStr">
        <is>
          <t>📉 Weak</t>
        </is>
      </c>
      <c r="O20" s="80" t="inlineStr">
        <is>
          <t>🔴 Not Qualified</t>
        </is>
      </c>
      <c r="P20" s="80" t="inlineStr">
        <is>
          <t>🔴 Avoid</t>
        </is>
      </c>
      <c r="Q20" s="69" t="inlineStr">
        <is>
          <t>FULL</t>
        </is>
      </c>
    </row>
    <row r="21" ht="16" customHeight="1">
      <c r="A21" s="81" t="n">
        <v>17</v>
      </c>
      <c r="B21" s="82" t="inlineStr">
        <is>
          <t>Franklin India Conservative Hybrid Fund - Growth</t>
        </is>
      </c>
      <c r="C21" s="82" t="inlineStr">
        <is>
          <t>Franklin Templeton Mutual Fund</t>
        </is>
      </c>
      <c r="D21" s="82" t="inlineStr">
        <is>
          <t>Conservative Hybrid Fund</t>
        </is>
      </c>
      <c r="E21" s="83" t="n">
        <v>0.52</v>
      </c>
      <c r="F21" s="83" t="n">
        <v>2.76</v>
      </c>
      <c r="G21" s="83" t="n">
        <v>0.6</v>
      </c>
      <c r="H21" s="83" t="n">
        <v>2.55</v>
      </c>
      <c r="I21" s="83" t="n">
        <v>4.297650980259382</v>
      </c>
      <c r="J21" s="83" t="n">
        <v>24.97</v>
      </c>
      <c r="K21" s="87" t="n">
        <v>34</v>
      </c>
      <c r="L21" s="17" t="n">
        <v>0</v>
      </c>
      <c r="M21" s="23" t="n">
        <v>18.7</v>
      </c>
      <c r="N21" s="85" t="inlineStr">
        <is>
          <t>📉 Weak</t>
        </is>
      </c>
      <c r="O21" s="85" t="inlineStr">
        <is>
          <t>🔴 Not Qualified</t>
        </is>
      </c>
      <c r="P21" s="85" t="inlineStr">
        <is>
          <t>🔴 Avoid</t>
        </is>
      </c>
      <c r="Q21" s="69" t="inlineStr">
        <is>
          <t>FULL</t>
        </is>
      </c>
    </row>
    <row r="22" ht="16" customHeight="1">
      <c r="A22" s="77" t="n">
        <v>18</v>
      </c>
      <c r="B22" s="78" t="inlineStr">
        <is>
          <t>HDFC Hybrid Debt Fund - Growth Plan</t>
        </is>
      </c>
      <c r="C22" s="78" t="inlineStr">
        <is>
          <t>HDFC Mutual Fund</t>
        </is>
      </c>
      <c r="D22" s="78" t="inlineStr">
        <is>
          <t>Conservative Hybrid Fund</t>
        </is>
      </c>
      <c r="E22" s="86" t="n">
        <v>-0.05</v>
      </c>
      <c r="F22" s="79" t="n">
        <v>2.78</v>
      </c>
      <c r="G22" s="79" t="n">
        <v>0.29</v>
      </c>
      <c r="H22" s="79" t="n">
        <v>2.87</v>
      </c>
      <c r="I22" s="79" t="n">
        <v>3.590540108641194</v>
      </c>
      <c r="J22" s="79" t="n">
        <v>24.57</v>
      </c>
      <c r="K22" s="87" t="n">
        <v>25.8</v>
      </c>
      <c r="L22" s="17" t="n">
        <v>0</v>
      </c>
      <c r="M22" s="23" t="n">
        <v>14.2</v>
      </c>
      <c r="N22" s="80" t="inlineStr">
        <is>
          <t>📉 Weak</t>
        </is>
      </c>
      <c r="O22" s="80" t="inlineStr">
        <is>
          <t>🔴 Not Qualified</t>
        </is>
      </c>
      <c r="P22" s="80" t="inlineStr">
        <is>
          <t>🔴 Avoid</t>
        </is>
      </c>
      <c r="Q22" s="69" t="inlineStr">
        <is>
          <t>FULL</t>
        </is>
      </c>
    </row>
    <row r="23" ht="16" customHeight="1">
      <c r="A23" s="81" t="n">
        <v>19</v>
      </c>
      <c r="B23" s="82" t="inlineStr">
        <is>
          <t>Axis Conservative Hybrid Fund - Regular Plan - Growth Option</t>
        </is>
      </c>
      <c r="C23" s="82" t="inlineStr">
        <is>
          <t>Axis Mutual Fund</t>
        </is>
      </c>
      <c r="D23" s="82" t="inlineStr">
        <is>
          <t>Conservative Hybrid Fund</t>
        </is>
      </c>
      <c r="E23" s="83" t="n">
        <v>0.28</v>
      </c>
      <c r="F23" s="83" t="n">
        <v>2.49</v>
      </c>
      <c r="G23" s="83" t="n">
        <v>0.25</v>
      </c>
      <c r="H23" s="83" t="n">
        <v>2.53</v>
      </c>
      <c r="I23" s="83" t="n">
        <v>3.821962994349137</v>
      </c>
      <c r="J23" s="83" t="n">
        <v>19.54</v>
      </c>
      <c r="K23" s="87" t="n">
        <v>25.2</v>
      </c>
      <c r="L23" s="17" t="n">
        <v>0</v>
      </c>
      <c r="M23" s="23" t="n">
        <v>13.9</v>
      </c>
      <c r="N23" s="85" t="inlineStr">
        <is>
          <t>📉 Weak</t>
        </is>
      </c>
      <c r="O23" s="85" t="inlineStr">
        <is>
          <t>🔴 Not Qualified</t>
        </is>
      </c>
      <c r="P23" s="85" t="inlineStr">
        <is>
          <t>🔴 Avoid</t>
        </is>
      </c>
      <c r="Q23" s="69" t="inlineStr">
        <is>
          <t>FULL</t>
        </is>
      </c>
    </row>
    <row r="24" ht="16" customHeight="1">
      <c r="A24" s="77" t="n">
        <v>20</v>
      </c>
      <c r="B24" s="78" t="inlineStr">
        <is>
          <t>Sundaram Conservative Hybrid Fund (Formerly Known as Sundaram Debt Oriented Hybrid Fund) Regular Plan - Growth</t>
        </is>
      </c>
      <c r="C24" s="78" t="inlineStr">
        <is>
          <t>Sundaram Mutual Fund</t>
        </is>
      </c>
      <c r="D24" s="78" t="inlineStr">
        <is>
          <t>Conservative Hybrid Fund</t>
        </is>
      </c>
      <c r="E24" s="79" t="n">
        <v>0.39</v>
      </c>
      <c r="F24" s="79" t="n">
        <v>1.97</v>
      </c>
      <c r="G24" s="86" t="n">
        <v>-0.64</v>
      </c>
      <c r="H24" s="79" t="n">
        <v>0.78</v>
      </c>
      <c r="I24" s="79" t="n">
        <v>2.254584249313729</v>
      </c>
      <c r="J24" s="79" t="n">
        <v>15.71</v>
      </c>
      <c r="K24" s="87" t="n">
        <v>18.8</v>
      </c>
      <c r="L24" s="17" t="n">
        <v>0</v>
      </c>
      <c r="M24" s="23" t="n">
        <v>10.3</v>
      </c>
      <c r="N24" s="80" t="inlineStr">
        <is>
          <t>📉 Weak</t>
        </is>
      </c>
      <c r="O24" s="80" t="inlineStr">
        <is>
          <t>🔴 Not Qualified</t>
        </is>
      </c>
      <c r="P24" s="80" t="inlineStr">
        <is>
          <t>🔴 Avoid</t>
        </is>
      </c>
      <c r="Q24" s="69" t="inlineStr">
        <is>
          <t>FULL</t>
        </is>
      </c>
    </row>
    <row r="25" ht="16" customHeight="1">
      <c r="A25" s="81" t="n">
        <v>21</v>
      </c>
      <c r="B25" s="82" t="inlineStr">
        <is>
          <t>Kotak Debt Hybrid - Monthly Payout of Income Distribution cum capital withdrawal option</t>
        </is>
      </c>
      <c r="C25" s="82" t="inlineStr">
        <is>
          <t>Kotak Mahindra Mutual Fund</t>
        </is>
      </c>
      <c r="D25" s="82" t="inlineStr">
        <is>
          <t>Conservative Hybrid Fund</t>
        </is>
      </c>
      <c r="E25" s="88" t="n">
        <v>-0.07000000000000001</v>
      </c>
      <c r="F25" s="83" t="n">
        <v>1.44</v>
      </c>
      <c r="G25" s="88" t="n">
        <v>-2.73</v>
      </c>
      <c r="H25" s="88" t="n">
        <v>-3.84</v>
      </c>
      <c r="I25" s="88" t="n">
        <v>-3.719160784712727</v>
      </c>
      <c r="J25" s="83" t="n">
        <v>0.22</v>
      </c>
      <c r="K25" s="87" t="n">
        <v>2.5</v>
      </c>
      <c r="L25" s="17" t="n">
        <v>0</v>
      </c>
      <c r="M25" s="23" t="n">
        <v>1.4</v>
      </c>
      <c r="N25" s="85" t="inlineStr">
        <is>
          <t>📉 Weak</t>
        </is>
      </c>
      <c r="O25" s="85" t="inlineStr">
        <is>
          <t>🔴 Not Qualified</t>
        </is>
      </c>
      <c r="P25" s="85" t="inlineStr">
        <is>
          <t>🔴 Avoid</t>
        </is>
      </c>
      <c r="Q25" s="69" t="inlineStr">
        <is>
          <t>FULL</t>
        </is>
      </c>
    </row>
    <row r="26" ht="16" customHeight="1">
      <c r="A26" s="89" t="n">
        <v>0</v>
      </c>
      <c r="B26" s="90" t="inlineStr">
        <is>
          <t>Nippon India Conservative Hybrid  Fund - Segregated Portfolio 2 - Growth Plan</t>
        </is>
      </c>
      <c r="C26" s="90" t="inlineStr">
        <is>
          <t>Nippon India Mutual Fund</t>
        </is>
      </c>
      <c r="D26" s="90" t="inlineStr">
        <is>
          <t>Conservative Hybrid Fund</t>
        </is>
      </c>
      <c r="E26" s="91" t="n">
        <v>0</v>
      </c>
      <c r="F26" s="91" t="n">
        <v>0</v>
      </c>
      <c r="G26" s="91" t="n">
        <v>0</v>
      </c>
      <c r="H26" s="91" t="n">
        <v>0</v>
      </c>
      <c r="I26" s="91" t="n">
        <v>0</v>
      </c>
      <c r="J26" s="91" t="n">
        <v>0</v>
      </c>
      <c r="K26" s="87" t="n">
        <v>0</v>
      </c>
      <c r="L26" s="17" t="n">
        <v>0</v>
      </c>
      <c r="M26" s="23" t="n">
        <v>0</v>
      </c>
      <c r="N26" s="92" t="inlineStr">
        <is>
          <t>❌ N/A</t>
        </is>
      </c>
      <c r="O26" s="92" t="inlineStr">
        <is>
          <t>❌ N/A</t>
        </is>
      </c>
      <c r="P26" s="92" t="inlineStr">
        <is>
          <t>❌ Missing Data</t>
        </is>
      </c>
      <c r="Q26" s="93" t="inlineStr">
        <is>
          <t>MISSING</t>
        </is>
      </c>
    </row>
  </sheetData>
  <autoFilter ref="A4:Q26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DYNAMIC ASSET ALLOCATION OR BALANCED ADVANTAGE  ✦</t>
        </is>
      </c>
    </row>
    <row r="2" ht="16" customHeight="1">
      <c r="A2" s="2">
        <f>"Dual Engine: 55% Momentum + 45% Quality | ✅ Full: "&amp;COUNTIF(Q5:Q40,"FULL")&amp;" | ⚠️ Momentum: "&amp;COUNTIF(Q5:Q40,"MOMENTUM_ONLY")&amp;" | ❌ Missing: "&amp;COUNTIF(Q5:Q40,"MISSING")&amp;" | Total: "&amp;COUNTA(B5:B40)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6" t="n">
        <v>1</v>
      </c>
      <c r="B5" s="67" t="inlineStr">
        <is>
          <t>ICICI Prudential Balanced Advantage Fund - Growth</t>
        </is>
      </c>
      <c r="C5" s="67" t="inlineStr">
        <is>
          <t>ICICI Prudential Mutual Fund</t>
        </is>
      </c>
      <c r="D5" s="67" t="inlineStr">
        <is>
          <t>Dynamic Asset Allocation Or Balanced Advantage</t>
        </is>
      </c>
      <c r="E5" s="68" t="n">
        <v>2.24</v>
      </c>
      <c r="F5" s="68" t="n">
        <v>6.21</v>
      </c>
      <c r="G5" s="68" t="n">
        <v>2.53</v>
      </c>
      <c r="H5" s="68" t="n">
        <v>8.44</v>
      </c>
      <c r="I5" s="68" t="n">
        <v>7.242715370322483</v>
      </c>
      <c r="J5" s="68" t="n">
        <v>41.27</v>
      </c>
      <c r="K5" s="16" t="n">
        <v>93.2</v>
      </c>
      <c r="L5" s="17" t="n">
        <v>0</v>
      </c>
      <c r="M5" s="18" t="n">
        <v>51.3</v>
      </c>
      <c r="N5" s="19" t="inlineStr">
        <is>
          <t>🔥 Hot</t>
        </is>
      </c>
      <c r="O5" s="19" t="inlineStr">
        <is>
          <t>🔴 Not Qualified</t>
        </is>
      </c>
      <c r="P5" s="19" t="inlineStr">
        <is>
          <t>⚠️ Watch</t>
        </is>
      </c>
      <c r="Q5" s="69" t="inlineStr">
        <is>
          <t>FULL</t>
        </is>
      </c>
    </row>
    <row r="6" ht="16" customHeight="1">
      <c r="A6" s="70" t="n">
        <v>2</v>
      </c>
      <c r="B6" s="71" t="inlineStr">
        <is>
          <t>Aditya Birla Sun Life Balanced Advantage Fund - Regular Plan - Growth Option</t>
        </is>
      </c>
      <c r="C6" s="71" t="inlineStr">
        <is>
          <t>Aditya Birla Sun Life Mutual Fund</t>
        </is>
      </c>
      <c r="D6" s="71" t="inlineStr">
        <is>
          <t>Dynamic Asset Allocation Or Balanced Advantage</t>
        </is>
      </c>
      <c r="E6" s="72" t="n">
        <v>1.54</v>
      </c>
      <c r="F6" s="72" t="n">
        <v>5.57</v>
      </c>
      <c r="G6" s="72" t="n">
        <v>3.55</v>
      </c>
      <c r="H6" s="72" t="n">
        <v>8.34</v>
      </c>
      <c r="I6" s="72" t="n">
        <v>6.625512894428787</v>
      </c>
      <c r="J6" s="72" t="n">
        <v>39.77</v>
      </c>
      <c r="K6" s="16" t="n">
        <v>89.7</v>
      </c>
      <c r="L6" s="17" t="n">
        <v>0</v>
      </c>
      <c r="M6" s="23" t="n">
        <v>49.3</v>
      </c>
      <c r="N6" s="73" t="inlineStr">
        <is>
          <t>⭐ Strong</t>
        </is>
      </c>
      <c r="O6" s="73" t="inlineStr">
        <is>
          <t>🔴 Not Qualified</t>
        </is>
      </c>
      <c r="P6" s="73" t="inlineStr">
        <is>
          <t>⚠️ Watch</t>
        </is>
      </c>
      <c r="Q6" s="69" t="inlineStr">
        <is>
          <t>FULL</t>
        </is>
      </c>
    </row>
    <row r="7" ht="16" customHeight="1">
      <c r="A7" s="74" t="n">
        <v>3</v>
      </c>
      <c r="B7" s="75" t="inlineStr">
        <is>
          <t>LIC MF Balanced Advantage Fund-Regular Plan-Growth</t>
        </is>
      </c>
      <c r="C7" s="75" t="inlineStr">
        <is>
          <t>LIC Mutual Fund</t>
        </is>
      </c>
      <c r="D7" s="75" t="inlineStr">
        <is>
          <t>Dynamic Asset Allocation Or Balanced Advantage</t>
        </is>
      </c>
      <c r="E7" s="76" t="n">
        <v>3.71</v>
      </c>
      <c r="F7" s="76" t="n">
        <v>7.7</v>
      </c>
      <c r="G7" s="76" t="n">
        <v>3.23</v>
      </c>
      <c r="H7" s="76" t="n">
        <v>4.2</v>
      </c>
      <c r="I7" s="76" t="n">
        <v>3.870111196628656</v>
      </c>
      <c r="J7" s="76" t="n">
        <v>26.24</v>
      </c>
      <c r="K7" s="16" t="n">
        <v>85.09999999999999</v>
      </c>
      <c r="L7" s="17" t="n">
        <v>0</v>
      </c>
      <c r="M7" s="23" t="n">
        <v>46.8</v>
      </c>
      <c r="N7" s="24" t="inlineStr">
        <is>
          <t>⭐ Strong</t>
        </is>
      </c>
      <c r="O7" s="24" t="inlineStr">
        <is>
          <t>🔴 Not Qualified</t>
        </is>
      </c>
      <c r="P7" s="24" t="inlineStr">
        <is>
          <t>⚠️ Watch</t>
        </is>
      </c>
      <c r="Q7" s="69" t="inlineStr">
        <is>
          <t>FULL</t>
        </is>
      </c>
    </row>
    <row r="8" ht="16" customHeight="1">
      <c r="A8" s="77" t="n">
        <v>4</v>
      </c>
      <c r="B8" s="78" t="inlineStr">
        <is>
          <t>UTI - Unit Linked Insurance Plan</t>
        </is>
      </c>
      <c r="C8" s="78" t="inlineStr">
        <is>
          <t>UTI Mutual Fund</t>
        </is>
      </c>
      <c r="D8" s="78" t="inlineStr">
        <is>
          <t>Dynamic Asset Allocation Or Balanced Advantage</t>
        </is>
      </c>
      <c r="E8" s="79" t="n">
        <v>1.83</v>
      </c>
      <c r="F8" s="79" t="n">
        <v>6.51</v>
      </c>
      <c r="G8" s="79" t="n">
        <v>4.04</v>
      </c>
      <c r="H8" s="79" t="n">
        <v>3.98</v>
      </c>
      <c r="I8" s="79" t="n">
        <v>5.104709694665921</v>
      </c>
      <c r="J8" s="79" t="n">
        <v>27.02</v>
      </c>
      <c r="K8" s="16" t="n">
        <v>84.3</v>
      </c>
      <c r="L8" s="17" t="n">
        <v>0</v>
      </c>
      <c r="M8" s="23" t="n">
        <v>46.3</v>
      </c>
      <c r="N8" s="80" t="inlineStr">
        <is>
          <t>⭐ Strong</t>
        </is>
      </c>
      <c r="O8" s="80" t="inlineStr">
        <is>
          <t>🔴 Not Qualified</t>
        </is>
      </c>
      <c r="P8" s="80" t="inlineStr">
        <is>
          <t>⚠️ Watch</t>
        </is>
      </c>
      <c r="Q8" s="69" t="inlineStr">
        <is>
          <t>FULL</t>
        </is>
      </c>
    </row>
    <row r="9" ht="16" customHeight="1">
      <c r="A9" s="81" t="n">
        <v>5</v>
      </c>
      <c r="B9" s="82" t="inlineStr">
        <is>
          <t>Baroda BNP Paribas Balanced Advantage Fund-Regular Plan -Growth Option</t>
        </is>
      </c>
      <c r="C9" s="82" t="inlineStr">
        <is>
          <t>Baroda BNP Paribas Mutual Fund</t>
        </is>
      </c>
      <c r="D9" s="82" t="inlineStr">
        <is>
          <t>Dynamic Asset Allocation Or Balanced Advantage</t>
        </is>
      </c>
      <c r="E9" s="83" t="n">
        <v>1.61</v>
      </c>
      <c r="F9" s="83" t="n">
        <v>4.08</v>
      </c>
      <c r="G9" s="83" t="n">
        <v>2.77</v>
      </c>
      <c r="H9" s="83" t="n">
        <v>8.550000000000001</v>
      </c>
      <c r="I9" s="83" t="n">
        <v>6.212052046836947</v>
      </c>
      <c r="J9" s="83" t="n">
        <v>42.72</v>
      </c>
      <c r="K9" s="16" t="n">
        <v>83.7</v>
      </c>
      <c r="L9" s="17" t="n">
        <v>0</v>
      </c>
      <c r="M9" s="23" t="n">
        <v>46</v>
      </c>
      <c r="N9" s="85" t="inlineStr">
        <is>
          <t>⭐ Strong</t>
        </is>
      </c>
      <c r="O9" s="85" t="inlineStr">
        <is>
          <t>🔴 Not Qualified</t>
        </is>
      </c>
      <c r="P9" s="85" t="inlineStr">
        <is>
          <t>⚠️ Watch</t>
        </is>
      </c>
      <c r="Q9" s="69" t="inlineStr">
        <is>
          <t>FULL</t>
        </is>
      </c>
    </row>
    <row r="10" ht="16" customHeight="1">
      <c r="A10" s="77" t="n">
        <v>6</v>
      </c>
      <c r="B10" s="78" t="inlineStr">
        <is>
          <t>Edelweiss Balanced Advantage Fund - Regular Plan - Growth Option</t>
        </is>
      </c>
      <c r="C10" s="78" t="inlineStr">
        <is>
          <t>Edelweiss Mutual Fund</t>
        </is>
      </c>
      <c r="D10" s="78" t="inlineStr">
        <is>
          <t>Dynamic Asset Allocation Or Balanced Advantage</t>
        </is>
      </c>
      <c r="E10" s="79" t="n">
        <v>1.9</v>
      </c>
      <c r="F10" s="79" t="n">
        <v>4.61</v>
      </c>
      <c r="G10" s="79" t="n">
        <v>1.63</v>
      </c>
      <c r="H10" s="79" t="n">
        <v>6.8</v>
      </c>
      <c r="I10" s="79" t="n">
        <v>3.706316104661633</v>
      </c>
      <c r="J10" s="79" t="n">
        <v>35.24</v>
      </c>
      <c r="K10" s="16" t="n">
        <v>82.8</v>
      </c>
      <c r="L10" s="17" t="n">
        <v>0</v>
      </c>
      <c r="M10" s="23" t="n">
        <v>45.5</v>
      </c>
      <c r="N10" s="80" t="inlineStr">
        <is>
          <t>⭐ Strong</t>
        </is>
      </c>
      <c r="O10" s="80" t="inlineStr">
        <is>
          <t>🔴 Not Qualified</t>
        </is>
      </c>
      <c r="P10" s="80" t="inlineStr">
        <is>
          <t>⚠️ Watch</t>
        </is>
      </c>
      <c r="Q10" s="69" t="inlineStr">
        <is>
          <t>FULL</t>
        </is>
      </c>
    </row>
    <row r="11" ht="16" customHeight="1">
      <c r="A11" s="81" t="n">
        <v>7</v>
      </c>
      <c r="B11" s="82" t="inlineStr">
        <is>
          <t>Motilal Oswal Balanced Advantage Fund (MOFDYNAMIC) - Regular Plan - Growth Option</t>
        </is>
      </c>
      <c r="C11" s="82" t="inlineStr">
        <is>
          <t>Motilal Oswal Mutual Fund</t>
        </is>
      </c>
      <c r="D11" s="82" t="inlineStr">
        <is>
          <t>Dynamic Asset Allocation Or Balanced Advantage</t>
        </is>
      </c>
      <c r="E11" s="83" t="n">
        <v>5.42</v>
      </c>
      <c r="F11" s="83" t="n">
        <v>9.34</v>
      </c>
      <c r="G11" s="83" t="n">
        <v>6.19</v>
      </c>
      <c r="H11" s="88" t="n">
        <v>-0.52</v>
      </c>
      <c r="I11" s="88" t="n">
        <v>-5.068445709553449</v>
      </c>
      <c r="J11" s="83" t="n">
        <v>8.220000000000001</v>
      </c>
      <c r="K11" s="16" t="n">
        <v>79</v>
      </c>
      <c r="L11" s="17" t="n">
        <v>0</v>
      </c>
      <c r="M11" s="23" t="n">
        <v>43.4</v>
      </c>
      <c r="N11" s="85" t="inlineStr">
        <is>
          <t>⭐ Strong</t>
        </is>
      </c>
      <c r="O11" s="85" t="inlineStr">
        <is>
          <t>🔴 Not Qualified</t>
        </is>
      </c>
      <c r="P11" s="85" t="inlineStr">
        <is>
          <t>⚠️ Watch</t>
        </is>
      </c>
      <c r="Q11" s="69" t="inlineStr">
        <is>
          <t>FULL</t>
        </is>
      </c>
    </row>
    <row r="12" ht="16" customHeight="1">
      <c r="A12" s="77" t="n">
        <v>8</v>
      </c>
      <c r="B12" s="78" t="inlineStr">
        <is>
          <t>WhiteOak Capital Balanced Advantage Fund Regular Plan Growth</t>
        </is>
      </c>
      <c r="C12" s="78" t="inlineStr">
        <is>
          <t>WhiteOak Capital Mutual Fund</t>
        </is>
      </c>
      <c r="D12" s="78" t="inlineStr">
        <is>
          <t>Dynamic Asset Allocation Or Balanced Advantage</t>
        </is>
      </c>
      <c r="E12" s="79" t="n">
        <v>1.17</v>
      </c>
      <c r="F12" s="79" t="n">
        <v>5.74</v>
      </c>
      <c r="G12" s="79" t="n">
        <v>2.46</v>
      </c>
      <c r="H12" s="79" t="n">
        <v>4.59</v>
      </c>
      <c r="I12" s="79" t="n">
        <v>5.669295445744327</v>
      </c>
      <c r="J12" s="79" t="n">
        <v>37.96</v>
      </c>
      <c r="K12" s="16" t="n">
        <v>75</v>
      </c>
      <c r="L12" s="17" t="n">
        <v>0</v>
      </c>
      <c r="M12" s="23" t="n">
        <v>41.2</v>
      </c>
      <c r="N12" s="80" t="inlineStr">
        <is>
          <t>⭐ Strong</t>
        </is>
      </c>
      <c r="O12" s="80" t="inlineStr">
        <is>
          <t>🔴 Not Qualified</t>
        </is>
      </c>
      <c r="P12" s="80" t="inlineStr">
        <is>
          <t>⚠️ Watch</t>
        </is>
      </c>
      <c r="Q12" s="69" t="inlineStr">
        <is>
          <t>FULL</t>
        </is>
      </c>
    </row>
    <row r="13" ht="16" customHeight="1">
      <c r="A13" s="25" t="n">
        <v>9</v>
      </c>
      <c r="B13" s="26" t="inlineStr">
        <is>
          <t>Unifi Dynamic Asset Allocation Fund - Regular Growth</t>
        </is>
      </c>
      <c r="C13" s="26" t="inlineStr">
        <is>
          <t>Unifi Mutual Fund</t>
        </is>
      </c>
      <c r="D13" s="26" t="inlineStr">
        <is>
          <t>Dynamic Asset Allocation Or Balanced Advantage</t>
        </is>
      </c>
      <c r="E13" s="27" t="n">
        <v>0.76</v>
      </c>
      <c r="F13" s="27" t="n">
        <v>2.42</v>
      </c>
      <c r="G13" s="27" t="n">
        <v>3.73</v>
      </c>
      <c r="H13" s="27" t="n">
        <v>7.62</v>
      </c>
      <c r="I13" s="27" t="n">
        <v>0</v>
      </c>
      <c r="J13" s="27" t="n">
        <v>0</v>
      </c>
      <c r="K13" s="84" t="n">
        <v>73.40000000000001</v>
      </c>
      <c r="L13" s="17" t="n">
        <v>0</v>
      </c>
      <c r="M13" s="23" t="n">
        <v>40.4</v>
      </c>
      <c r="N13" s="94" t="inlineStr">
        <is>
          <t>📈 Good</t>
        </is>
      </c>
      <c r="O13" s="94" t="inlineStr">
        <is>
          <t>⏳ New Fund</t>
        </is>
      </c>
      <c r="P13" s="94" t="inlineStr">
        <is>
          <t>📈 Momentum Only</t>
        </is>
      </c>
      <c r="Q13" s="95" t="inlineStr">
        <is>
          <t>MOMENTUM_ONLY</t>
        </is>
      </c>
    </row>
    <row r="14" ht="16" customHeight="1">
      <c r="A14" s="25" t="n">
        <v>10</v>
      </c>
      <c r="B14" s="26" t="inlineStr">
        <is>
          <t>Bajaj Finserv Balanced Advantage Fund-Regular Plan-Growth</t>
        </is>
      </c>
      <c r="C14" s="26" t="inlineStr">
        <is>
          <t>Bajaj Finserv Mutual Fund</t>
        </is>
      </c>
      <c r="D14" s="26" t="inlineStr">
        <is>
          <t>Dynamic Asset Allocation Or Balanced Advantage</t>
        </is>
      </c>
      <c r="E14" s="27" t="n">
        <v>1.24</v>
      </c>
      <c r="F14" s="27" t="n">
        <v>5.81</v>
      </c>
      <c r="G14" s="27" t="n">
        <v>0.71</v>
      </c>
      <c r="H14" s="27" t="n">
        <v>6.44</v>
      </c>
      <c r="I14" s="27" t="n">
        <v>2.630404851583812</v>
      </c>
      <c r="J14" s="27" t="n">
        <v>0</v>
      </c>
      <c r="K14" s="84" t="n">
        <v>73.2</v>
      </c>
      <c r="L14" s="17" t="n">
        <v>0</v>
      </c>
      <c r="M14" s="23" t="n">
        <v>40.3</v>
      </c>
      <c r="N14" s="94" t="inlineStr">
        <is>
          <t>📈 Good</t>
        </is>
      </c>
      <c r="O14" s="94" t="inlineStr">
        <is>
          <t>⏳ New Fund</t>
        </is>
      </c>
      <c r="P14" s="94" t="inlineStr">
        <is>
          <t>📈 Momentum Only</t>
        </is>
      </c>
      <c r="Q14" s="95" t="inlineStr">
        <is>
          <t>MOMENTUM_ONLY</t>
        </is>
      </c>
    </row>
    <row r="15" ht="16" customHeight="1">
      <c r="A15" s="81" t="n">
        <v>11</v>
      </c>
      <c r="B15" s="82" t="inlineStr">
        <is>
          <t>BANDHAN Balanced Advantage Fund Regular Plan Growth</t>
        </is>
      </c>
      <c r="C15" s="82" t="inlineStr">
        <is>
          <t>Bandhan Mutual Fund</t>
        </is>
      </c>
      <c r="D15" s="82" t="inlineStr">
        <is>
          <t>Dynamic Asset Allocation Or Balanced Advantage</t>
        </is>
      </c>
      <c r="E15" s="83" t="n">
        <v>0.62</v>
      </c>
      <c r="F15" s="83" t="n">
        <v>4.18</v>
      </c>
      <c r="G15" s="83" t="n">
        <v>2.37</v>
      </c>
      <c r="H15" s="83" t="n">
        <v>5.84</v>
      </c>
      <c r="I15" s="83" t="n">
        <v>4.441371113175263</v>
      </c>
      <c r="J15" s="83" t="n">
        <v>32.26</v>
      </c>
      <c r="K15" s="84" t="n">
        <v>68.40000000000001</v>
      </c>
      <c r="L15" s="17" t="n">
        <v>0</v>
      </c>
      <c r="M15" s="23" t="n">
        <v>37.6</v>
      </c>
      <c r="N15" s="85" t="inlineStr">
        <is>
          <t>📈 Good</t>
        </is>
      </c>
      <c r="O15" s="85" t="inlineStr">
        <is>
          <t>🔴 Not Qualified</t>
        </is>
      </c>
      <c r="P15" s="85" t="inlineStr">
        <is>
          <t>🔴 Avoid</t>
        </is>
      </c>
      <c r="Q15" s="69" t="inlineStr">
        <is>
          <t>FULL</t>
        </is>
      </c>
    </row>
    <row r="16" ht="16" customHeight="1">
      <c r="A16" s="77" t="n">
        <v>12</v>
      </c>
      <c r="B16" s="78" t="inlineStr">
        <is>
          <t>Kotak Balanced Advantage Fund - Regular Plan - Payout of Income Distribution cum capital withdrawal option Option</t>
        </is>
      </c>
      <c r="C16" s="78" t="inlineStr">
        <is>
          <t>Kotak Mahindra Mutual Fund</t>
        </is>
      </c>
      <c r="D16" s="78" t="inlineStr">
        <is>
          <t>Dynamic Asset Allocation Or Balanced Advantage</t>
        </is>
      </c>
      <c r="E16" s="79" t="n">
        <v>0.86</v>
      </c>
      <c r="F16" s="79" t="n">
        <v>4.77</v>
      </c>
      <c r="G16" s="79" t="n">
        <v>0.96</v>
      </c>
      <c r="H16" s="79" t="n">
        <v>4.68</v>
      </c>
      <c r="I16" s="79" t="n">
        <v>4.158533015783195</v>
      </c>
      <c r="J16" s="79" t="n">
        <v>32.23</v>
      </c>
      <c r="K16" s="84" t="n">
        <v>63.8</v>
      </c>
      <c r="L16" s="17" t="n">
        <v>0</v>
      </c>
      <c r="M16" s="23" t="n">
        <v>35.1</v>
      </c>
      <c r="N16" s="80" t="inlineStr">
        <is>
          <t>📈 Good</t>
        </is>
      </c>
      <c r="O16" s="80" t="inlineStr">
        <is>
          <t>🔴 Not Qualified</t>
        </is>
      </c>
      <c r="P16" s="80" t="inlineStr">
        <is>
          <t>🔴 Avoid</t>
        </is>
      </c>
      <c r="Q16" s="69" t="inlineStr">
        <is>
          <t>FULL</t>
        </is>
      </c>
    </row>
    <row r="17" ht="16" customHeight="1">
      <c r="A17" s="81" t="n">
        <v>13</v>
      </c>
      <c r="B17" s="82" t="inlineStr">
        <is>
          <t>Kotak Balanced Advantage Fund -Regular Plan - Growth Option</t>
        </is>
      </c>
      <c r="C17" s="82" t="inlineStr">
        <is>
          <t>Kotak Mahindra Mutual Fund</t>
        </is>
      </c>
      <c r="D17" s="82" t="inlineStr">
        <is>
          <t>Dynamic Asset Allocation Or Balanced Advantage</t>
        </is>
      </c>
      <c r="E17" s="83" t="n">
        <v>0.85</v>
      </c>
      <c r="F17" s="83" t="n">
        <v>4.77</v>
      </c>
      <c r="G17" s="83" t="n">
        <v>0.96</v>
      </c>
      <c r="H17" s="83" t="n">
        <v>4.68</v>
      </c>
      <c r="I17" s="83" t="n">
        <v>4.158533015783195</v>
      </c>
      <c r="J17" s="83" t="n">
        <v>32.23</v>
      </c>
      <c r="K17" s="84" t="n">
        <v>63.1</v>
      </c>
      <c r="L17" s="17" t="n">
        <v>0</v>
      </c>
      <c r="M17" s="23" t="n">
        <v>34.7</v>
      </c>
      <c r="N17" s="85" t="inlineStr">
        <is>
          <t>📈 Good</t>
        </is>
      </c>
      <c r="O17" s="85" t="inlineStr">
        <is>
          <t>🔴 Not Qualified</t>
        </is>
      </c>
      <c r="P17" s="85" t="inlineStr">
        <is>
          <t>🔴 Avoid</t>
        </is>
      </c>
      <c r="Q17" s="69" t="inlineStr">
        <is>
          <t>FULL</t>
        </is>
      </c>
    </row>
    <row r="18" ht="16" customHeight="1">
      <c r="A18" s="77" t="n">
        <v>14</v>
      </c>
      <c r="B18" s="78" t="inlineStr">
        <is>
          <t>Nippon India Balanced Advantage Fund-Growth Plan-Bonus Option</t>
        </is>
      </c>
      <c r="C18" s="78" t="inlineStr">
        <is>
          <t>Nippon India Mutual Fund</t>
        </is>
      </c>
      <c r="D18" s="78" t="inlineStr">
        <is>
          <t>Dynamic Asset Allocation Or Balanced Advantage</t>
        </is>
      </c>
      <c r="E18" s="79" t="n">
        <v>0.5</v>
      </c>
      <c r="F18" s="79" t="n">
        <v>4.4</v>
      </c>
      <c r="G18" s="79" t="n">
        <v>1.21</v>
      </c>
      <c r="H18" s="79" t="n">
        <v>5.61</v>
      </c>
      <c r="I18" s="79" t="n">
        <v>4.129726783469478</v>
      </c>
      <c r="J18" s="79" t="n">
        <v>36.25</v>
      </c>
      <c r="K18" s="84" t="n">
        <v>61.9</v>
      </c>
      <c r="L18" s="17" t="n">
        <v>0</v>
      </c>
      <c r="M18" s="23" t="n">
        <v>34.1</v>
      </c>
      <c r="N18" s="80" t="inlineStr">
        <is>
          <t>📈 Good</t>
        </is>
      </c>
      <c r="O18" s="80" t="inlineStr">
        <is>
          <t>🔴 Not Qualified</t>
        </is>
      </c>
      <c r="P18" s="80" t="inlineStr">
        <is>
          <t>🔴 Avoid</t>
        </is>
      </c>
      <c r="Q18" s="69" t="inlineStr">
        <is>
          <t>FULL</t>
        </is>
      </c>
    </row>
    <row r="19" ht="16" customHeight="1">
      <c r="A19" s="81" t="n">
        <v>14</v>
      </c>
      <c r="B19" s="82" t="inlineStr">
        <is>
          <t>Nippon India Balanced Advantage Fund-Growth Plan-Growth Option</t>
        </is>
      </c>
      <c r="C19" s="82" t="inlineStr">
        <is>
          <t>Nippon India Mutual Fund</t>
        </is>
      </c>
      <c r="D19" s="82" t="inlineStr">
        <is>
          <t>Dynamic Asset Allocation Or Balanced Advantage</t>
        </is>
      </c>
      <c r="E19" s="83" t="n">
        <v>0.5</v>
      </c>
      <c r="F19" s="83" t="n">
        <v>4.4</v>
      </c>
      <c r="G19" s="83" t="n">
        <v>1.21</v>
      </c>
      <c r="H19" s="83" t="n">
        <v>5.61</v>
      </c>
      <c r="I19" s="83" t="n">
        <v>4.129726783469478</v>
      </c>
      <c r="J19" s="83" t="n">
        <v>36.25</v>
      </c>
      <c r="K19" s="84" t="n">
        <v>61.9</v>
      </c>
      <c r="L19" s="17" t="n">
        <v>0</v>
      </c>
      <c r="M19" s="23" t="n">
        <v>34.1</v>
      </c>
      <c r="N19" s="85" t="inlineStr">
        <is>
          <t>📈 Good</t>
        </is>
      </c>
      <c r="O19" s="85" t="inlineStr">
        <is>
          <t>🔴 Not Qualified</t>
        </is>
      </c>
      <c r="P19" s="85" t="inlineStr">
        <is>
          <t>🔴 Avoid</t>
        </is>
      </c>
      <c r="Q19" s="69" t="inlineStr">
        <is>
          <t>FULL</t>
        </is>
      </c>
    </row>
    <row r="20" ht="16" customHeight="1">
      <c r="A20" s="77" t="n">
        <v>16</v>
      </c>
      <c r="B20" s="78" t="inlineStr">
        <is>
          <t>BANK OF INDIA BALANCED ADVANTAGE FUND REGULAR PLAN  GROWTH</t>
        </is>
      </c>
      <c r="C20" s="78" t="inlineStr">
        <is>
          <t>Bank of India Mutual Fund</t>
        </is>
      </c>
      <c r="D20" s="78" t="inlineStr">
        <is>
          <t>Dynamic Asset Allocation Or Balanced Advantage</t>
        </is>
      </c>
      <c r="E20" s="79" t="n">
        <v>0.46</v>
      </c>
      <c r="F20" s="79" t="n">
        <v>2.6</v>
      </c>
      <c r="G20" s="79" t="n">
        <v>1.43</v>
      </c>
      <c r="H20" s="79" t="n">
        <v>7.04</v>
      </c>
      <c r="I20" s="79" t="n">
        <v>2.722928307170047</v>
      </c>
      <c r="J20" s="79" t="n">
        <v>31.01</v>
      </c>
      <c r="K20" s="84" t="n">
        <v>60</v>
      </c>
      <c r="L20" s="17" t="n">
        <v>0</v>
      </c>
      <c r="M20" s="23" t="n">
        <v>33</v>
      </c>
      <c r="N20" s="80" t="inlineStr">
        <is>
          <t>📈 Good</t>
        </is>
      </c>
      <c r="O20" s="80" t="inlineStr">
        <is>
          <t>🔴 Not Qualified</t>
        </is>
      </c>
      <c r="P20" s="80" t="inlineStr">
        <is>
          <t>🔴 Avoid</t>
        </is>
      </c>
      <c r="Q20" s="69" t="inlineStr">
        <is>
          <t>FULL</t>
        </is>
      </c>
    </row>
    <row r="21" ht="16" customHeight="1">
      <c r="A21" s="81" t="n">
        <v>17</v>
      </c>
      <c r="B21" s="82" t="inlineStr">
        <is>
          <t>Union Balanced Advantage Fund - Regular Plan - Growth Option</t>
        </is>
      </c>
      <c r="C21" s="82" t="inlineStr">
        <is>
          <t>Union Mutual Fund</t>
        </is>
      </c>
      <c r="D21" s="82" t="inlineStr">
        <is>
          <t>Dynamic Asset Allocation Or Balanced Advantage</t>
        </is>
      </c>
      <c r="E21" s="83" t="n">
        <v>0.92</v>
      </c>
      <c r="F21" s="83" t="n">
        <v>4.8</v>
      </c>
      <c r="G21" s="88" t="n">
        <v>-0.43</v>
      </c>
      <c r="H21" s="83" t="n">
        <v>3.28</v>
      </c>
      <c r="I21" s="83" t="n">
        <v>2.761860629321045</v>
      </c>
      <c r="J21" s="83" t="n">
        <v>27.28</v>
      </c>
      <c r="K21" s="84" t="n">
        <v>55.4</v>
      </c>
      <c r="L21" s="17" t="n">
        <v>0</v>
      </c>
      <c r="M21" s="23" t="n">
        <v>30.5</v>
      </c>
      <c r="N21" s="85" t="inlineStr">
        <is>
          <t>➡️ Neutral</t>
        </is>
      </c>
      <c r="O21" s="85" t="inlineStr">
        <is>
          <t>🔴 Not Qualified</t>
        </is>
      </c>
      <c r="P21" s="85" t="inlineStr">
        <is>
          <t>🔴 Avoid</t>
        </is>
      </c>
      <c r="Q21" s="69" t="inlineStr">
        <is>
          <t>FULL</t>
        </is>
      </c>
    </row>
    <row r="22" ht="16" customHeight="1">
      <c r="A22" s="77" t="n">
        <v>18</v>
      </c>
      <c r="B22" s="78" t="inlineStr">
        <is>
          <t>Sundaram Balanced Advantage Fund (Formerly Known as Principal Balanced Advantage Fund) - Growth Option</t>
        </is>
      </c>
      <c r="C22" s="78" t="inlineStr">
        <is>
          <t>Sundaram Mutual Fund</t>
        </is>
      </c>
      <c r="D22" s="78" t="inlineStr">
        <is>
          <t>Dynamic Asset Allocation Or Balanced Advantage</t>
        </is>
      </c>
      <c r="E22" s="79" t="n">
        <v>1.62</v>
      </c>
      <c r="F22" s="79" t="n">
        <v>4.22</v>
      </c>
      <c r="G22" s="86" t="n">
        <v>-0.6</v>
      </c>
      <c r="H22" s="79" t="n">
        <v>2.37</v>
      </c>
      <c r="I22" s="79" t="n">
        <v>2.259473888730734</v>
      </c>
      <c r="J22" s="79" t="n">
        <v>27.69</v>
      </c>
      <c r="K22" s="84" t="n">
        <v>52.6</v>
      </c>
      <c r="L22" s="17" t="n">
        <v>0</v>
      </c>
      <c r="M22" s="23" t="n">
        <v>29</v>
      </c>
      <c r="N22" s="80" t="inlineStr">
        <is>
          <t>➡️ Neutral</t>
        </is>
      </c>
      <c r="O22" s="80" t="inlineStr">
        <is>
          <t>🔴 Not Qualified</t>
        </is>
      </c>
      <c r="P22" s="80" t="inlineStr">
        <is>
          <t>🔴 Avoid</t>
        </is>
      </c>
      <c r="Q22" s="69" t="inlineStr">
        <is>
          <t>FULL</t>
        </is>
      </c>
    </row>
    <row r="23" ht="16" customHeight="1">
      <c r="A23" s="81" t="n">
        <v>19</v>
      </c>
      <c r="B23" s="82" t="inlineStr">
        <is>
          <t>DSP Dynamic Asset Allocation Fund - Regular Plan - Growth</t>
        </is>
      </c>
      <c r="C23" s="82" t="inlineStr">
        <is>
          <t>DSP Mutual Fund</t>
        </is>
      </c>
      <c r="D23" s="82" t="inlineStr">
        <is>
          <t>Dynamic Asset Allocation Or Balanced Advantage</t>
        </is>
      </c>
      <c r="E23" s="83" t="n">
        <v>0.04</v>
      </c>
      <c r="F23" s="83" t="n">
        <v>3.22</v>
      </c>
      <c r="G23" s="83" t="n">
        <v>1.3</v>
      </c>
      <c r="H23" s="83" t="n">
        <v>5.12</v>
      </c>
      <c r="I23" s="83" t="n">
        <v>5.418214744891214</v>
      </c>
      <c r="J23" s="83" t="n">
        <v>34.43</v>
      </c>
      <c r="K23" s="84" t="n">
        <v>52.2</v>
      </c>
      <c r="L23" s="17" t="n">
        <v>0</v>
      </c>
      <c r="M23" s="23" t="n">
        <v>28.7</v>
      </c>
      <c r="N23" s="85" t="inlineStr">
        <is>
          <t>➡️ Neutral</t>
        </is>
      </c>
      <c r="O23" s="85" t="inlineStr">
        <is>
          <t>🔴 Not Qualified</t>
        </is>
      </c>
      <c r="P23" s="85" t="inlineStr">
        <is>
          <t>🔴 Avoid</t>
        </is>
      </c>
      <c r="Q23" s="69" t="inlineStr">
        <is>
          <t>FULL</t>
        </is>
      </c>
    </row>
    <row r="24" ht="16" customHeight="1">
      <c r="A24" s="25" t="n">
        <v>20</v>
      </c>
      <c r="B24" s="26" t="inlineStr">
        <is>
          <t>Canara Robeco Balanced Advantage Fund - Regular Plan - Growth Option</t>
        </is>
      </c>
      <c r="C24" s="26" t="inlineStr">
        <is>
          <t>Canara Robeco Mutual Fund</t>
        </is>
      </c>
      <c r="D24" s="26" t="inlineStr">
        <is>
          <t>Dynamic Asset Allocation Or Balanced Advantage</t>
        </is>
      </c>
      <c r="E24" s="27" t="n">
        <v>1.17</v>
      </c>
      <c r="F24" s="27" t="n">
        <v>4.54</v>
      </c>
      <c r="G24" s="96" t="n">
        <v>-0.58</v>
      </c>
      <c r="H24" s="27" t="n">
        <v>1.87</v>
      </c>
      <c r="I24" s="27" t="n">
        <v>1.528321171976432</v>
      </c>
      <c r="J24" s="27" t="n">
        <v>0</v>
      </c>
      <c r="K24" s="84" t="n">
        <v>50</v>
      </c>
      <c r="L24" s="17" t="n">
        <v>0</v>
      </c>
      <c r="M24" s="23" t="n">
        <v>27.5</v>
      </c>
      <c r="N24" s="94" t="inlineStr">
        <is>
          <t>➡️ Neutral</t>
        </is>
      </c>
      <c r="O24" s="94" t="inlineStr">
        <is>
          <t>⏳ New Fund</t>
        </is>
      </c>
      <c r="P24" s="94" t="inlineStr">
        <is>
          <t>⏳ New Fund</t>
        </is>
      </c>
      <c r="Q24" s="95" t="inlineStr">
        <is>
          <t>MOMENTUM_ONLY</t>
        </is>
      </c>
    </row>
    <row r="25" ht="16" customHeight="1">
      <c r="A25" s="81" t="n">
        <v>21</v>
      </c>
      <c r="B25" s="82" t="inlineStr">
        <is>
          <t>Franklin India Balanced Advantage Fund- Growth</t>
        </is>
      </c>
      <c r="C25" s="82" t="inlineStr">
        <is>
          <t>Franklin Templeton Mutual Fund</t>
        </is>
      </c>
      <c r="D25" s="82" t="inlineStr">
        <is>
          <t>Dynamic Asset Allocation Or Balanced Advantage</t>
        </is>
      </c>
      <c r="E25" s="83" t="n">
        <v>0.8100000000000001</v>
      </c>
      <c r="F25" s="83" t="n">
        <v>4.37</v>
      </c>
      <c r="G25" s="88" t="n">
        <v>-0.03</v>
      </c>
      <c r="H25" s="83" t="n">
        <v>2.29</v>
      </c>
      <c r="I25" s="83" t="n">
        <v>3.000000000000003</v>
      </c>
      <c r="J25" s="83" t="n">
        <v>32.34</v>
      </c>
      <c r="K25" s="87" t="n">
        <v>47.8</v>
      </c>
      <c r="L25" s="17" t="n">
        <v>0</v>
      </c>
      <c r="M25" s="23" t="n">
        <v>26.3</v>
      </c>
      <c r="N25" s="85" t="inlineStr">
        <is>
          <t>➡️ Neutral</t>
        </is>
      </c>
      <c r="O25" s="85" t="inlineStr">
        <is>
          <t>🔴 Not Qualified</t>
        </is>
      </c>
      <c r="P25" s="85" t="inlineStr">
        <is>
          <t>🔴 Avoid</t>
        </is>
      </c>
      <c r="Q25" s="69" t="inlineStr">
        <is>
          <t>FULL</t>
        </is>
      </c>
    </row>
    <row r="26" ht="16" customHeight="1">
      <c r="A26" s="77" t="n">
        <v>22</v>
      </c>
      <c r="B26" s="78" t="inlineStr">
        <is>
          <t>Axis Balanced Advantage Fund - Regular Plan - Growth</t>
        </is>
      </c>
      <c r="C26" s="78" t="inlineStr">
        <is>
          <t>Axis Mutual Fund</t>
        </is>
      </c>
      <c r="D26" s="78" t="inlineStr">
        <is>
          <t>Dynamic Asset Allocation Or Balanced Advantage</t>
        </is>
      </c>
      <c r="E26" s="79" t="n">
        <v>0.46</v>
      </c>
      <c r="F26" s="79" t="n">
        <v>3.84</v>
      </c>
      <c r="G26" s="79" t="n">
        <v>0</v>
      </c>
      <c r="H26" s="79" t="n">
        <v>4.24</v>
      </c>
      <c r="I26" s="79" t="n">
        <v>4.225716596241269</v>
      </c>
      <c r="J26" s="79" t="n">
        <v>40.58</v>
      </c>
      <c r="K26" s="87" t="n">
        <v>45.9</v>
      </c>
      <c r="L26" s="17" t="n">
        <v>0</v>
      </c>
      <c r="M26" s="23" t="n">
        <v>25.2</v>
      </c>
      <c r="N26" s="80" t="inlineStr">
        <is>
          <t>➡️ Neutral</t>
        </is>
      </c>
      <c r="O26" s="80" t="inlineStr">
        <is>
          <t>🔴 Not Qualified</t>
        </is>
      </c>
      <c r="P26" s="80" t="inlineStr">
        <is>
          <t>🔴 Avoid</t>
        </is>
      </c>
      <c r="Q26" s="69" t="inlineStr">
        <is>
          <t>FULL</t>
        </is>
      </c>
    </row>
    <row r="27" ht="16" customHeight="1">
      <c r="A27" s="81" t="n">
        <v>23</v>
      </c>
      <c r="B27" s="82" t="inlineStr">
        <is>
          <t>ITI Balanced Advantage Fund - Regular Plan - Growth Option</t>
        </is>
      </c>
      <c r="C27" s="82" t="inlineStr">
        <is>
          <t>ITI Mutual Fund</t>
        </is>
      </c>
      <c r="D27" s="82" t="inlineStr">
        <is>
          <t>Dynamic Asset Allocation Or Balanced Advantage</t>
        </is>
      </c>
      <c r="E27" s="83" t="n">
        <v>1.28</v>
      </c>
      <c r="F27" s="83" t="n">
        <v>3.9</v>
      </c>
      <c r="G27" s="88" t="n">
        <v>-1.61</v>
      </c>
      <c r="H27" s="83" t="n">
        <v>1.23</v>
      </c>
      <c r="I27" s="83" t="n">
        <v>1.631687971813189</v>
      </c>
      <c r="J27" s="83" t="n">
        <v>28.5</v>
      </c>
      <c r="K27" s="87" t="n">
        <v>42.4</v>
      </c>
      <c r="L27" s="17" t="n">
        <v>0</v>
      </c>
      <c r="M27" s="23" t="n">
        <v>23.3</v>
      </c>
      <c r="N27" s="85" t="inlineStr">
        <is>
          <t>➡️ Neutral</t>
        </is>
      </c>
      <c r="O27" s="85" t="inlineStr">
        <is>
          <t>🔴 Not Qualified</t>
        </is>
      </c>
      <c r="P27" s="85" t="inlineStr">
        <is>
          <t>🔴 Avoid</t>
        </is>
      </c>
      <c r="Q27" s="69" t="inlineStr">
        <is>
          <t>FULL</t>
        </is>
      </c>
    </row>
    <row r="28" ht="16" customHeight="1">
      <c r="A28" s="25" t="n">
        <v>24</v>
      </c>
      <c r="B28" s="26" t="inlineStr">
        <is>
          <t>Parag Parikh Dynamic Asset Allocation Fund - Regular Plan Growth</t>
        </is>
      </c>
      <c r="C28" s="26" t="inlineStr">
        <is>
          <t>PPFAS Mutual Fund</t>
        </is>
      </c>
      <c r="D28" s="26" t="inlineStr">
        <is>
          <t>Dynamic Asset Allocation Or Balanced Advantage</t>
        </is>
      </c>
      <c r="E28" s="96" t="n">
        <v>-0.03</v>
      </c>
      <c r="F28" s="27" t="n">
        <v>1.83</v>
      </c>
      <c r="G28" s="27" t="n">
        <v>1.25</v>
      </c>
      <c r="H28" s="27" t="n">
        <v>3.8</v>
      </c>
      <c r="I28" s="27" t="n">
        <v>4.780723418002797</v>
      </c>
      <c r="J28" s="27" t="n">
        <v>0</v>
      </c>
      <c r="K28" s="87" t="n">
        <v>40.1</v>
      </c>
      <c r="L28" s="17" t="n">
        <v>0</v>
      </c>
      <c r="M28" s="23" t="n">
        <v>22.1</v>
      </c>
      <c r="N28" s="94" t="inlineStr">
        <is>
          <t>➡️ Neutral</t>
        </is>
      </c>
      <c r="O28" s="94" t="inlineStr">
        <is>
          <t>⏳ New Fund</t>
        </is>
      </c>
      <c r="P28" s="94" t="inlineStr">
        <is>
          <t>⏳ New Fund</t>
        </is>
      </c>
      <c r="Q28" s="95" t="inlineStr">
        <is>
          <t>MOMENTUM_ONLY</t>
        </is>
      </c>
    </row>
    <row r="29" ht="16" customHeight="1">
      <c r="A29" s="81" t="n">
        <v>25</v>
      </c>
      <c r="B29" s="82" t="inlineStr">
        <is>
          <t>Tata Balanced Advantage Fund-Regular Plan-Growth</t>
        </is>
      </c>
      <c r="C29" s="82" t="inlineStr">
        <is>
          <t>Tata Mutual Fund</t>
        </is>
      </c>
      <c r="D29" s="82" t="inlineStr">
        <is>
          <t>Dynamic Asset Allocation Or Balanced Advantage</t>
        </is>
      </c>
      <c r="E29" s="88" t="n">
        <v>-0.17</v>
      </c>
      <c r="F29" s="83" t="n">
        <v>3.62</v>
      </c>
      <c r="G29" s="83" t="n">
        <v>0.59</v>
      </c>
      <c r="H29" s="83" t="n">
        <v>4.5</v>
      </c>
      <c r="I29" s="83" t="n">
        <v>2.825094213426316</v>
      </c>
      <c r="J29" s="83" t="n">
        <v>28.06</v>
      </c>
      <c r="K29" s="87" t="n">
        <v>38.2</v>
      </c>
      <c r="L29" s="17" t="n">
        <v>0</v>
      </c>
      <c r="M29" s="23" t="n">
        <v>21</v>
      </c>
      <c r="N29" s="85" t="inlineStr">
        <is>
          <t>📉 Weak</t>
        </is>
      </c>
      <c r="O29" s="85" t="inlineStr">
        <is>
          <t>🔴 Not Qualified</t>
        </is>
      </c>
      <c r="P29" s="85" t="inlineStr">
        <is>
          <t>🔴 Avoid</t>
        </is>
      </c>
      <c r="Q29" s="69" t="inlineStr">
        <is>
          <t>FULL</t>
        </is>
      </c>
    </row>
    <row r="30" ht="16" customHeight="1">
      <c r="A30" s="77" t="n">
        <v>26</v>
      </c>
      <c r="B30" s="78" t="inlineStr">
        <is>
          <t>HDFC Balanced Advantage Fund - Growth Plan</t>
        </is>
      </c>
      <c r="C30" s="78" t="inlineStr">
        <is>
          <t>HDFC Mutual Fund</t>
        </is>
      </c>
      <c r="D30" s="78" t="inlineStr">
        <is>
          <t>Dynamic Asset Allocation Or Balanced Advantage</t>
        </is>
      </c>
      <c r="E30" s="79" t="n">
        <v>0.22</v>
      </c>
      <c r="F30" s="79" t="n">
        <v>4.07</v>
      </c>
      <c r="G30" s="86" t="n">
        <v>-1.69</v>
      </c>
      <c r="H30" s="79" t="n">
        <v>2.57</v>
      </c>
      <c r="I30" s="79" t="n">
        <v>2.112682855754988</v>
      </c>
      <c r="J30" s="79" t="n">
        <v>43.17</v>
      </c>
      <c r="K30" s="87" t="n">
        <v>32.5</v>
      </c>
      <c r="L30" s="17" t="n">
        <v>0</v>
      </c>
      <c r="M30" s="23" t="n">
        <v>17.9</v>
      </c>
      <c r="N30" s="80" t="inlineStr">
        <is>
          <t>📉 Weak</t>
        </is>
      </c>
      <c r="O30" s="80" t="inlineStr">
        <is>
          <t>🔴 Not Qualified</t>
        </is>
      </c>
      <c r="P30" s="80" t="inlineStr">
        <is>
          <t>🔴 Avoid</t>
        </is>
      </c>
      <c r="Q30" s="69" t="inlineStr">
        <is>
          <t>FULL</t>
        </is>
      </c>
    </row>
    <row r="31" ht="16" customHeight="1">
      <c r="A31" s="81" t="n">
        <v>27</v>
      </c>
      <c r="B31" s="82" t="inlineStr">
        <is>
          <t>SBI Balanced Advantage Fund - Regular Plan - Growth</t>
        </is>
      </c>
      <c r="C31" s="82" t="inlineStr">
        <is>
          <t>SBI Mutual Fund</t>
        </is>
      </c>
      <c r="D31" s="82" t="inlineStr">
        <is>
          <t>Dynamic Asset Allocation Or Balanced Advantage</t>
        </is>
      </c>
      <c r="E31" s="88" t="n">
        <v>-0.3</v>
      </c>
      <c r="F31" s="83" t="n">
        <v>1.82</v>
      </c>
      <c r="G31" s="88" t="n">
        <v>-1.27</v>
      </c>
      <c r="H31" s="83" t="n">
        <v>4.64</v>
      </c>
      <c r="I31" s="83" t="n">
        <v>4.076894650061491</v>
      </c>
      <c r="J31" s="83" t="n">
        <v>33.73</v>
      </c>
      <c r="K31" s="87" t="n">
        <v>28.7</v>
      </c>
      <c r="L31" s="17" t="n">
        <v>0</v>
      </c>
      <c r="M31" s="23" t="n">
        <v>15.8</v>
      </c>
      <c r="N31" s="85" t="inlineStr">
        <is>
          <t>📉 Weak</t>
        </is>
      </c>
      <c r="O31" s="85" t="inlineStr">
        <is>
          <t>🔴 Not Qualified</t>
        </is>
      </c>
      <c r="P31" s="85" t="inlineStr">
        <is>
          <t>🔴 Avoid</t>
        </is>
      </c>
      <c r="Q31" s="69" t="inlineStr">
        <is>
          <t>FULL</t>
        </is>
      </c>
    </row>
    <row r="32" ht="16" customHeight="1">
      <c r="A32" s="77" t="n">
        <v>28</v>
      </c>
      <c r="B32" s="78" t="inlineStr">
        <is>
          <t>PGIM India Balanced Advantage Fund - Regular Plan - Growth Option</t>
        </is>
      </c>
      <c r="C32" s="78" t="inlineStr">
        <is>
          <t>PGIM India Mutual Fund</t>
        </is>
      </c>
      <c r="D32" s="78" t="inlineStr">
        <is>
          <t>Dynamic Asset Allocation Or Balanced Advantage</t>
        </is>
      </c>
      <c r="E32" s="79" t="n">
        <v>0.33</v>
      </c>
      <c r="F32" s="79" t="n">
        <v>3.68</v>
      </c>
      <c r="G32" s="86" t="n">
        <v>-1.11</v>
      </c>
      <c r="H32" s="86" t="n">
        <v>-0.2</v>
      </c>
      <c r="I32" s="79" t="n">
        <v>1.444566143288317</v>
      </c>
      <c r="J32" s="79" t="n">
        <v>21.78</v>
      </c>
      <c r="K32" s="87" t="n">
        <v>28.4</v>
      </c>
      <c r="L32" s="17" t="n">
        <v>0</v>
      </c>
      <c r="M32" s="23" t="n">
        <v>15.6</v>
      </c>
      <c r="N32" s="80" t="inlineStr">
        <is>
          <t>📉 Weak</t>
        </is>
      </c>
      <c r="O32" s="80" t="inlineStr">
        <is>
          <t>🔴 Not Qualified</t>
        </is>
      </c>
      <c r="P32" s="80" t="inlineStr">
        <is>
          <t>🔴 Avoid</t>
        </is>
      </c>
      <c r="Q32" s="69" t="inlineStr">
        <is>
          <t>FULL</t>
        </is>
      </c>
    </row>
    <row r="33" ht="16" customHeight="1">
      <c r="A33" s="81" t="n">
        <v>29</v>
      </c>
      <c r="B33" s="82" t="inlineStr">
        <is>
          <t>quant Dynamic Asset Allocation Fund - Growth Option - Regular Plan</t>
        </is>
      </c>
      <c r="C33" s="82" t="inlineStr">
        <is>
          <t>quant Mutual Fund</t>
        </is>
      </c>
      <c r="D33" s="82" t="inlineStr">
        <is>
          <t>Dynamic Asset Allocation Or Balanced Advantage</t>
        </is>
      </c>
      <c r="E33" s="88" t="n">
        <v>-1.79</v>
      </c>
      <c r="F33" s="88" t="n">
        <v>-0.08</v>
      </c>
      <c r="G33" s="83" t="n">
        <v>1</v>
      </c>
      <c r="H33" s="83" t="n">
        <v>0.08</v>
      </c>
      <c r="I33" s="88" t="n">
        <v>-2.204294572818788</v>
      </c>
      <c r="J33" s="83" t="n">
        <v>47.92</v>
      </c>
      <c r="K33" s="87" t="n">
        <v>25.9</v>
      </c>
      <c r="L33" s="17" t="n">
        <v>0</v>
      </c>
      <c r="M33" s="23" t="n">
        <v>14.2</v>
      </c>
      <c r="N33" s="85" t="inlineStr">
        <is>
          <t>📉 Weak</t>
        </is>
      </c>
      <c r="O33" s="85" t="inlineStr">
        <is>
          <t>🔴 Not Qualified</t>
        </is>
      </c>
      <c r="P33" s="85" t="inlineStr">
        <is>
          <t>🔴 Avoid</t>
        </is>
      </c>
      <c r="Q33" s="69" t="inlineStr">
        <is>
          <t>FULL</t>
        </is>
      </c>
    </row>
    <row r="34" ht="16" customHeight="1">
      <c r="A34" s="77" t="n">
        <v>30</v>
      </c>
      <c r="B34" s="78" t="inlineStr">
        <is>
          <t>UTI Balanced Advantage Fund - Regular Plan - Growth Option</t>
        </is>
      </c>
      <c r="C34" s="78" t="inlineStr">
        <is>
          <t>UTI Mutual Fund</t>
        </is>
      </c>
      <c r="D34" s="78" t="inlineStr">
        <is>
          <t>Dynamic Asset Allocation Or Balanced Advantage</t>
        </is>
      </c>
      <c r="E34" s="79" t="n">
        <v>0.31</v>
      </c>
      <c r="F34" s="79" t="n">
        <v>3.44</v>
      </c>
      <c r="G34" s="86" t="n">
        <v>-2.17</v>
      </c>
      <c r="H34" s="79" t="n">
        <v>1.06</v>
      </c>
      <c r="I34" s="79" t="n">
        <v>2.956301409869999</v>
      </c>
      <c r="J34" s="79" t="n">
        <v>27.3</v>
      </c>
      <c r="K34" s="87" t="n">
        <v>25.7</v>
      </c>
      <c r="L34" s="17" t="n">
        <v>0</v>
      </c>
      <c r="M34" s="23" t="n">
        <v>14.2</v>
      </c>
      <c r="N34" s="80" t="inlineStr">
        <is>
          <t>📉 Weak</t>
        </is>
      </c>
      <c r="O34" s="80" t="inlineStr">
        <is>
          <t>🔴 Not Qualified</t>
        </is>
      </c>
      <c r="P34" s="80" t="inlineStr">
        <is>
          <t>🔴 Avoid</t>
        </is>
      </c>
      <c r="Q34" s="69" t="inlineStr">
        <is>
          <t>FULL</t>
        </is>
      </c>
    </row>
    <row r="35" ht="16" customHeight="1">
      <c r="A35" s="81" t="n">
        <v>31</v>
      </c>
      <c r="B35" s="82" t="inlineStr">
        <is>
          <t>Shriram Balanced Advantage Fund - Regular Growth</t>
        </is>
      </c>
      <c r="C35" s="82" t="inlineStr">
        <is>
          <t>Shriram Mutual Fund</t>
        </is>
      </c>
      <c r="D35" s="82" t="inlineStr">
        <is>
          <t>Dynamic Asset Allocation Or Balanced Advantage</t>
        </is>
      </c>
      <c r="E35" s="83" t="n">
        <v>0.42</v>
      </c>
      <c r="F35" s="83" t="n">
        <v>2.77</v>
      </c>
      <c r="G35" s="88" t="n">
        <v>-2.5</v>
      </c>
      <c r="H35" s="83" t="n">
        <v>0.48</v>
      </c>
      <c r="I35" s="88" t="n">
        <v>-3.139275245329698</v>
      </c>
      <c r="J35" s="83" t="n">
        <v>19.35</v>
      </c>
      <c r="K35" s="87" t="n">
        <v>24.4</v>
      </c>
      <c r="L35" s="17" t="n">
        <v>0</v>
      </c>
      <c r="M35" s="23" t="n">
        <v>13.4</v>
      </c>
      <c r="N35" s="85" t="inlineStr">
        <is>
          <t>📉 Weak</t>
        </is>
      </c>
      <c r="O35" s="85" t="inlineStr">
        <is>
          <t>🔴 Not Qualified</t>
        </is>
      </c>
      <c r="P35" s="85" t="inlineStr">
        <is>
          <t>🔴 Avoid</t>
        </is>
      </c>
      <c r="Q35" s="69" t="inlineStr">
        <is>
          <t>FULL</t>
        </is>
      </c>
    </row>
    <row r="36" ht="16" customHeight="1">
      <c r="A36" s="25" t="n">
        <v>32</v>
      </c>
      <c r="B36" s="26" t="inlineStr">
        <is>
          <t>Samco Dynamic Asset Allocation Fund - Regular Plan - Growth Option</t>
        </is>
      </c>
      <c r="C36" s="26" t="inlineStr">
        <is>
          <t>Samco Mutual Fund</t>
        </is>
      </c>
      <c r="D36" s="26" t="inlineStr">
        <is>
          <t>Dynamic Asset Allocation Or Balanced Advantage</t>
        </is>
      </c>
      <c r="E36" s="27" t="n">
        <v>0</v>
      </c>
      <c r="F36" s="27" t="n">
        <v>1.29</v>
      </c>
      <c r="G36" s="96" t="n">
        <v>-1.54</v>
      </c>
      <c r="H36" s="96" t="n">
        <v>-2.39</v>
      </c>
      <c r="I36" s="96" t="n">
        <v>-4.010417231868335</v>
      </c>
      <c r="J36" s="27" t="n">
        <v>0</v>
      </c>
      <c r="K36" s="87" t="n">
        <v>15.6</v>
      </c>
      <c r="L36" s="17" t="n">
        <v>0</v>
      </c>
      <c r="M36" s="23" t="n">
        <v>8.6</v>
      </c>
      <c r="N36" s="94" t="inlineStr">
        <is>
          <t>📉 Weak</t>
        </is>
      </c>
      <c r="O36" s="94" t="inlineStr">
        <is>
          <t>⏳ New Fund</t>
        </is>
      </c>
      <c r="P36" s="94" t="inlineStr">
        <is>
          <t>⏳ New Fund</t>
        </is>
      </c>
      <c r="Q36" s="95" t="inlineStr">
        <is>
          <t>MOMENTUM_ONLY</t>
        </is>
      </c>
    </row>
    <row r="37" ht="16" customHeight="1">
      <c r="A37" s="81" t="n">
        <v>33</v>
      </c>
      <c r="B37" s="82" t="inlineStr">
        <is>
          <t>Sundaram Balanced Advantage Fund (Formerly Known as Principal Balanced Advantage Fund) - Monthly Income Distribution CUM Capital Withdrawal Option</t>
        </is>
      </c>
      <c r="C37" s="82" t="inlineStr">
        <is>
          <t>Sundaram Mutual Fund</t>
        </is>
      </c>
      <c r="D37" s="82" t="inlineStr">
        <is>
          <t>Dynamic Asset Allocation Or Balanced Advantage</t>
        </is>
      </c>
      <c r="E37" s="83" t="n">
        <v>0.01</v>
      </c>
      <c r="F37" s="83" t="n">
        <v>1.74</v>
      </c>
      <c r="G37" s="88" t="n">
        <v>-5.27</v>
      </c>
      <c r="H37" s="88" t="n">
        <v>-7.4</v>
      </c>
      <c r="I37" s="88" t="n">
        <v>-6.688693075276242</v>
      </c>
      <c r="J37" s="83" t="n">
        <v>0.35</v>
      </c>
      <c r="K37" s="87" t="n">
        <v>10</v>
      </c>
      <c r="L37" s="17" t="n">
        <v>0</v>
      </c>
      <c r="M37" s="23" t="n">
        <v>5.5</v>
      </c>
      <c r="N37" s="85" t="inlineStr">
        <is>
          <t>📉 Weak</t>
        </is>
      </c>
      <c r="O37" s="85" t="inlineStr">
        <is>
          <t>🔴 Not Qualified</t>
        </is>
      </c>
      <c r="P37" s="85" t="inlineStr">
        <is>
          <t>🔴 Avoid</t>
        </is>
      </c>
      <c r="Q37" s="69" t="inlineStr">
        <is>
          <t>FULL</t>
        </is>
      </c>
    </row>
    <row r="38" ht="16" customHeight="1">
      <c r="A38" s="77" t="n">
        <v>34</v>
      </c>
      <c r="B38" s="78" t="inlineStr">
        <is>
          <t>TATA Balanced Advantage Fund Regular Plan - Payout of Income Distribution cum capital withdrawal option</t>
        </is>
      </c>
      <c r="C38" s="78" t="inlineStr">
        <is>
          <t>Tata Mutual Fund</t>
        </is>
      </c>
      <c r="D38" s="78" t="inlineStr">
        <is>
          <t>Dynamic Asset Allocation Or Balanced Advantage</t>
        </is>
      </c>
      <c r="E38" s="86" t="n">
        <v>-0.17</v>
      </c>
      <c r="F38" s="86" t="n">
        <v>-0.59</v>
      </c>
      <c r="G38" s="86" t="n">
        <v>-3.5</v>
      </c>
      <c r="H38" s="79" t="n">
        <v>0.26</v>
      </c>
      <c r="I38" s="79" t="n">
        <v>0.7174264961133714</v>
      </c>
      <c r="J38" s="79" t="n">
        <v>22.86</v>
      </c>
      <c r="K38" s="87" t="n">
        <v>3.5</v>
      </c>
      <c r="L38" s="17" t="n">
        <v>0</v>
      </c>
      <c r="M38" s="23" t="n">
        <v>1.9</v>
      </c>
      <c r="N38" s="80" t="inlineStr">
        <is>
          <t>📉 Weak</t>
        </is>
      </c>
      <c r="O38" s="80" t="inlineStr">
        <is>
          <t>🔴 Not Qualified</t>
        </is>
      </c>
      <c r="P38" s="80" t="inlineStr">
        <is>
          <t>🔴 Avoid</t>
        </is>
      </c>
      <c r="Q38" s="69" t="inlineStr">
        <is>
          <t>FULL</t>
        </is>
      </c>
    </row>
    <row r="39" ht="16" customHeight="1">
      <c r="A39" s="81" t="n">
        <v>34</v>
      </c>
      <c r="B39" s="82" t="inlineStr">
        <is>
          <t>TATA Balanced Advantage Fund Regular Plan - Reinvestment of Income Distribution cum capital withdrawal option</t>
        </is>
      </c>
      <c r="C39" s="82" t="inlineStr">
        <is>
          <t>Tata Mutual Fund</t>
        </is>
      </c>
      <c r="D39" s="82" t="inlineStr">
        <is>
          <t>Dynamic Asset Allocation Or Balanced Advantage</t>
        </is>
      </c>
      <c r="E39" s="88" t="n">
        <v>-0.17</v>
      </c>
      <c r="F39" s="88" t="n">
        <v>-0.59</v>
      </c>
      <c r="G39" s="88" t="n">
        <v>-3.5</v>
      </c>
      <c r="H39" s="83" t="n">
        <v>0.26</v>
      </c>
      <c r="I39" s="83" t="n">
        <v>0.7174264961133714</v>
      </c>
      <c r="J39" s="83" t="n">
        <v>22.86</v>
      </c>
      <c r="K39" s="87" t="n">
        <v>3.5</v>
      </c>
      <c r="L39" s="17" t="n">
        <v>0</v>
      </c>
      <c r="M39" s="23" t="n">
        <v>1.9</v>
      </c>
      <c r="N39" s="85" t="inlineStr">
        <is>
          <t>📉 Weak</t>
        </is>
      </c>
      <c r="O39" s="85" t="inlineStr">
        <is>
          <t>🔴 Not Qualified</t>
        </is>
      </c>
      <c r="P39" s="85" t="inlineStr">
        <is>
          <t>🔴 Avoid</t>
        </is>
      </c>
      <c r="Q39" s="69" t="inlineStr">
        <is>
          <t>FULL</t>
        </is>
      </c>
    </row>
    <row r="40" ht="16" customHeight="1">
      <c r="A40" s="89" t="n">
        <v>0</v>
      </c>
      <c r="B40" s="90" t="inlineStr">
        <is>
          <t>The Wealth Company Balanced Advantage Fund - Regular Growth</t>
        </is>
      </c>
      <c r="C40" s="90" t="inlineStr">
        <is>
          <t>The Wealth Company Mutual Fund</t>
        </is>
      </c>
      <c r="D40" s="90" t="inlineStr">
        <is>
          <t>Dynamic Asset Allocation Or Balanced Advantage</t>
        </is>
      </c>
      <c r="E40" s="91" t="n">
        <v>1.36</v>
      </c>
      <c r="F40" s="91" t="n">
        <v>2.35</v>
      </c>
      <c r="G40" s="91" t="n">
        <v>0</v>
      </c>
      <c r="H40" s="91" t="n">
        <v>0</v>
      </c>
      <c r="I40" s="91" t="n">
        <v>0</v>
      </c>
      <c r="J40" s="91" t="n">
        <v>0</v>
      </c>
      <c r="K40" s="87" t="n">
        <v>0</v>
      </c>
      <c r="L40" s="17" t="n">
        <v>0</v>
      </c>
      <c r="M40" s="23" t="n">
        <v>0</v>
      </c>
      <c r="N40" s="92" t="inlineStr">
        <is>
          <t>❌ N/A</t>
        </is>
      </c>
      <c r="O40" s="92" t="inlineStr">
        <is>
          <t>❌ N/A</t>
        </is>
      </c>
      <c r="P40" s="92" t="inlineStr">
        <is>
          <t>❌ Missing Data</t>
        </is>
      </c>
      <c r="Q40" s="93" t="inlineStr">
        <is>
          <t>MISSING</t>
        </is>
      </c>
    </row>
  </sheetData>
  <autoFilter ref="A4:Q4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EQUITY SAVINGS  ✦</t>
        </is>
      </c>
    </row>
    <row r="2" ht="16" customHeight="1">
      <c r="A2" s="2">
        <f>"Dual Engine: 55% Momentum + 45% Quality | ✅ Full: "&amp;COUNTIF(Q5:Q29,"FULL")&amp;" | ⚠️ Momentum: "&amp;COUNTIF(Q5:Q29,"MOMENTUM_ONLY")&amp;" | ❌ Missing: "&amp;COUNTIF(Q5:Q29,"MISSING")&amp;" | Total: "&amp;COUNTA(B5:B29)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6" t="n">
        <v>1</v>
      </c>
      <c r="B5" s="67" t="inlineStr">
        <is>
          <t>Edelweiss Equity Savings Fund - Regular Plan - Growth Option</t>
        </is>
      </c>
      <c r="C5" s="67" t="inlineStr">
        <is>
          <t>Edelweiss Mutual Fund</t>
        </is>
      </c>
      <c r="D5" s="67" t="inlineStr">
        <is>
          <t>Equity Savings</t>
        </is>
      </c>
      <c r="E5" s="68" t="n">
        <v>1.34</v>
      </c>
      <c r="F5" s="68" t="n">
        <v>3.73</v>
      </c>
      <c r="G5" s="68" t="n">
        <v>4.13</v>
      </c>
      <c r="H5" s="68" t="n">
        <v>8.119999999999999</v>
      </c>
      <c r="I5" s="68" t="n">
        <v>7.856385995452309</v>
      </c>
      <c r="J5" s="68" t="n">
        <v>35.86</v>
      </c>
      <c r="K5" s="16" t="n">
        <v>99.5</v>
      </c>
      <c r="L5" s="17" t="n">
        <v>0</v>
      </c>
      <c r="M5" s="18" t="n">
        <v>54.8</v>
      </c>
      <c r="N5" s="19" t="inlineStr">
        <is>
          <t>🔥 Hot</t>
        </is>
      </c>
      <c r="O5" s="19" t="inlineStr">
        <is>
          <t>🔴 Not Qualified</t>
        </is>
      </c>
      <c r="P5" s="19" t="inlineStr">
        <is>
          <t>⚠️ Watch</t>
        </is>
      </c>
      <c r="Q5" s="69" t="inlineStr">
        <is>
          <t>FULL</t>
        </is>
      </c>
    </row>
    <row r="6" ht="16" customHeight="1">
      <c r="A6" s="70" t="n">
        <v>2</v>
      </c>
      <c r="B6" s="71" t="inlineStr">
        <is>
          <t>Axis Equity Savings Fund - Regular Plan - Growth</t>
        </is>
      </c>
      <c r="C6" s="71" t="inlineStr">
        <is>
          <t>Axis Mutual Fund</t>
        </is>
      </c>
      <c r="D6" s="71" t="inlineStr">
        <is>
          <t>Equity Savings</t>
        </is>
      </c>
      <c r="E6" s="72" t="n">
        <v>1</v>
      </c>
      <c r="F6" s="72" t="n">
        <v>4.3</v>
      </c>
      <c r="G6" s="72" t="n">
        <v>2.28</v>
      </c>
      <c r="H6" s="72" t="n">
        <v>5.81</v>
      </c>
      <c r="I6" s="72" t="n">
        <v>4.589674442556713</v>
      </c>
      <c r="J6" s="72" t="n">
        <v>29.72</v>
      </c>
      <c r="K6" s="16" t="n">
        <v>82.5</v>
      </c>
      <c r="L6" s="17" t="n">
        <v>0</v>
      </c>
      <c r="M6" s="23" t="n">
        <v>45.4</v>
      </c>
      <c r="N6" s="73" t="inlineStr">
        <is>
          <t>⭐ Strong</t>
        </is>
      </c>
      <c r="O6" s="73" t="inlineStr">
        <is>
          <t>🔴 Not Qualified</t>
        </is>
      </c>
      <c r="P6" s="73" t="inlineStr">
        <is>
          <t>⚠️ Watch</t>
        </is>
      </c>
      <c r="Q6" s="69" t="inlineStr">
        <is>
          <t>FULL</t>
        </is>
      </c>
    </row>
    <row r="7" ht="16" customHeight="1">
      <c r="A7" s="25" t="n">
        <v>3</v>
      </c>
      <c r="B7" s="26" t="inlineStr">
        <is>
          <t>WhiteOak Capital Equity Savings Fund Regular Plan Growth</t>
        </is>
      </c>
      <c r="C7" s="26" t="inlineStr">
        <is>
          <t>WhiteOak Capital Mutual Fund</t>
        </is>
      </c>
      <c r="D7" s="26" t="inlineStr">
        <is>
          <t>Equity Savings</t>
        </is>
      </c>
      <c r="E7" s="27" t="n">
        <v>0.73</v>
      </c>
      <c r="F7" s="27" t="n">
        <v>3.39</v>
      </c>
      <c r="G7" s="27" t="n">
        <v>2.15</v>
      </c>
      <c r="H7" s="27" t="n">
        <v>6.81</v>
      </c>
      <c r="I7" s="27" t="n">
        <v>0</v>
      </c>
      <c r="J7" s="27" t="n">
        <v>0</v>
      </c>
      <c r="K7" s="16" t="n">
        <v>82.3</v>
      </c>
      <c r="L7" s="17" t="n">
        <v>0</v>
      </c>
      <c r="M7" s="23" t="n">
        <v>45.2</v>
      </c>
      <c r="N7" s="94" t="inlineStr">
        <is>
          <t>⭐ Strong</t>
        </is>
      </c>
      <c r="O7" s="94" t="inlineStr">
        <is>
          <t>⏳ New Fund</t>
        </is>
      </c>
      <c r="P7" s="94" t="inlineStr">
        <is>
          <t>🔥 Hot Momentum</t>
        </is>
      </c>
      <c r="Q7" s="95" t="inlineStr">
        <is>
          <t>MOMENTUM_ONLY</t>
        </is>
      </c>
    </row>
    <row r="8" ht="16" customHeight="1">
      <c r="A8" s="77" t="n">
        <v>4</v>
      </c>
      <c r="B8" s="78" t="inlineStr">
        <is>
          <t>Baroda BNP Paribas Equity Savings Fund - Regular Plan - Growth</t>
        </is>
      </c>
      <c r="C8" s="78" t="inlineStr">
        <is>
          <t>Baroda BNP Paribas Mutual Fund</t>
        </is>
      </c>
      <c r="D8" s="78" t="inlineStr">
        <is>
          <t>Equity Savings</t>
        </is>
      </c>
      <c r="E8" s="79" t="n">
        <v>1.37</v>
      </c>
      <c r="F8" s="79" t="n">
        <v>3.26</v>
      </c>
      <c r="G8" s="79" t="n">
        <v>2.1</v>
      </c>
      <c r="H8" s="79" t="n">
        <v>5.81</v>
      </c>
      <c r="I8" s="79" t="n">
        <v>5.560409245133191</v>
      </c>
      <c r="J8" s="79" t="n">
        <v>29.98</v>
      </c>
      <c r="K8" s="16" t="n">
        <v>78.59999999999999</v>
      </c>
      <c r="L8" s="17" t="n">
        <v>0</v>
      </c>
      <c r="M8" s="23" t="n">
        <v>43.3</v>
      </c>
      <c r="N8" s="80" t="inlineStr">
        <is>
          <t>⭐ Strong</t>
        </is>
      </c>
      <c r="O8" s="80" t="inlineStr">
        <is>
          <t>🔴 Not Qualified</t>
        </is>
      </c>
      <c r="P8" s="80" t="inlineStr">
        <is>
          <t>⚠️ Watch</t>
        </is>
      </c>
      <c r="Q8" s="69" t="inlineStr">
        <is>
          <t>FULL</t>
        </is>
      </c>
    </row>
    <row r="9" ht="16" customHeight="1">
      <c r="A9" s="25" t="n">
        <v>5</v>
      </c>
      <c r="B9" s="26" t="inlineStr">
        <is>
          <t>quant Equity Savings Fund - Growth Option - Regular Plan</t>
        </is>
      </c>
      <c r="C9" s="26" t="inlineStr">
        <is>
          <t>quant Mutual Fund</t>
        </is>
      </c>
      <c r="D9" s="26" t="inlineStr">
        <is>
          <t>Equity Savings</t>
        </is>
      </c>
      <c r="E9" s="96" t="n">
        <v>-0.8</v>
      </c>
      <c r="F9" s="27" t="n">
        <v>3.88</v>
      </c>
      <c r="G9" s="27" t="n">
        <v>4.58</v>
      </c>
      <c r="H9" s="27" t="n">
        <v>6.49</v>
      </c>
      <c r="I9" s="27" t="n">
        <v>0</v>
      </c>
      <c r="J9" s="27" t="n">
        <v>0</v>
      </c>
      <c r="K9" s="16" t="n">
        <v>75.7</v>
      </c>
      <c r="L9" s="17" t="n">
        <v>0</v>
      </c>
      <c r="M9" s="23" t="n">
        <v>41.6</v>
      </c>
      <c r="N9" s="94" t="inlineStr">
        <is>
          <t>⭐ Strong</t>
        </is>
      </c>
      <c r="O9" s="94" t="inlineStr">
        <is>
          <t>⏳ New Fund</t>
        </is>
      </c>
      <c r="P9" s="94" t="inlineStr">
        <is>
          <t>📈 Momentum Only</t>
        </is>
      </c>
      <c r="Q9" s="95" t="inlineStr">
        <is>
          <t>MOMENTUM_ONLY</t>
        </is>
      </c>
    </row>
    <row r="10" ht="16" customHeight="1">
      <c r="A10" s="77" t="n">
        <v>5</v>
      </c>
      <c r="B10" s="78" t="inlineStr">
        <is>
          <t>LIC MF Equity Savings Fund-Regular Plan-Growth</t>
        </is>
      </c>
      <c r="C10" s="78" t="inlineStr">
        <is>
          <t>LIC Mutual Fund</t>
        </is>
      </c>
      <c r="D10" s="78" t="inlineStr">
        <is>
          <t>Equity Savings</t>
        </is>
      </c>
      <c r="E10" s="79" t="n">
        <v>2.15</v>
      </c>
      <c r="F10" s="79" t="n">
        <v>2.52</v>
      </c>
      <c r="G10" s="79" t="n">
        <v>3.14</v>
      </c>
      <c r="H10" s="79" t="n">
        <v>4.02</v>
      </c>
      <c r="I10" s="79" t="n">
        <v>5.304320899002057</v>
      </c>
      <c r="J10" s="79" t="n">
        <v>28.01</v>
      </c>
      <c r="K10" s="16" t="n">
        <v>75.7</v>
      </c>
      <c r="L10" s="17" t="n">
        <v>0</v>
      </c>
      <c r="M10" s="23" t="n">
        <v>41.6</v>
      </c>
      <c r="N10" s="80" t="inlineStr">
        <is>
          <t>⭐ Strong</t>
        </is>
      </c>
      <c r="O10" s="80" t="inlineStr">
        <is>
          <t>🔴 Not Qualified</t>
        </is>
      </c>
      <c r="P10" s="80" t="inlineStr">
        <is>
          <t>⚠️ Watch</t>
        </is>
      </c>
      <c r="Q10" s="69" t="inlineStr">
        <is>
          <t>FULL</t>
        </is>
      </c>
    </row>
    <row r="11" ht="16" customHeight="1">
      <c r="A11" s="81" t="n">
        <v>7</v>
      </c>
      <c r="B11" s="82" t="inlineStr">
        <is>
          <t>Mahindra Manulife Equity Savings Fund - Regular Plan - Growth</t>
        </is>
      </c>
      <c r="C11" s="82" t="inlineStr">
        <is>
          <t>Mahindra Manulife Mutual Fund</t>
        </is>
      </c>
      <c r="D11" s="82" t="inlineStr">
        <is>
          <t>Equity Savings</t>
        </is>
      </c>
      <c r="E11" s="83" t="n">
        <v>0.71</v>
      </c>
      <c r="F11" s="83" t="n">
        <v>3.47</v>
      </c>
      <c r="G11" s="83" t="n">
        <v>1.74</v>
      </c>
      <c r="H11" s="83" t="n">
        <v>6.56</v>
      </c>
      <c r="I11" s="83" t="n">
        <v>4.857045542967686</v>
      </c>
      <c r="J11" s="83" t="n">
        <v>28.44</v>
      </c>
      <c r="K11" s="84" t="n">
        <v>74.09999999999999</v>
      </c>
      <c r="L11" s="17" t="n">
        <v>0</v>
      </c>
      <c r="M11" s="23" t="n">
        <v>40.8</v>
      </c>
      <c r="N11" s="85" t="inlineStr">
        <is>
          <t>📈 Good</t>
        </is>
      </c>
      <c r="O11" s="85" t="inlineStr">
        <is>
          <t>🔴 Not Qualified</t>
        </is>
      </c>
      <c r="P11" s="85" t="inlineStr">
        <is>
          <t>⚠️ Watch</t>
        </is>
      </c>
      <c r="Q11" s="69" t="inlineStr">
        <is>
          <t>FULL</t>
        </is>
      </c>
    </row>
    <row r="12" ht="16" customHeight="1">
      <c r="A12" s="77" t="n">
        <v>8</v>
      </c>
      <c r="B12" s="78" t="inlineStr">
        <is>
          <t>Aditya Birla Sun Life Equity Savings Fund - Regular Plan - Growth</t>
        </is>
      </c>
      <c r="C12" s="78" t="inlineStr">
        <is>
          <t>Aditya Birla Sun Life Mutual Fund</t>
        </is>
      </c>
      <c r="D12" s="78" t="inlineStr">
        <is>
          <t>Equity Savings</t>
        </is>
      </c>
      <c r="E12" s="79" t="n">
        <v>0.6899999999999999</v>
      </c>
      <c r="F12" s="79" t="n">
        <v>2.67</v>
      </c>
      <c r="G12" s="79" t="n">
        <v>2.09</v>
      </c>
      <c r="H12" s="79" t="n">
        <v>6.02</v>
      </c>
      <c r="I12" s="79" t="n">
        <v>6.494131293700889</v>
      </c>
      <c r="J12" s="79" t="n">
        <v>26.17</v>
      </c>
      <c r="K12" s="84" t="n">
        <v>66.59999999999999</v>
      </c>
      <c r="L12" s="17" t="n">
        <v>0</v>
      </c>
      <c r="M12" s="23" t="n">
        <v>36.6</v>
      </c>
      <c r="N12" s="80" t="inlineStr">
        <is>
          <t>📈 Good</t>
        </is>
      </c>
      <c r="O12" s="80" t="inlineStr">
        <is>
          <t>🔴 Not Qualified</t>
        </is>
      </c>
      <c r="P12" s="80" t="inlineStr">
        <is>
          <t>🔴 Avoid</t>
        </is>
      </c>
      <c r="Q12" s="69" t="inlineStr">
        <is>
          <t>FULL</t>
        </is>
      </c>
    </row>
    <row r="13" ht="16" customHeight="1">
      <c r="A13" s="81" t="n">
        <v>9</v>
      </c>
      <c r="B13" s="82" t="inlineStr">
        <is>
          <t>Kotak Equity Savings Fund - Regular - Growth</t>
        </is>
      </c>
      <c r="C13" s="82" t="inlineStr">
        <is>
          <t>Kotak Mahindra Mutual Fund</t>
        </is>
      </c>
      <c r="D13" s="82" t="inlineStr">
        <is>
          <t>Equity Savings</t>
        </is>
      </c>
      <c r="E13" s="83" t="n">
        <v>1.04</v>
      </c>
      <c r="F13" s="83" t="n">
        <v>2.56</v>
      </c>
      <c r="G13" s="83" t="n">
        <v>1.51</v>
      </c>
      <c r="H13" s="83" t="n">
        <v>6.1</v>
      </c>
      <c r="I13" s="83" t="n">
        <v>5.019045891685758</v>
      </c>
      <c r="J13" s="83" t="n">
        <v>32.3</v>
      </c>
      <c r="K13" s="84" t="n">
        <v>63.9</v>
      </c>
      <c r="L13" s="17" t="n">
        <v>0</v>
      </c>
      <c r="M13" s="23" t="n">
        <v>35.1</v>
      </c>
      <c r="N13" s="85" t="inlineStr">
        <is>
          <t>📈 Good</t>
        </is>
      </c>
      <c r="O13" s="85" t="inlineStr">
        <is>
          <t>🔴 Not Qualified</t>
        </is>
      </c>
      <c r="P13" s="85" t="inlineStr">
        <is>
          <t>🔴 Avoid</t>
        </is>
      </c>
      <c r="Q13" s="69" t="inlineStr">
        <is>
          <t>FULL</t>
        </is>
      </c>
    </row>
    <row r="14" ht="16" customHeight="1">
      <c r="A14" s="77" t="n">
        <v>9</v>
      </c>
      <c r="B14" s="78" t="inlineStr">
        <is>
          <t>Kotak Equity Savings Fund - Regular - Monthly Payout of Income Distribution cum capital withdrawal option</t>
        </is>
      </c>
      <c r="C14" s="78" t="inlineStr">
        <is>
          <t>Kotak Mahindra Mutual Fund</t>
        </is>
      </c>
      <c r="D14" s="78" t="inlineStr">
        <is>
          <t>Equity Savings</t>
        </is>
      </c>
      <c r="E14" s="79" t="n">
        <v>1.04</v>
      </c>
      <c r="F14" s="79" t="n">
        <v>2.56</v>
      </c>
      <c r="G14" s="79" t="n">
        <v>1.51</v>
      </c>
      <c r="H14" s="79" t="n">
        <v>6.1</v>
      </c>
      <c r="I14" s="79" t="n">
        <v>5.019045891685758</v>
      </c>
      <c r="J14" s="79" t="n">
        <v>32.3</v>
      </c>
      <c r="K14" s="84" t="n">
        <v>63.9</v>
      </c>
      <c r="L14" s="17" t="n">
        <v>0</v>
      </c>
      <c r="M14" s="23" t="n">
        <v>35.1</v>
      </c>
      <c r="N14" s="80" t="inlineStr">
        <is>
          <t>📈 Good</t>
        </is>
      </c>
      <c r="O14" s="80" t="inlineStr">
        <is>
          <t>🔴 Not Qualified</t>
        </is>
      </c>
      <c r="P14" s="80" t="inlineStr">
        <is>
          <t>🔴 Avoid</t>
        </is>
      </c>
      <c r="Q14" s="69" t="inlineStr">
        <is>
          <t>FULL</t>
        </is>
      </c>
    </row>
    <row r="15" ht="16" customHeight="1">
      <c r="A15" s="81" t="n">
        <v>11</v>
      </c>
      <c r="B15" s="82" t="inlineStr">
        <is>
          <t>Union Equity Savings Fund - Regular Plan - Growth Option</t>
        </is>
      </c>
      <c r="C15" s="82" t="inlineStr">
        <is>
          <t>Union Mutual Fund</t>
        </is>
      </c>
      <c r="D15" s="82" t="inlineStr">
        <is>
          <t>Equity Savings</t>
        </is>
      </c>
      <c r="E15" s="83" t="n">
        <v>0.52</v>
      </c>
      <c r="F15" s="83" t="n">
        <v>3.67</v>
      </c>
      <c r="G15" s="83" t="n">
        <v>1.45</v>
      </c>
      <c r="H15" s="83" t="n">
        <v>4.41</v>
      </c>
      <c r="I15" s="83" t="n">
        <v>3.836409799260676</v>
      </c>
      <c r="J15" s="83" t="n">
        <v>22.96</v>
      </c>
      <c r="K15" s="84" t="n">
        <v>57</v>
      </c>
      <c r="L15" s="17" t="n">
        <v>0</v>
      </c>
      <c r="M15" s="23" t="n">
        <v>31.4</v>
      </c>
      <c r="N15" s="85" t="inlineStr">
        <is>
          <t>➡️ Neutral</t>
        </is>
      </c>
      <c r="O15" s="85" t="inlineStr">
        <is>
          <t>🔴 Not Qualified</t>
        </is>
      </c>
      <c r="P15" s="85" t="inlineStr">
        <is>
          <t>🔴 Avoid</t>
        </is>
      </c>
      <c r="Q15" s="69" t="inlineStr">
        <is>
          <t>FULL</t>
        </is>
      </c>
    </row>
    <row r="16" ht="16" customHeight="1">
      <c r="A16" s="77" t="n">
        <v>12</v>
      </c>
      <c r="B16" s="78" t="inlineStr">
        <is>
          <t>PGIM India Equity Savings Fund - Growth Option</t>
        </is>
      </c>
      <c r="C16" s="78" t="inlineStr">
        <is>
          <t>PGIM India Mutual Fund</t>
        </is>
      </c>
      <c r="D16" s="78" t="inlineStr">
        <is>
          <t>Equity Savings</t>
        </is>
      </c>
      <c r="E16" s="79" t="n">
        <v>0.51</v>
      </c>
      <c r="F16" s="79" t="n">
        <v>2.99</v>
      </c>
      <c r="G16" s="79" t="n">
        <v>1.54</v>
      </c>
      <c r="H16" s="79" t="n">
        <v>4.12</v>
      </c>
      <c r="I16" s="79" t="n">
        <v>4.809350727881156</v>
      </c>
      <c r="J16" s="79" t="n">
        <v>20.35</v>
      </c>
      <c r="K16" s="84" t="n">
        <v>54.1</v>
      </c>
      <c r="L16" s="17" t="n">
        <v>0</v>
      </c>
      <c r="M16" s="23" t="n">
        <v>29.8</v>
      </c>
      <c r="N16" s="80" t="inlineStr">
        <is>
          <t>➡️ Neutral</t>
        </is>
      </c>
      <c r="O16" s="80" t="inlineStr">
        <is>
          <t>🔴 Not Qualified</t>
        </is>
      </c>
      <c r="P16" s="80" t="inlineStr">
        <is>
          <t>🔴 Avoid</t>
        </is>
      </c>
      <c r="Q16" s="69" t="inlineStr">
        <is>
          <t>FULL</t>
        </is>
      </c>
    </row>
    <row r="17" ht="16" customHeight="1">
      <c r="A17" s="81" t="n">
        <v>13</v>
      </c>
      <c r="B17" s="82" t="inlineStr">
        <is>
          <t>BANDHAN Equity Savings Fund - Regular Plan - Growth</t>
        </is>
      </c>
      <c r="C17" s="82" t="inlineStr">
        <is>
          <t>Bandhan Mutual Fund</t>
        </is>
      </c>
      <c r="D17" s="82" t="inlineStr">
        <is>
          <t>Equity Savings</t>
        </is>
      </c>
      <c r="E17" s="83" t="n">
        <v>0.52</v>
      </c>
      <c r="F17" s="83" t="n">
        <v>2.22</v>
      </c>
      <c r="G17" s="83" t="n">
        <v>1.75</v>
      </c>
      <c r="H17" s="83" t="n">
        <v>4.17</v>
      </c>
      <c r="I17" s="83" t="n">
        <v>4.852277037744868</v>
      </c>
      <c r="J17" s="83" t="n">
        <v>21.34</v>
      </c>
      <c r="K17" s="84" t="n">
        <v>52.7</v>
      </c>
      <c r="L17" s="17" t="n">
        <v>0</v>
      </c>
      <c r="M17" s="23" t="n">
        <v>29</v>
      </c>
      <c r="N17" s="85" t="inlineStr">
        <is>
          <t>➡️ Neutral</t>
        </is>
      </c>
      <c r="O17" s="85" t="inlineStr">
        <is>
          <t>🔴 Not Qualified</t>
        </is>
      </c>
      <c r="P17" s="85" t="inlineStr">
        <is>
          <t>🔴 Avoid</t>
        </is>
      </c>
      <c r="Q17" s="69" t="inlineStr">
        <is>
          <t>FULL</t>
        </is>
      </c>
    </row>
    <row r="18" ht="16" customHeight="1">
      <c r="A18" s="25" t="n">
        <v>14</v>
      </c>
      <c r="B18" s="26" t="inlineStr">
        <is>
          <t>BAJAJ FINSERV EQUITY SAVINGS FUND - REGULAR - GROWTH</t>
        </is>
      </c>
      <c r="C18" s="26" t="inlineStr">
        <is>
          <t>Bajaj Finserv Mutual Fund</t>
        </is>
      </c>
      <c r="D18" s="26" t="inlineStr">
        <is>
          <t>Equity Savings</t>
        </is>
      </c>
      <c r="E18" s="27" t="n">
        <v>0.8</v>
      </c>
      <c r="F18" s="27" t="n">
        <v>0.83</v>
      </c>
      <c r="G18" s="27" t="n">
        <v>2.13</v>
      </c>
      <c r="H18" s="27" t="n">
        <v>0</v>
      </c>
      <c r="I18" s="27" t="n">
        <v>0</v>
      </c>
      <c r="J18" s="27" t="n">
        <v>0</v>
      </c>
      <c r="K18" s="87" t="n">
        <v>45.2</v>
      </c>
      <c r="L18" s="17" t="n">
        <v>0</v>
      </c>
      <c r="M18" s="23" t="n">
        <v>24.9</v>
      </c>
      <c r="N18" s="94" t="inlineStr">
        <is>
          <t>➡️ Neutral</t>
        </is>
      </c>
      <c r="O18" s="94" t="inlineStr">
        <is>
          <t>⏳ New Fund</t>
        </is>
      </c>
      <c r="P18" s="94" t="inlineStr">
        <is>
          <t>⏳ New Fund</t>
        </is>
      </c>
      <c r="Q18" s="95" t="inlineStr">
        <is>
          <t>MOMENTUM_ONLY</t>
        </is>
      </c>
    </row>
    <row r="19" ht="16" customHeight="1">
      <c r="A19" s="81" t="n">
        <v>15</v>
      </c>
      <c r="B19" s="82" t="inlineStr">
        <is>
          <t>Sundaram Equity Savings Fund (Formerly Known as Principal Equity Savings Fund) - Growth Option</t>
        </is>
      </c>
      <c r="C19" s="82" t="inlineStr">
        <is>
          <t>Sundaram Mutual Fund</t>
        </is>
      </c>
      <c r="D19" s="82" t="inlineStr">
        <is>
          <t>Equity Savings</t>
        </is>
      </c>
      <c r="E19" s="83" t="n">
        <v>1.05</v>
      </c>
      <c r="F19" s="83" t="n">
        <v>2.72</v>
      </c>
      <c r="G19" s="88" t="n">
        <v>-0.39</v>
      </c>
      <c r="H19" s="83" t="n">
        <v>2.1</v>
      </c>
      <c r="I19" s="83" t="n">
        <v>3.624321469431102</v>
      </c>
      <c r="J19" s="83" t="n">
        <v>27.09</v>
      </c>
      <c r="K19" s="87" t="n">
        <v>39.3</v>
      </c>
      <c r="L19" s="17" t="n">
        <v>0</v>
      </c>
      <c r="M19" s="23" t="n">
        <v>21.6</v>
      </c>
      <c r="N19" s="85" t="inlineStr">
        <is>
          <t>📉 Weak</t>
        </is>
      </c>
      <c r="O19" s="85" t="inlineStr">
        <is>
          <t>🔴 Not Qualified</t>
        </is>
      </c>
      <c r="P19" s="85" t="inlineStr">
        <is>
          <t>🔴 Avoid</t>
        </is>
      </c>
      <c r="Q19" s="69" t="inlineStr">
        <is>
          <t>FULL</t>
        </is>
      </c>
    </row>
    <row r="20" ht="16" customHeight="1">
      <c r="A20" s="77" t="n">
        <v>16</v>
      </c>
      <c r="B20" s="78" t="inlineStr">
        <is>
          <t>Franklin India Equity Savings Fund- Growth</t>
        </is>
      </c>
      <c r="C20" s="78" t="inlineStr">
        <is>
          <t>Franklin Templeton Mutual Fund</t>
        </is>
      </c>
      <c r="D20" s="78" t="inlineStr">
        <is>
          <t>Equity Savings</t>
        </is>
      </c>
      <c r="E20" s="79" t="n">
        <v>0.44</v>
      </c>
      <c r="F20" s="79" t="n">
        <v>2.03</v>
      </c>
      <c r="G20" s="79" t="n">
        <v>1.11</v>
      </c>
      <c r="H20" s="79" t="n">
        <v>3.91</v>
      </c>
      <c r="I20" s="79" t="n">
        <v>4.537074762975846</v>
      </c>
      <c r="J20" s="79" t="n">
        <v>22.31</v>
      </c>
      <c r="K20" s="87" t="n">
        <v>36.8</v>
      </c>
      <c r="L20" s="17" t="n">
        <v>0</v>
      </c>
      <c r="M20" s="23" t="n">
        <v>20.3</v>
      </c>
      <c r="N20" s="80" t="inlineStr">
        <is>
          <t>📉 Weak</t>
        </is>
      </c>
      <c r="O20" s="80" t="inlineStr">
        <is>
          <t>🔴 Not Qualified</t>
        </is>
      </c>
      <c r="P20" s="80" t="inlineStr">
        <is>
          <t>🔴 Avoid</t>
        </is>
      </c>
      <c r="Q20" s="69" t="inlineStr">
        <is>
          <t>FULL</t>
        </is>
      </c>
    </row>
    <row r="21" ht="16" customHeight="1">
      <c r="A21" s="81" t="n">
        <v>17</v>
      </c>
      <c r="B21" s="82" t="inlineStr">
        <is>
          <t>HDFC Equity Savings Fund - GROWTH PLAN</t>
        </is>
      </c>
      <c r="C21" s="82" t="inlineStr">
        <is>
          <t>HDFC Mutual Fund</t>
        </is>
      </c>
      <c r="D21" s="82" t="inlineStr">
        <is>
          <t>Equity Savings</t>
        </is>
      </c>
      <c r="E21" s="83" t="n">
        <v>0.26</v>
      </c>
      <c r="F21" s="83" t="n">
        <v>2.58</v>
      </c>
      <c r="G21" s="88" t="n">
        <v>-0.26</v>
      </c>
      <c r="H21" s="83" t="n">
        <v>3.61</v>
      </c>
      <c r="I21" s="83" t="n">
        <v>3.561575886039892</v>
      </c>
      <c r="J21" s="83" t="n">
        <v>26.41</v>
      </c>
      <c r="K21" s="87" t="n">
        <v>32.5</v>
      </c>
      <c r="L21" s="17" t="n">
        <v>0</v>
      </c>
      <c r="M21" s="23" t="n">
        <v>17.9</v>
      </c>
      <c r="N21" s="85" t="inlineStr">
        <is>
          <t>📉 Weak</t>
        </is>
      </c>
      <c r="O21" s="85" t="inlineStr">
        <is>
          <t>🔴 Not Qualified</t>
        </is>
      </c>
      <c r="P21" s="85" t="inlineStr">
        <is>
          <t>🔴 Avoid</t>
        </is>
      </c>
      <c r="Q21" s="69" t="inlineStr">
        <is>
          <t>FULL</t>
        </is>
      </c>
    </row>
    <row r="22" ht="16" customHeight="1">
      <c r="A22" s="77" t="n">
        <v>18</v>
      </c>
      <c r="B22" s="78" t="inlineStr">
        <is>
          <t>SBI Equity Savings Fund - Regular Plan - Growth</t>
        </is>
      </c>
      <c r="C22" s="78" t="inlineStr">
        <is>
          <t>SBI Mutual Fund</t>
        </is>
      </c>
      <c r="D22" s="78" t="inlineStr">
        <is>
          <t>Equity Savings</t>
        </is>
      </c>
      <c r="E22" s="79" t="n">
        <v>0.25</v>
      </c>
      <c r="F22" s="79" t="n">
        <v>1.89</v>
      </c>
      <c r="G22" s="79" t="n">
        <v>1.01</v>
      </c>
      <c r="H22" s="79" t="n">
        <v>3.99</v>
      </c>
      <c r="I22" s="79" t="n">
        <v>4.560986988455684</v>
      </c>
      <c r="J22" s="79" t="n">
        <v>27.57</v>
      </c>
      <c r="K22" s="87" t="n">
        <v>31.4</v>
      </c>
      <c r="L22" s="17" t="n">
        <v>0</v>
      </c>
      <c r="M22" s="23" t="n">
        <v>17.2</v>
      </c>
      <c r="N22" s="80" t="inlineStr">
        <is>
          <t>📉 Weak</t>
        </is>
      </c>
      <c r="O22" s="80" t="inlineStr">
        <is>
          <t>🔴 Not Qualified</t>
        </is>
      </c>
      <c r="P22" s="80" t="inlineStr">
        <is>
          <t>🔴 Avoid</t>
        </is>
      </c>
      <c r="Q22" s="69" t="inlineStr">
        <is>
          <t>FULL</t>
        </is>
      </c>
    </row>
    <row r="23" ht="16" customHeight="1">
      <c r="A23" s="81" t="n">
        <v>19</v>
      </c>
      <c r="B23" s="82" t="inlineStr">
        <is>
          <t>UTI Equity Savings Fund - Regular Plan - Growth Option</t>
        </is>
      </c>
      <c r="C23" s="82" t="inlineStr">
        <is>
          <t>UTI Mutual Fund</t>
        </is>
      </c>
      <c r="D23" s="82" t="inlineStr">
        <is>
          <t>Equity Savings</t>
        </is>
      </c>
      <c r="E23" s="83" t="n">
        <v>0.33</v>
      </c>
      <c r="F23" s="83" t="n">
        <v>1.92</v>
      </c>
      <c r="G23" s="88" t="n">
        <v>-0.64</v>
      </c>
      <c r="H23" s="83" t="n">
        <v>4.43</v>
      </c>
      <c r="I23" s="83" t="n">
        <v>4.22091920531118</v>
      </c>
      <c r="J23" s="83" t="n">
        <v>26.45</v>
      </c>
      <c r="K23" s="87" t="n">
        <v>30.7</v>
      </c>
      <c r="L23" s="17" t="n">
        <v>0</v>
      </c>
      <c r="M23" s="23" t="n">
        <v>16.9</v>
      </c>
      <c r="N23" s="85" t="inlineStr">
        <is>
          <t>📉 Weak</t>
        </is>
      </c>
      <c r="O23" s="85" t="inlineStr">
        <is>
          <t>🔴 Not Qualified</t>
        </is>
      </c>
      <c r="P23" s="85" t="inlineStr">
        <is>
          <t>🔴 Avoid</t>
        </is>
      </c>
      <c r="Q23" s="69" t="inlineStr">
        <is>
          <t>FULL</t>
        </is>
      </c>
    </row>
    <row r="24" ht="16" customHeight="1">
      <c r="A24" s="77" t="n">
        <v>20</v>
      </c>
      <c r="B24" s="78" t="inlineStr">
        <is>
          <t>ICICI Prudential Equity Savings Fund - Cumulative option</t>
        </is>
      </c>
      <c r="C24" s="78" t="inlineStr">
        <is>
          <t>ICICI Prudential Mutual Fund</t>
        </is>
      </c>
      <c r="D24" s="78" t="inlineStr">
        <is>
          <t>Equity Savings</t>
        </is>
      </c>
      <c r="E24" s="79" t="n">
        <v>0.09</v>
      </c>
      <c r="F24" s="79" t="n">
        <v>1.52</v>
      </c>
      <c r="G24" s="79" t="n">
        <v>0.47</v>
      </c>
      <c r="H24" s="79" t="n">
        <v>3.19</v>
      </c>
      <c r="I24" s="79" t="n">
        <v>4.928547116597404</v>
      </c>
      <c r="J24" s="79" t="n">
        <v>21.08</v>
      </c>
      <c r="K24" s="87" t="n">
        <v>22.7</v>
      </c>
      <c r="L24" s="17" t="n">
        <v>0</v>
      </c>
      <c r="M24" s="23" t="n">
        <v>12.5</v>
      </c>
      <c r="N24" s="80" t="inlineStr">
        <is>
          <t>📉 Weak</t>
        </is>
      </c>
      <c r="O24" s="80" t="inlineStr">
        <is>
          <t>🔴 Not Qualified</t>
        </is>
      </c>
      <c r="P24" s="80" t="inlineStr">
        <is>
          <t>🔴 Avoid</t>
        </is>
      </c>
      <c r="Q24" s="69" t="inlineStr">
        <is>
          <t>FULL</t>
        </is>
      </c>
    </row>
    <row r="25" ht="16" customHeight="1">
      <c r="A25" s="81" t="n">
        <v>21</v>
      </c>
      <c r="B25" s="82" t="inlineStr">
        <is>
          <t>Nippon India Equity Savings Fund- Growth Plan- Bonus Option</t>
        </is>
      </c>
      <c r="C25" s="82" t="inlineStr">
        <is>
          <t>Nippon India Mutual Fund</t>
        </is>
      </c>
      <c r="D25" s="82" t="inlineStr">
        <is>
          <t>Equity Savings</t>
        </is>
      </c>
      <c r="E25" s="83" t="n">
        <v>0.08</v>
      </c>
      <c r="F25" s="83" t="n">
        <v>1.6</v>
      </c>
      <c r="G25" s="88" t="n">
        <v>-0.3</v>
      </c>
      <c r="H25" s="83" t="n">
        <v>3.04</v>
      </c>
      <c r="I25" s="83" t="n">
        <v>3.45047124107265</v>
      </c>
      <c r="J25" s="83" t="n">
        <v>20.57</v>
      </c>
      <c r="K25" s="87" t="n">
        <v>13.6</v>
      </c>
      <c r="L25" s="17" t="n">
        <v>0</v>
      </c>
      <c r="M25" s="23" t="n">
        <v>7.5</v>
      </c>
      <c r="N25" s="85" t="inlineStr">
        <is>
          <t>📉 Weak</t>
        </is>
      </c>
      <c r="O25" s="85" t="inlineStr">
        <is>
          <t>🔴 Not Qualified</t>
        </is>
      </c>
      <c r="P25" s="85" t="inlineStr">
        <is>
          <t>🔴 Avoid</t>
        </is>
      </c>
      <c r="Q25" s="69" t="inlineStr">
        <is>
          <t>FULL</t>
        </is>
      </c>
    </row>
    <row r="26" ht="16" customHeight="1">
      <c r="A26" s="77" t="n">
        <v>21</v>
      </c>
      <c r="B26" s="78" t="inlineStr">
        <is>
          <t>Nippon India Equity Savings Fund- Growth Plan- Growth Option</t>
        </is>
      </c>
      <c r="C26" s="78" t="inlineStr">
        <is>
          <t>Nippon India Mutual Fund</t>
        </is>
      </c>
      <c r="D26" s="78" t="inlineStr">
        <is>
          <t>Equity Savings</t>
        </is>
      </c>
      <c r="E26" s="79" t="n">
        <v>0.08</v>
      </c>
      <c r="F26" s="79" t="n">
        <v>1.6</v>
      </c>
      <c r="G26" s="86" t="n">
        <v>-0.3</v>
      </c>
      <c r="H26" s="79" t="n">
        <v>3.04</v>
      </c>
      <c r="I26" s="79" t="n">
        <v>3.45047124107265</v>
      </c>
      <c r="J26" s="79" t="n">
        <v>20.57</v>
      </c>
      <c r="K26" s="87" t="n">
        <v>13.6</v>
      </c>
      <c r="L26" s="17" t="n">
        <v>0</v>
      </c>
      <c r="M26" s="23" t="n">
        <v>7.5</v>
      </c>
      <c r="N26" s="80" t="inlineStr">
        <is>
          <t>📉 Weak</t>
        </is>
      </c>
      <c r="O26" s="80" t="inlineStr">
        <is>
          <t>🔴 Not Qualified</t>
        </is>
      </c>
      <c r="P26" s="80" t="inlineStr">
        <is>
          <t>🔴 Avoid</t>
        </is>
      </c>
      <c r="Q26" s="69" t="inlineStr">
        <is>
          <t>FULL</t>
        </is>
      </c>
    </row>
    <row r="27" ht="16" customHeight="1">
      <c r="A27" s="81" t="n">
        <v>21</v>
      </c>
      <c r="B27" s="82" t="inlineStr">
        <is>
          <t>DSP Equity Savings Fund - Regular Plan - Growth</t>
        </is>
      </c>
      <c r="C27" s="82" t="inlineStr">
        <is>
          <t>DSP Mutual Fund</t>
        </is>
      </c>
      <c r="D27" s="82" t="inlineStr">
        <is>
          <t>Equity Savings</t>
        </is>
      </c>
      <c r="E27" s="88" t="n">
        <v>-0.43</v>
      </c>
      <c r="F27" s="83" t="n">
        <v>1</v>
      </c>
      <c r="G27" s="83" t="n">
        <v>0.07000000000000001</v>
      </c>
      <c r="H27" s="83" t="n">
        <v>2.43</v>
      </c>
      <c r="I27" s="83" t="n">
        <v>4.13932974625868</v>
      </c>
      <c r="J27" s="83" t="n">
        <v>25.78</v>
      </c>
      <c r="K27" s="87" t="n">
        <v>13.6</v>
      </c>
      <c r="L27" s="17" t="n">
        <v>0</v>
      </c>
      <c r="M27" s="23" t="n">
        <v>7.5</v>
      </c>
      <c r="N27" s="85" t="inlineStr">
        <is>
          <t>📉 Weak</t>
        </is>
      </c>
      <c r="O27" s="85" t="inlineStr">
        <is>
          <t>🔴 Not Qualified</t>
        </is>
      </c>
      <c r="P27" s="85" t="inlineStr">
        <is>
          <t>🔴 Avoid</t>
        </is>
      </c>
      <c r="Q27" s="69" t="inlineStr">
        <is>
          <t>FULL</t>
        </is>
      </c>
    </row>
    <row r="28" ht="16" customHeight="1">
      <c r="A28" s="89" t="n">
        <v>0</v>
      </c>
      <c r="B28" s="90" t="inlineStr">
        <is>
          <t>Nippon India Equity Savings Fund - Segregated Portfolio 2 - Growth Plan - Bonus Option</t>
        </is>
      </c>
      <c r="C28" s="90" t="inlineStr">
        <is>
          <t>Nippon India Mutual Fund</t>
        </is>
      </c>
      <c r="D28" s="90" t="inlineStr">
        <is>
          <t>Equity Savings</t>
        </is>
      </c>
      <c r="E28" s="91" t="n">
        <v>0</v>
      </c>
      <c r="F28" s="91" t="n">
        <v>0</v>
      </c>
      <c r="G28" s="91" t="n">
        <v>0</v>
      </c>
      <c r="H28" s="91" t="n">
        <v>0</v>
      </c>
      <c r="I28" s="91" t="n">
        <v>0</v>
      </c>
      <c r="J28" s="91" t="n">
        <v>0</v>
      </c>
      <c r="K28" s="87" t="n">
        <v>0</v>
      </c>
      <c r="L28" s="17" t="n">
        <v>0</v>
      </c>
      <c r="M28" s="23" t="n">
        <v>0</v>
      </c>
      <c r="N28" s="92" t="inlineStr">
        <is>
          <t>❌ N/A</t>
        </is>
      </c>
      <c r="O28" s="92" t="inlineStr">
        <is>
          <t>❌ N/A</t>
        </is>
      </c>
      <c r="P28" s="92" t="inlineStr">
        <is>
          <t>❌ Missing Data</t>
        </is>
      </c>
      <c r="Q28" s="93" t="inlineStr">
        <is>
          <t>MISSING</t>
        </is>
      </c>
    </row>
    <row r="29" ht="16" customHeight="1">
      <c r="A29" s="89" t="n">
        <v>0</v>
      </c>
      <c r="B29" s="90" t="inlineStr">
        <is>
          <t>Nippon India Equity Savings Fund - Segregated Portfolio 2 - Growth Plan - Growth Option</t>
        </is>
      </c>
      <c r="C29" s="90" t="inlineStr">
        <is>
          <t>Nippon India Mutual Fund</t>
        </is>
      </c>
      <c r="D29" s="90" t="inlineStr">
        <is>
          <t>Equity Savings</t>
        </is>
      </c>
      <c r="E29" s="91" t="n">
        <v>0</v>
      </c>
      <c r="F29" s="91" t="n">
        <v>0</v>
      </c>
      <c r="G29" s="91" t="n">
        <v>0</v>
      </c>
      <c r="H29" s="91" t="n">
        <v>0</v>
      </c>
      <c r="I29" s="91" t="n">
        <v>0</v>
      </c>
      <c r="J29" s="91" t="n">
        <v>0</v>
      </c>
      <c r="K29" s="87" t="n">
        <v>0</v>
      </c>
      <c r="L29" s="17" t="n">
        <v>0</v>
      </c>
      <c r="M29" s="23" t="n">
        <v>0</v>
      </c>
      <c r="N29" s="92" t="inlineStr">
        <is>
          <t>❌ N/A</t>
        </is>
      </c>
      <c r="O29" s="92" t="inlineStr">
        <is>
          <t>❌ N/A</t>
        </is>
      </c>
      <c r="P29" s="92" t="inlineStr">
        <is>
          <t>❌ Missing Data</t>
        </is>
      </c>
      <c r="Q29" s="93" t="inlineStr">
        <is>
          <t>MISSING</t>
        </is>
      </c>
    </row>
  </sheetData>
  <autoFilter ref="A4:Q29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31" t="inlineStr">
        <is>
          <t>✦  MULTI ASSET ALLOCATION  ✦</t>
        </is>
      </c>
    </row>
    <row r="2" ht="16" customHeight="1">
      <c r="A2" s="2">
        <f>"Dual Engine: 55% Momentum + 45% Quality | ✅ Full: "&amp;COUNTIF(Q5:Q36,"FULL")&amp;" | ⚠️ Momentum: "&amp;COUNTIF(Q5:Q36,"MOMENTUM_ONLY")&amp;" | ❌ Missing: "&amp;COUNTIF(Q5:Q36,"MISSING")&amp;" | Total: "&amp;COUNTA(B5:B36)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6" t="n">
        <v>1</v>
      </c>
      <c r="B5" s="67" t="inlineStr">
        <is>
          <t>Nippon India Multi Asset Allocation Fund - Regular Plan - Growth Option</t>
        </is>
      </c>
      <c r="C5" s="67" t="inlineStr">
        <is>
          <t>Nippon India Mutual Fund</t>
        </is>
      </c>
      <c r="D5" s="67" t="inlineStr">
        <is>
          <t>Multi Asset Allocation</t>
        </is>
      </c>
      <c r="E5" s="68" t="n">
        <v>3.11</v>
      </c>
      <c r="F5" s="68" t="n">
        <v>4.03</v>
      </c>
      <c r="G5" s="68" t="n">
        <v>2.85</v>
      </c>
      <c r="H5" s="68" t="n">
        <v>17.08</v>
      </c>
      <c r="I5" s="68" t="n">
        <v>13.27400407860577</v>
      </c>
      <c r="J5" s="68" t="n">
        <v>69.63</v>
      </c>
      <c r="K5" s="16" t="n">
        <v>87.5</v>
      </c>
      <c r="L5" s="29" t="n">
        <v>75</v>
      </c>
      <c r="M5" s="30" t="n">
        <v>81.90000000000001</v>
      </c>
      <c r="N5" s="19" t="inlineStr">
        <is>
          <t>⭐ Strong</t>
        </is>
      </c>
      <c r="O5" s="19" t="inlineStr">
        <is>
          <t>⭐ Strong</t>
        </is>
      </c>
      <c r="P5" s="19" t="inlineStr">
        <is>
          <t>⭐ Strong Buy</t>
        </is>
      </c>
      <c r="Q5" s="69" t="inlineStr">
        <is>
          <t>FULL</t>
        </is>
      </c>
    </row>
    <row r="6" ht="16" customHeight="1">
      <c r="A6" s="70" t="n">
        <v>2</v>
      </c>
      <c r="B6" s="71" t="inlineStr">
        <is>
          <t>quant Multi Asset Allocation Fund-GROWTH OPTION - Regular Plan</t>
        </is>
      </c>
      <c r="C6" s="71" t="inlineStr">
        <is>
          <t>quant Mutual Fund</t>
        </is>
      </c>
      <c r="D6" s="71" t="inlineStr">
        <is>
          <t>Multi Asset Allocation</t>
        </is>
      </c>
      <c r="E6" s="97" t="n">
        <v>-0.87</v>
      </c>
      <c r="F6" s="72" t="n">
        <v>2.25</v>
      </c>
      <c r="G6" s="72" t="n">
        <v>3.36</v>
      </c>
      <c r="H6" s="72" t="n">
        <v>19.45</v>
      </c>
      <c r="I6" s="72" t="n">
        <v>13.03539268742335</v>
      </c>
      <c r="J6" s="72" t="n">
        <v>80.47</v>
      </c>
      <c r="K6" s="84" t="n">
        <v>58.3</v>
      </c>
      <c r="L6" s="29" t="n">
        <v>85</v>
      </c>
      <c r="M6" s="18" t="n">
        <v>70.3</v>
      </c>
      <c r="N6" s="73" t="inlineStr">
        <is>
          <t>➡️ Neutral</t>
        </is>
      </c>
      <c r="O6" s="73" t="inlineStr">
        <is>
          <t>⭐ Strong</t>
        </is>
      </c>
      <c r="P6" s="73" t="inlineStr">
        <is>
          <t>🏛️ Quality Hold</t>
        </is>
      </c>
      <c r="Q6" s="69" t="inlineStr">
        <is>
          <t>FULL</t>
        </is>
      </c>
    </row>
    <row r="7" ht="16" customHeight="1">
      <c r="A7" s="74" t="n">
        <v>3</v>
      </c>
      <c r="B7" s="75" t="inlineStr">
        <is>
          <t>WhiteOak Capital Multi Asset Allocation Fund Regular Plan Growth</t>
        </is>
      </c>
      <c r="C7" s="75" t="inlineStr">
        <is>
          <t>WhiteOak Capital Mutual Fund</t>
        </is>
      </c>
      <c r="D7" s="75" t="inlineStr">
        <is>
          <t>Multi Asset Allocation</t>
        </is>
      </c>
      <c r="E7" s="76" t="n">
        <v>2.22</v>
      </c>
      <c r="F7" s="76" t="n">
        <v>4.23</v>
      </c>
      <c r="G7" s="76" t="n">
        <v>4.26</v>
      </c>
      <c r="H7" s="76" t="n">
        <v>13.93</v>
      </c>
      <c r="I7" s="76" t="n">
        <v>14.32847414358331</v>
      </c>
      <c r="J7" s="76" t="n">
        <v>57.4</v>
      </c>
      <c r="K7" s="16" t="n">
        <v>82.09999999999999</v>
      </c>
      <c r="L7" s="98" t="n">
        <v>52.5</v>
      </c>
      <c r="M7" s="18" t="n">
        <v>68.8</v>
      </c>
      <c r="N7" s="24" t="inlineStr">
        <is>
          <t>⭐ Strong</t>
        </is>
      </c>
      <c r="O7" s="24" t="inlineStr">
        <is>
          <t>➡️ Average</t>
        </is>
      </c>
      <c r="P7" s="24" t="inlineStr">
        <is>
          <t>📈 Momentum Play</t>
        </is>
      </c>
      <c r="Q7" s="69" t="inlineStr">
        <is>
          <t>FULL</t>
        </is>
      </c>
    </row>
    <row r="8" ht="16" customHeight="1">
      <c r="A8" s="77" t="n">
        <v>4</v>
      </c>
      <c r="B8" s="78" t="inlineStr">
        <is>
          <t>Aditya Birla Sun Life Multi Asset Allocation Fund-Regular Growth</t>
        </is>
      </c>
      <c r="C8" s="78" t="inlineStr">
        <is>
          <t>Aditya Birla Sun Life Mutual Fund</t>
        </is>
      </c>
      <c r="D8" s="78" t="inlineStr">
        <is>
          <t>Multi Asset Allocation</t>
        </is>
      </c>
      <c r="E8" s="79" t="n">
        <v>1.87</v>
      </c>
      <c r="F8" s="79" t="n">
        <v>3.99</v>
      </c>
      <c r="G8" s="79" t="n">
        <v>1.99</v>
      </c>
      <c r="H8" s="79" t="n">
        <v>16.63</v>
      </c>
      <c r="I8" s="79" t="n">
        <v>12.15168300119263</v>
      </c>
      <c r="J8" s="79" t="n">
        <v>56.54</v>
      </c>
      <c r="K8" s="84" t="n">
        <v>69.7</v>
      </c>
      <c r="L8" s="17" t="n">
        <v>31.2</v>
      </c>
      <c r="M8" s="18" t="n">
        <v>52.4</v>
      </c>
      <c r="N8" s="80" t="inlineStr">
        <is>
          <t>📈 Good</t>
        </is>
      </c>
      <c r="O8" s="80" t="inlineStr">
        <is>
          <t>⚠️ Below Avg</t>
        </is>
      </c>
      <c r="P8" s="80" t="inlineStr">
        <is>
          <t>⚠️ Watch</t>
        </is>
      </c>
      <c r="Q8" s="69" t="inlineStr">
        <is>
          <t>FULL</t>
        </is>
      </c>
    </row>
    <row r="9" ht="16" customHeight="1">
      <c r="A9" s="25" t="n">
        <v>5</v>
      </c>
      <c r="B9" s="26" t="inlineStr">
        <is>
          <t>Bandhan Multi Asset Allocation Fund - Regular Plan - Growth</t>
        </is>
      </c>
      <c r="C9" s="26" t="inlineStr">
        <is>
          <t>Bandhan Mutual Fund</t>
        </is>
      </c>
      <c r="D9" s="26" t="inlineStr">
        <is>
          <t>Multi Asset Allocation</t>
        </is>
      </c>
      <c r="E9" s="27" t="n">
        <v>2.33</v>
      </c>
      <c r="F9" s="27" t="n">
        <v>3.03</v>
      </c>
      <c r="G9" s="27" t="n">
        <v>3.57</v>
      </c>
      <c r="H9" s="27" t="n">
        <v>16.86</v>
      </c>
      <c r="I9" s="27" t="n">
        <v>12.38772174930856</v>
      </c>
      <c r="J9" s="27" t="n">
        <v>0</v>
      </c>
      <c r="K9" s="16" t="n">
        <v>80.5</v>
      </c>
      <c r="L9" s="17" t="n">
        <v>0</v>
      </c>
      <c r="M9" s="23" t="n">
        <v>44.3</v>
      </c>
      <c r="N9" s="94" t="inlineStr">
        <is>
          <t>⭐ Strong</t>
        </is>
      </c>
      <c r="O9" s="94" t="inlineStr">
        <is>
          <t>⏳ New Fund</t>
        </is>
      </c>
      <c r="P9" s="94" t="inlineStr">
        <is>
          <t>🔥 Hot Momentum</t>
        </is>
      </c>
      <c r="Q9" s="95" t="inlineStr">
        <is>
          <t>MOMENTUM_ONLY</t>
        </is>
      </c>
    </row>
    <row r="10" ht="16" customHeight="1">
      <c r="A10" s="25" t="n">
        <v>6</v>
      </c>
      <c r="B10" s="26" t="inlineStr">
        <is>
          <t>Bank of India Multi Asset Allocation Fund-Regular Plan-Growth</t>
        </is>
      </c>
      <c r="C10" s="26" t="inlineStr">
        <is>
          <t>Bank of India Mutual Fund</t>
        </is>
      </c>
      <c r="D10" s="26" t="inlineStr">
        <is>
          <t>Multi Asset Allocation</t>
        </is>
      </c>
      <c r="E10" s="27" t="n">
        <v>2.27</v>
      </c>
      <c r="F10" s="27" t="n">
        <v>3.85</v>
      </c>
      <c r="G10" s="27" t="n">
        <v>3.74</v>
      </c>
      <c r="H10" s="27" t="n">
        <v>14.18</v>
      </c>
      <c r="I10" s="27" t="n">
        <v>8.733619455989782</v>
      </c>
      <c r="J10" s="27" t="n">
        <v>0</v>
      </c>
      <c r="K10" s="16" t="n">
        <v>76.5</v>
      </c>
      <c r="L10" s="17" t="n">
        <v>0</v>
      </c>
      <c r="M10" s="23" t="n">
        <v>42.1</v>
      </c>
      <c r="N10" s="94" t="inlineStr">
        <is>
          <t>⭐ Strong</t>
        </is>
      </c>
      <c r="O10" s="94" t="inlineStr">
        <is>
          <t>⏳ New Fund</t>
        </is>
      </c>
      <c r="P10" s="94" t="inlineStr">
        <is>
          <t>📈 Momentum Only</t>
        </is>
      </c>
      <c r="Q10" s="95" t="inlineStr">
        <is>
          <t>MOMENTUM_ONLY</t>
        </is>
      </c>
    </row>
    <row r="11" ht="16" customHeight="1">
      <c r="A11" s="25" t="n">
        <v>7</v>
      </c>
      <c r="B11" s="26" t="inlineStr">
        <is>
          <t>Canara Robeco Multi Asset Allocation Fund - Regular Plan - Growth</t>
        </is>
      </c>
      <c r="C11" s="26" t="inlineStr">
        <is>
          <t>Canara Robeco Mutual Fund</t>
        </is>
      </c>
      <c r="D11" s="26" t="inlineStr">
        <is>
          <t>Multi Asset Allocation</t>
        </is>
      </c>
      <c r="E11" s="27" t="n">
        <v>3.08</v>
      </c>
      <c r="F11" s="27" t="n">
        <v>4.7</v>
      </c>
      <c r="G11" s="27" t="n">
        <v>1.88</v>
      </c>
      <c r="H11" s="27" t="n">
        <v>12.35</v>
      </c>
      <c r="I11" s="27" t="n">
        <v>0</v>
      </c>
      <c r="J11" s="27" t="n">
        <v>0</v>
      </c>
      <c r="K11" s="16" t="n">
        <v>75.59999999999999</v>
      </c>
      <c r="L11" s="17" t="n">
        <v>0</v>
      </c>
      <c r="M11" s="23" t="n">
        <v>41.6</v>
      </c>
      <c r="N11" s="94" t="inlineStr">
        <is>
          <t>⭐ Strong</t>
        </is>
      </c>
      <c r="O11" s="94" t="inlineStr">
        <is>
          <t>⏳ New Fund</t>
        </is>
      </c>
      <c r="P11" s="94" t="inlineStr">
        <is>
          <t>📈 Momentum Only</t>
        </is>
      </c>
      <c r="Q11" s="95" t="inlineStr">
        <is>
          <t>MOMENTUM_ONLY</t>
        </is>
      </c>
    </row>
    <row r="12" ht="16" customHeight="1">
      <c r="A12" s="25" t="n">
        <v>8</v>
      </c>
      <c r="B12" s="26" t="inlineStr">
        <is>
          <t>Mahindra Manulife Multi Asset Allocation Fund- Regular Plan - Growth</t>
        </is>
      </c>
      <c r="C12" s="26" t="inlineStr">
        <is>
          <t>Mahindra Manulife Mutual Fund</t>
        </is>
      </c>
      <c r="D12" s="26" t="inlineStr">
        <is>
          <t>Multi Asset Allocation</t>
        </is>
      </c>
      <c r="E12" s="27" t="n">
        <v>1.85</v>
      </c>
      <c r="F12" s="27" t="n">
        <v>4.22</v>
      </c>
      <c r="G12" s="27" t="n">
        <v>2.49</v>
      </c>
      <c r="H12" s="27" t="n">
        <v>17.17</v>
      </c>
      <c r="I12" s="27" t="n">
        <v>12.48110952511092</v>
      </c>
      <c r="J12" s="27" t="n">
        <v>0</v>
      </c>
      <c r="K12" s="16" t="n">
        <v>75.09999999999999</v>
      </c>
      <c r="L12" s="17" t="n">
        <v>0</v>
      </c>
      <c r="M12" s="23" t="n">
        <v>41.3</v>
      </c>
      <c r="N12" s="94" t="inlineStr">
        <is>
          <t>⭐ Strong</t>
        </is>
      </c>
      <c r="O12" s="94" t="inlineStr">
        <is>
          <t>⏳ New Fund</t>
        </is>
      </c>
      <c r="P12" s="94" t="inlineStr">
        <is>
          <t>📈 Momentum Only</t>
        </is>
      </c>
      <c r="Q12" s="95" t="inlineStr">
        <is>
          <t>MOMENTUM_ONLY</t>
        </is>
      </c>
    </row>
    <row r="13" ht="16" customHeight="1">
      <c r="A13" s="81" t="n">
        <v>9</v>
      </c>
      <c r="B13" s="82" t="inlineStr">
        <is>
          <t>Axis Multi Asset Allocation Fund - Regular Plan - Growth Option</t>
        </is>
      </c>
      <c r="C13" s="82" t="inlineStr">
        <is>
          <t>Axis Mutual Fund</t>
        </is>
      </c>
      <c r="D13" s="82" t="inlineStr">
        <is>
          <t>Multi Asset Allocation</t>
        </is>
      </c>
      <c r="E13" s="83" t="n">
        <v>2.64</v>
      </c>
      <c r="F13" s="83" t="n">
        <v>4.24</v>
      </c>
      <c r="G13" s="83" t="n">
        <v>0.41</v>
      </c>
      <c r="H13" s="83" t="n">
        <v>14.64</v>
      </c>
      <c r="I13" s="83" t="n">
        <v>9.252002269981308</v>
      </c>
      <c r="J13" s="83" t="n">
        <v>49.62</v>
      </c>
      <c r="K13" s="84" t="n">
        <v>70.90000000000001</v>
      </c>
      <c r="L13" s="17" t="n">
        <v>0</v>
      </c>
      <c r="M13" s="23" t="n">
        <v>39</v>
      </c>
      <c r="N13" s="85" t="inlineStr">
        <is>
          <t>📈 Good</t>
        </is>
      </c>
      <c r="O13" s="85" t="inlineStr">
        <is>
          <t>🔴 Not Qualified</t>
        </is>
      </c>
      <c r="P13" s="85" t="inlineStr">
        <is>
          <t>🔴 Avoid</t>
        </is>
      </c>
      <c r="Q13" s="69" t="inlineStr">
        <is>
          <t>FULL</t>
        </is>
      </c>
    </row>
    <row r="14" ht="16" customHeight="1">
      <c r="A14" s="25" t="n">
        <v>10</v>
      </c>
      <c r="B14" s="26" t="inlineStr">
        <is>
          <t>Kotak Multi Asset Allocation Fund - Regular Plan - Growth Option</t>
        </is>
      </c>
      <c r="C14" s="26" t="inlineStr">
        <is>
          <t>Kotak Mahindra Mutual Fund</t>
        </is>
      </c>
      <c r="D14" s="26" t="inlineStr">
        <is>
          <t>Multi Asset Allocation</t>
        </is>
      </c>
      <c r="E14" s="27" t="n">
        <v>2.56</v>
      </c>
      <c r="F14" s="27" t="n">
        <v>2.32</v>
      </c>
      <c r="G14" s="27" t="n">
        <v>1.44</v>
      </c>
      <c r="H14" s="27" t="n">
        <v>22.27</v>
      </c>
      <c r="I14" s="27" t="n">
        <v>12.44554237496478</v>
      </c>
      <c r="J14" s="27" t="n">
        <v>0</v>
      </c>
      <c r="K14" s="84" t="n">
        <v>64.40000000000001</v>
      </c>
      <c r="L14" s="17" t="n">
        <v>0</v>
      </c>
      <c r="M14" s="23" t="n">
        <v>35.4</v>
      </c>
      <c r="N14" s="94" t="inlineStr">
        <is>
          <t>📈 Good</t>
        </is>
      </c>
      <c r="O14" s="94" t="inlineStr">
        <is>
          <t>⏳ New Fund</t>
        </is>
      </c>
      <c r="P14" s="94" t="inlineStr">
        <is>
          <t>📈 Momentum Only</t>
        </is>
      </c>
      <c r="Q14" s="95" t="inlineStr">
        <is>
          <t>MOMENTUM_ONLY</t>
        </is>
      </c>
    </row>
    <row r="15" ht="16" customHeight="1">
      <c r="A15" s="25" t="n">
        <v>11</v>
      </c>
      <c r="B15" s="26" t="inlineStr">
        <is>
          <t>DSP Multi Asset Allocation Fund - Regular - Growth</t>
        </is>
      </c>
      <c r="C15" s="26" t="inlineStr">
        <is>
          <t>DSP Mutual Fund</t>
        </is>
      </c>
      <c r="D15" s="26" t="inlineStr">
        <is>
          <t>Multi Asset Allocation</t>
        </is>
      </c>
      <c r="E15" s="27" t="n">
        <v>1.65</v>
      </c>
      <c r="F15" s="27" t="n">
        <v>2.16</v>
      </c>
      <c r="G15" s="27" t="n">
        <v>2.17</v>
      </c>
      <c r="H15" s="27" t="n">
        <v>19.64</v>
      </c>
      <c r="I15" s="27" t="n">
        <v>15.36030513135791</v>
      </c>
      <c r="J15" s="27" t="n">
        <v>0</v>
      </c>
      <c r="K15" s="84" t="n">
        <v>58.8</v>
      </c>
      <c r="L15" s="17" t="n">
        <v>0</v>
      </c>
      <c r="M15" s="23" t="n">
        <v>32.3</v>
      </c>
      <c r="N15" s="94" t="inlineStr">
        <is>
          <t>➡️ Neutral</t>
        </is>
      </c>
      <c r="O15" s="94" t="inlineStr">
        <is>
          <t>⏳ New Fund</t>
        </is>
      </c>
      <c r="P15" s="94" t="inlineStr">
        <is>
          <t>⏳ New Fund</t>
        </is>
      </c>
      <c r="Q15" s="95" t="inlineStr">
        <is>
          <t>MOMENTUM_ONLY</t>
        </is>
      </c>
    </row>
    <row r="16" ht="16" customHeight="1">
      <c r="A16" s="25" t="n">
        <v>12</v>
      </c>
      <c r="B16" s="26" t="inlineStr">
        <is>
          <t>Franklin India Multi Asset Allocation Fund- Growth</t>
        </is>
      </c>
      <c r="C16" s="26" t="inlineStr">
        <is>
          <t>Franklin Templeton Mutual Fund</t>
        </is>
      </c>
      <c r="D16" s="26" t="inlineStr">
        <is>
          <t>Multi Asset Allocation</t>
        </is>
      </c>
      <c r="E16" s="27" t="n">
        <v>2.55</v>
      </c>
      <c r="F16" s="27" t="n">
        <v>3.68</v>
      </c>
      <c r="G16" s="96" t="n">
        <v>-0.19</v>
      </c>
      <c r="H16" s="27" t="n">
        <v>11.88</v>
      </c>
      <c r="I16" s="27" t="n">
        <v>0</v>
      </c>
      <c r="J16" s="27" t="n">
        <v>0</v>
      </c>
      <c r="K16" s="84" t="n">
        <v>55.6</v>
      </c>
      <c r="L16" s="17" t="n">
        <v>0</v>
      </c>
      <c r="M16" s="23" t="n">
        <v>30.6</v>
      </c>
      <c r="N16" s="94" t="inlineStr">
        <is>
          <t>➡️ Neutral</t>
        </is>
      </c>
      <c r="O16" s="94" t="inlineStr">
        <is>
          <t>⏳ New Fund</t>
        </is>
      </c>
      <c r="P16" s="94" t="inlineStr">
        <is>
          <t>⏳ New Fund</t>
        </is>
      </c>
      <c r="Q16" s="95" t="inlineStr">
        <is>
          <t>MOMENTUM_ONLY</t>
        </is>
      </c>
    </row>
    <row r="17" ht="16" customHeight="1">
      <c r="A17" s="25" t="n">
        <v>13</v>
      </c>
      <c r="B17" s="26" t="inlineStr">
        <is>
          <t>360 ONE Multi Asset Allocation Fund - Regular Plan - Growth</t>
        </is>
      </c>
      <c r="C17" s="26" t="inlineStr">
        <is>
          <t>360 ONE Mutual Fund</t>
        </is>
      </c>
      <c r="D17" s="26" t="inlineStr">
        <is>
          <t>Multi Asset Allocation</t>
        </is>
      </c>
      <c r="E17" s="27" t="n">
        <v>3.12</v>
      </c>
      <c r="F17" s="27" t="n">
        <v>2.73</v>
      </c>
      <c r="G17" s="27" t="n">
        <v>2.47</v>
      </c>
      <c r="H17" s="27" t="n">
        <v>0</v>
      </c>
      <c r="I17" s="27" t="n">
        <v>0</v>
      </c>
      <c r="J17" s="27" t="n">
        <v>0</v>
      </c>
      <c r="K17" s="84" t="n">
        <v>52.8</v>
      </c>
      <c r="L17" s="17" t="n">
        <v>0</v>
      </c>
      <c r="M17" s="23" t="n">
        <v>29.1</v>
      </c>
      <c r="N17" s="94" t="inlineStr">
        <is>
          <t>➡️ Neutral</t>
        </is>
      </c>
      <c r="O17" s="94" t="inlineStr">
        <is>
          <t>⏳ New Fund</t>
        </is>
      </c>
      <c r="P17" s="94" t="inlineStr">
        <is>
          <t>⏳ New Fund</t>
        </is>
      </c>
      <c r="Q17" s="95" t="inlineStr">
        <is>
          <t>MOMENTUM_ONLY</t>
        </is>
      </c>
    </row>
    <row r="18" ht="16" customHeight="1">
      <c r="A18" s="25" t="n">
        <v>14</v>
      </c>
      <c r="B18" s="26" t="inlineStr">
        <is>
          <t>The Wealth Company Multi Asset Allocation Fund - Regular Growth</t>
        </is>
      </c>
      <c r="C18" s="26" t="inlineStr">
        <is>
          <t>The Wealth Company Mutual Fund</t>
        </is>
      </c>
      <c r="D18" s="26" t="inlineStr">
        <is>
          <t>Multi Asset Allocation</t>
        </is>
      </c>
      <c r="E18" s="27" t="n">
        <v>2.52</v>
      </c>
      <c r="F18" s="27" t="n">
        <v>2.26</v>
      </c>
      <c r="G18" s="27" t="n">
        <v>4.24</v>
      </c>
      <c r="H18" s="27" t="n">
        <v>0</v>
      </c>
      <c r="I18" s="27" t="n">
        <v>0</v>
      </c>
      <c r="J18" s="27" t="n">
        <v>0</v>
      </c>
      <c r="K18" s="84" t="n">
        <v>52.7</v>
      </c>
      <c r="L18" s="17" t="n">
        <v>0</v>
      </c>
      <c r="M18" s="23" t="n">
        <v>29</v>
      </c>
      <c r="N18" s="94" t="inlineStr">
        <is>
          <t>➡️ Neutral</t>
        </is>
      </c>
      <c r="O18" s="94" t="inlineStr">
        <is>
          <t>⏳ New Fund</t>
        </is>
      </c>
      <c r="P18" s="94" t="inlineStr">
        <is>
          <t>⏳ New Fund</t>
        </is>
      </c>
      <c r="Q18" s="95" t="inlineStr">
        <is>
          <t>MOMENTUM_ONLY</t>
        </is>
      </c>
    </row>
    <row r="19" ht="16" customHeight="1">
      <c r="A19" s="25" t="n">
        <v>15</v>
      </c>
      <c r="B19" s="26" t="inlineStr">
        <is>
          <t>LIC MF Multi Asset Allocation Fund-Regular Plan-Growth</t>
        </is>
      </c>
      <c r="C19" s="26" t="inlineStr">
        <is>
          <t>LIC Mutual Fund</t>
        </is>
      </c>
      <c r="D19" s="26" t="inlineStr">
        <is>
          <t>Multi Asset Allocation</t>
        </is>
      </c>
      <c r="E19" s="27" t="n">
        <v>3.62</v>
      </c>
      <c r="F19" s="27" t="n">
        <v>2.59</v>
      </c>
      <c r="G19" s="27" t="n">
        <v>0.5</v>
      </c>
      <c r="H19" s="27" t="n">
        <v>11.23</v>
      </c>
      <c r="I19" s="27" t="n">
        <v>0</v>
      </c>
      <c r="J19" s="27" t="n">
        <v>0</v>
      </c>
      <c r="K19" s="84" t="n">
        <v>51.6</v>
      </c>
      <c r="L19" s="17" t="n">
        <v>0</v>
      </c>
      <c r="M19" s="23" t="n">
        <v>28.4</v>
      </c>
      <c r="N19" s="94" t="inlineStr">
        <is>
          <t>➡️ Neutral</t>
        </is>
      </c>
      <c r="O19" s="94" t="inlineStr">
        <is>
          <t>⏳ New Fund</t>
        </is>
      </c>
      <c r="P19" s="94" t="inlineStr">
        <is>
          <t>⏳ New Fund</t>
        </is>
      </c>
      <c r="Q19" s="95" t="inlineStr">
        <is>
          <t>MOMENTUM_ONLY</t>
        </is>
      </c>
    </row>
    <row r="20" ht="16" customHeight="1">
      <c r="A20" s="77" t="n">
        <v>16</v>
      </c>
      <c r="B20" s="78" t="inlineStr">
        <is>
          <t>Baroda BNP Paribas Multi Asset Fund - Regular Plan - Growth Option</t>
        </is>
      </c>
      <c r="C20" s="78" t="inlineStr">
        <is>
          <t>Baroda BNP Paribas Mutual Fund</t>
        </is>
      </c>
      <c r="D20" s="78" t="inlineStr">
        <is>
          <t>Multi Asset Allocation</t>
        </is>
      </c>
      <c r="E20" s="79" t="n">
        <v>2.62</v>
      </c>
      <c r="F20" s="79" t="n">
        <v>2.46</v>
      </c>
      <c r="G20" s="79" t="n">
        <v>1.21</v>
      </c>
      <c r="H20" s="79" t="n">
        <v>11.61</v>
      </c>
      <c r="I20" s="79" t="n">
        <v>8.180404879996651</v>
      </c>
      <c r="J20" s="79" t="n">
        <v>52.62</v>
      </c>
      <c r="K20" s="84" t="n">
        <v>50.9</v>
      </c>
      <c r="L20" s="17" t="n">
        <v>0</v>
      </c>
      <c r="M20" s="23" t="n">
        <v>28</v>
      </c>
      <c r="N20" s="80" t="inlineStr">
        <is>
          <t>➡️ Neutral</t>
        </is>
      </c>
      <c r="O20" s="80" t="inlineStr">
        <is>
          <t>🔴 Not Qualified</t>
        </is>
      </c>
      <c r="P20" s="80" t="inlineStr">
        <is>
          <t>🔴 Avoid</t>
        </is>
      </c>
      <c r="Q20" s="69" t="inlineStr">
        <is>
          <t>FULL</t>
        </is>
      </c>
    </row>
    <row r="21" ht="16" customHeight="1">
      <c r="A21" s="25" t="n">
        <v>17</v>
      </c>
      <c r="B21" s="26" t="inlineStr">
        <is>
          <t>Union Multi Asset Allocation Fund- Regular Plan - Growth Option</t>
        </is>
      </c>
      <c r="C21" s="26" t="inlineStr">
        <is>
          <t>Union Mutual Fund</t>
        </is>
      </c>
      <c r="D21" s="26" t="inlineStr">
        <is>
          <t>Multi Asset Allocation</t>
        </is>
      </c>
      <c r="E21" s="27" t="n">
        <v>1.65</v>
      </c>
      <c r="F21" s="27" t="n">
        <v>3.79</v>
      </c>
      <c r="G21" s="96" t="n">
        <v>-0.4</v>
      </c>
      <c r="H21" s="27" t="n">
        <v>16.12</v>
      </c>
      <c r="I21" s="27" t="n">
        <v>0</v>
      </c>
      <c r="J21" s="27" t="n">
        <v>0</v>
      </c>
      <c r="K21" s="87" t="n">
        <v>49.7</v>
      </c>
      <c r="L21" s="17" t="n">
        <v>0</v>
      </c>
      <c r="M21" s="23" t="n">
        <v>27.4</v>
      </c>
      <c r="N21" s="94" t="inlineStr">
        <is>
          <t>➡️ Neutral</t>
        </is>
      </c>
      <c r="O21" s="94" t="inlineStr">
        <is>
          <t>⏳ New Fund</t>
        </is>
      </c>
      <c r="P21" s="94" t="inlineStr">
        <is>
          <t>⏳ New Fund</t>
        </is>
      </c>
      <c r="Q21" s="95" t="inlineStr">
        <is>
          <t>MOMENTUM_ONLY</t>
        </is>
      </c>
    </row>
    <row r="22" ht="16" customHeight="1">
      <c r="A22" s="25" t="n">
        <v>18</v>
      </c>
      <c r="B22" s="26" t="inlineStr">
        <is>
          <t>Mirae Asset Multi Asset Allocation Fund - Regular Plan - Growth</t>
        </is>
      </c>
      <c r="C22" s="26" t="inlineStr">
        <is>
          <t>Mirae Asset Mutual Fund</t>
        </is>
      </c>
      <c r="D22" s="26" t="inlineStr">
        <is>
          <t>Multi Asset Allocation</t>
        </is>
      </c>
      <c r="E22" s="27" t="n">
        <v>1.86</v>
      </c>
      <c r="F22" s="27" t="n">
        <v>2.64</v>
      </c>
      <c r="G22" s="27" t="n">
        <v>0.86</v>
      </c>
      <c r="H22" s="27" t="n">
        <v>13.18</v>
      </c>
      <c r="I22" s="27" t="n">
        <v>11.04503590885997</v>
      </c>
      <c r="J22" s="27" t="n">
        <v>0</v>
      </c>
      <c r="K22" s="87" t="n">
        <v>48</v>
      </c>
      <c r="L22" s="17" t="n">
        <v>0</v>
      </c>
      <c r="M22" s="23" t="n">
        <v>26.4</v>
      </c>
      <c r="N22" s="94" t="inlineStr">
        <is>
          <t>➡️ Neutral</t>
        </is>
      </c>
      <c r="O22" s="94" t="inlineStr">
        <is>
          <t>⏳ New Fund</t>
        </is>
      </c>
      <c r="P22" s="94" t="inlineStr">
        <is>
          <t>⏳ New Fund</t>
        </is>
      </c>
      <c r="Q22" s="95" t="inlineStr">
        <is>
          <t>MOMENTUM_ONLY</t>
        </is>
      </c>
    </row>
    <row r="23" ht="16" customHeight="1">
      <c r="A23" s="25" t="n">
        <v>19</v>
      </c>
      <c r="B23" s="26" t="inlineStr">
        <is>
          <t>PGIM India Multi Asset Allocation Fund - Regular Plan - Growth Option</t>
        </is>
      </c>
      <c r="C23" s="26" t="inlineStr">
        <is>
          <t>PGIM India Mutual Fund</t>
        </is>
      </c>
      <c r="D23" s="26" t="inlineStr">
        <is>
          <t>Multi Asset Allocation</t>
        </is>
      </c>
      <c r="E23" s="27" t="n">
        <v>2.6</v>
      </c>
      <c r="F23" s="27" t="n">
        <v>2.7</v>
      </c>
      <c r="G23" s="27" t="n">
        <v>1.23</v>
      </c>
      <c r="H23" s="27" t="n">
        <v>0</v>
      </c>
      <c r="I23" s="27" t="n">
        <v>0</v>
      </c>
      <c r="J23" s="27" t="n">
        <v>0</v>
      </c>
      <c r="K23" s="87" t="n">
        <v>47.7</v>
      </c>
      <c r="L23" s="17" t="n">
        <v>0</v>
      </c>
      <c r="M23" s="23" t="n">
        <v>26.2</v>
      </c>
      <c r="N23" s="94" t="inlineStr">
        <is>
          <t>➡️ Neutral</t>
        </is>
      </c>
      <c r="O23" s="94" t="inlineStr">
        <is>
          <t>⏳ New Fund</t>
        </is>
      </c>
      <c r="P23" s="94" t="inlineStr">
        <is>
          <t>⏳ New Fund</t>
        </is>
      </c>
      <c r="Q23" s="95" t="inlineStr">
        <is>
          <t>MOMENTUM_ONLY</t>
        </is>
      </c>
    </row>
    <row r="24" ht="16" customHeight="1">
      <c r="A24" s="25" t="n">
        <v>20</v>
      </c>
      <c r="B24" s="26" t="inlineStr">
        <is>
          <t>Bajaj Finserv Multi Asset Allocation Fund - Regular Growth</t>
        </is>
      </c>
      <c r="C24" s="26" t="inlineStr">
        <is>
          <t>Bajaj Finserv Mutual Fund</t>
        </is>
      </c>
      <c r="D24" s="26" t="inlineStr">
        <is>
          <t>Multi Asset Allocation</t>
        </is>
      </c>
      <c r="E24" s="27" t="n">
        <v>1.94</v>
      </c>
      <c r="F24" s="27" t="n">
        <v>2.87</v>
      </c>
      <c r="G24" s="96" t="n">
        <v>-1.25</v>
      </c>
      <c r="H24" s="27" t="n">
        <v>14.23</v>
      </c>
      <c r="I24" s="27" t="n">
        <v>7.810018087374426</v>
      </c>
      <c r="J24" s="27" t="n">
        <v>0</v>
      </c>
      <c r="K24" s="87" t="n">
        <v>46.6</v>
      </c>
      <c r="L24" s="17" t="n">
        <v>0</v>
      </c>
      <c r="M24" s="23" t="n">
        <v>25.7</v>
      </c>
      <c r="N24" s="94" t="inlineStr">
        <is>
          <t>➡️ Neutral</t>
        </is>
      </c>
      <c r="O24" s="94" t="inlineStr">
        <is>
          <t>⏳ New Fund</t>
        </is>
      </c>
      <c r="P24" s="94" t="inlineStr">
        <is>
          <t>⏳ New Fund</t>
        </is>
      </c>
      <c r="Q24" s="95" t="inlineStr">
        <is>
          <t>MOMENTUM_ONLY</t>
        </is>
      </c>
    </row>
    <row r="25" ht="16" customHeight="1">
      <c r="A25" s="25" t="n">
        <v>21</v>
      </c>
      <c r="B25" s="26" t="inlineStr">
        <is>
          <t>Sundaram Multi Asset Allocation Fund Regular Plan Growth</t>
        </is>
      </c>
      <c r="C25" s="26" t="inlineStr">
        <is>
          <t>Sundaram Mutual Fund</t>
        </is>
      </c>
      <c r="D25" s="26" t="inlineStr">
        <is>
          <t>Multi Asset Allocation</t>
        </is>
      </c>
      <c r="E25" s="27" t="n">
        <v>3.46</v>
      </c>
      <c r="F25" s="27" t="n">
        <v>3.13</v>
      </c>
      <c r="G25" s="96" t="n">
        <v>-1.42</v>
      </c>
      <c r="H25" s="27" t="n">
        <v>10.88</v>
      </c>
      <c r="I25" s="27" t="n">
        <v>9.631199938703583</v>
      </c>
      <c r="J25" s="27" t="n">
        <v>0</v>
      </c>
      <c r="K25" s="87" t="n">
        <v>46.1</v>
      </c>
      <c r="L25" s="17" t="n">
        <v>0</v>
      </c>
      <c r="M25" s="23" t="n">
        <v>25.4</v>
      </c>
      <c r="N25" s="94" t="inlineStr">
        <is>
          <t>➡️ Neutral</t>
        </is>
      </c>
      <c r="O25" s="94" t="inlineStr">
        <is>
          <t>⏳ New Fund</t>
        </is>
      </c>
      <c r="P25" s="94" t="inlineStr">
        <is>
          <t>⏳ New Fund</t>
        </is>
      </c>
      <c r="Q25" s="95" t="inlineStr">
        <is>
          <t>MOMENTUM_ONLY</t>
        </is>
      </c>
    </row>
    <row r="26" ht="16" customHeight="1">
      <c r="A26" s="77" t="n">
        <v>22</v>
      </c>
      <c r="B26" s="78" t="inlineStr">
        <is>
          <t>SBI MULTI ASSET ALLOCATION FUND - REGULAR PLAN - GROWTH</t>
        </is>
      </c>
      <c r="C26" s="78" t="inlineStr">
        <is>
          <t>SBI Mutual Fund</t>
        </is>
      </c>
      <c r="D26" s="78" t="inlineStr">
        <is>
          <t>Multi Asset Allocation</t>
        </is>
      </c>
      <c r="E26" s="79" t="n">
        <v>1.16</v>
      </c>
      <c r="F26" s="79" t="n">
        <v>1.74</v>
      </c>
      <c r="G26" s="79" t="n">
        <v>0.87</v>
      </c>
      <c r="H26" s="79" t="n">
        <v>14.31</v>
      </c>
      <c r="I26" s="79" t="n">
        <v>10.96846398864859</v>
      </c>
      <c r="J26" s="79" t="n">
        <v>54.73</v>
      </c>
      <c r="K26" s="87" t="n">
        <v>38</v>
      </c>
      <c r="L26" s="17" t="n">
        <v>6.2</v>
      </c>
      <c r="M26" s="23" t="n">
        <v>23.7</v>
      </c>
      <c r="N26" s="80" t="inlineStr">
        <is>
          <t>📉 Weak</t>
        </is>
      </c>
      <c r="O26" s="80" t="inlineStr">
        <is>
          <t>⚠️ Below Avg</t>
        </is>
      </c>
      <c r="P26" s="80" t="inlineStr">
        <is>
          <t>🔴 Avoid</t>
        </is>
      </c>
      <c r="Q26" s="69" t="inlineStr">
        <is>
          <t>FULL</t>
        </is>
      </c>
    </row>
    <row r="27" ht="16" customHeight="1">
      <c r="A27" s="81" t="n">
        <v>23</v>
      </c>
      <c r="B27" s="82" t="inlineStr">
        <is>
          <t>Tata Multi Asset Allocation Fund-Regular Plan-Growth</t>
        </is>
      </c>
      <c r="C27" s="82" t="inlineStr">
        <is>
          <t>Tata Mutual Fund</t>
        </is>
      </c>
      <c r="D27" s="82" t="inlineStr">
        <is>
          <t>Multi Asset Allocation</t>
        </is>
      </c>
      <c r="E27" s="83" t="n">
        <v>1.03</v>
      </c>
      <c r="F27" s="83" t="n">
        <v>3.1</v>
      </c>
      <c r="G27" s="83" t="n">
        <v>1.06</v>
      </c>
      <c r="H27" s="83" t="n">
        <v>9.859999999999999</v>
      </c>
      <c r="I27" s="83" t="n">
        <v>7.4476616776745</v>
      </c>
      <c r="J27" s="83" t="n">
        <v>45.45</v>
      </c>
      <c r="K27" s="87" t="n">
        <v>39.6</v>
      </c>
      <c r="L27" s="17" t="n">
        <v>0</v>
      </c>
      <c r="M27" s="23" t="n">
        <v>21.8</v>
      </c>
      <c r="N27" s="85" t="inlineStr">
        <is>
          <t>📉 Weak</t>
        </is>
      </c>
      <c r="O27" s="85" t="inlineStr">
        <is>
          <t>🔴 Not Qualified</t>
        </is>
      </c>
      <c r="P27" s="85" t="inlineStr">
        <is>
          <t>🔴 Avoid</t>
        </is>
      </c>
      <c r="Q27" s="69" t="inlineStr">
        <is>
          <t>FULL</t>
        </is>
      </c>
    </row>
    <row r="28" ht="16" customHeight="1">
      <c r="A28" s="77" t="n">
        <v>24</v>
      </c>
      <c r="B28" s="78" t="inlineStr">
        <is>
          <t>Edelweiss Multi Asset Allocation Fund - Regular Plan - Growth</t>
        </is>
      </c>
      <c r="C28" s="78" t="inlineStr">
        <is>
          <t>Edelweiss Mutual Fund</t>
        </is>
      </c>
      <c r="D28" s="78" t="inlineStr">
        <is>
          <t>Multi Asset Allocation</t>
        </is>
      </c>
      <c r="E28" s="79" t="n">
        <v>0.33</v>
      </c>
      <c r="F28" s="79" t="n">
        <v>2.18</v>
      </c>
      <c r="G28" s="79" t="n">
        <v>3.1</v>
      </c>
      <c r="H28" s="79" t="n">
        <v>6.31</v>
      </c>
      <c r="I28" s="79" t="n">
        <v>7.065400573668068</v>
      </c>
      <c r="J28" s="79" t="n">
        <v>23.61</v>
      </c>
      <c r="K28" s="87" t="n">
        <v>38.6</v>
      </c>
      <c r="L28" s="17" t="n">
        <v>0</v>
      </c>
      <c r="M28" s="23" t="n">
        <v>21.2</v>
      </c>
      <c r="N28" s="80" t="inlineStr">
        <is>
          <t>📉 Weak</t>
        </is>
      </c>
      <c r="O28" s="80" t="inlineStr">
        <is>
          <t>🔴 Not Qualified</t>
        </is>
      </c>
      <c r="P28" s="80" t="inlineStr">
        <is>
          <t>🔴 Avoid</t>
        </is>
      </c>
      <c r="Q28" s="69" t="inlineStr">
        <is>
          <t>FULL</t>
        </is>
      </c>
    </row>
    <row r="29" ht="16" customHeight="1">
      <c r="A29" s="81" t="n">
        <v>25</v>
      </c>
      <c r="B29" s="82" t="inlineStr">
        <is>
          <t>UTI Multi Asset Allocation Fund - Regular Plan - Growth Option</t>
        </is>
      </c>
      <c r="C29" s="82" t="inlineStr">
        <is>
          <t>UTI Mutual Fund</t>
        </is>
      </c>
      <c r="D29" s="82" t="inlineStr">
        <is>
          <t>Multi Asset Allocation</t>
        </is>
      </c>
      <c r="E29" s="83" t="n">
        <v>1.74</v>
      </c>
      <c r="F29" s="83" t="n">
        <v>2.28</v>
      </c>
      <c r="G29" s="88" t="n">
        <v>-0.32</v>
      </c>
      <c r="H29" s="83" t="n">
        <v>8.27</v>
      </c>
      <c r="I29" s="83" t="n">
        <v>5.574618161753264</v>
      </c>
      <c r="J29" s="83" t="n">
        <v>56.6</v>
      </c>
      <c r="K29" s="87" t="n">
        <v>30.9</v>
      </c>
      <c r="L29" s="17" t="n">
        <v>0</v>
      </c>
      <c r="M29" s="23" t="n">
        <v>17</v>
      </c>
      <c r="N29" s="85" t="inlineStr">
        <is>
          <t>📉 Weak</t>
        </is>
      </c>
      <c r="O29" s="85" t="inlineStr">
        <is>
          <t>🔴 Not Qualified</t>
        </is>
      </c>
      <c r="P29" s="85" t="inlineStr">
        <is>
          <t>🔴 Avoid</t>
        </is>
      </c>
      <c r="Q29" s="69" t="inlineStr">
        <is>
          <t>FULL</t>
        </is>
      </c>
    </row>
    <row r="30" ht="16" customHeight="1">
      <c r="A30" s="77" t="n">
        <v>25</v>
      </c>
      <c r="B30" s="78" t="inlineStr">
        <is>
          <t>ICICI Prudential Multi-Asset Fund - Growth</t>
        </is>
      </c>
      <c r="C30" s="78" t="inlineStr">
        <is>
          <t>ICICI Prudential Mutual Fund</t>
        </is>
      </c>
      <c r="D30" s="78" t="inlineStr">
        <is>
          <t>Multi Asset Allocation</t>
        </is>
      </c>
      <c r="E30" s="79" t="n">
        <v>1.18</v>
      </c>
      <c r="F30" s="79" t="n">
        <v>2.86</v>
      </c>
      <c r="G30" s="86" t="n">
        <v>-0.4</v>
      </c>
      <c r="H30" s="79" t="n">
        <v>9.220000000000001</v>
      </c>
      <c r="I30" s="79" t="n">
        <v>8.853112036358436</v>
      </c>
      <c r="J30" s="79" t="n">
        <v>54.02</v>
      </c>
      <c r="K30" s="87" t="n">
        <v>30.9</v>
      </c>
      <c r="L30" s="17" t="n">
        <v>0</v>
      </c>
      <c r="M30" s="23" t="n">
        <v>17</v>
      </c>
      <c r="N30" s="80" t="inlineStr">
        <is>
          <t>📉 Weak</t>
        </is>
      </c>
      <c r="O30" s="80" t="inlineStr">
        <is>
          <t>🔴 Not Qualified</t>
        </is>
      </c>
      <c r="P30" s="80" t="inlineStr">
        <is>
          <t>🔴 Avoid</t>
        </is>
      </c>
      <c r="Q30" s="69" t="inlineStr">
        <is>
          <t>FULL</t>
        </is>
      </c>
    </row>
    <row r="31" ht="16" customHeight="1">
      <c r="A31" s="25" t="n">
        <v>27</v>
      </c>
      <c r="B31" s="26" t="inlineStr">
        <is>
          <t>Shriram Multi Asset Allocation Fund - Regular Growth</t>
        </is>
      </c>
      <c r="C31" s="26" t="inlineStr">
        <is>
          <t>Shriram Mutual Fund</t>
        </is>
      </c>
      <c r="D31" s="26" t="inlineStr">
        <is>
          <t>Multi Asset Allocation</t>
        </is>
      </c>
      <c r="E31" s="27" t="n">
        <v>1.62</v>
      </c>
      <c r="F31" s="27" t="n">
        <v>2.22</v>
      </c>
      <c r="G31" s="96" t="n">
        <v>-1.16</v>
      </c>
      <c r="H31" s="27" t="n">
        <v>11.43</v>
      </c>
      <c r="I31" s="27" t="n">
        <v>2.518291050914412</v>
      </c>
      <c r="J31" s="27" t="n">
        <v>0</v>
      </c>
      <c r="K31" s="87" t="n">
        <v>27.5</v>
      </c>
      <c r="L31" s="17" t="n">
        <v>0</v>
      </c>
      <c r="M31" s="23" t="n">
        <v>15.1</v>
      </c>
      <c r="N31" s="94" t="inlineStr">
        <is>
          <t>📉 Weak</t>
        </is>
      </c>
      <c r="O31" s="94" t="inlineStr">
        <is>
          <t>⏳ New Fund</t>
        </is>
      </c>
      <c r="P31" s="94" t="inlineStr">
        <is>
          <t>⏳ New Fund</t>
        </is>
      </c>
      <c r="Q31" s="95" t="inlineStr">
        <is>
          <t>MOMENTUM_ONLY</t>
        </is>
      </c>
    </row>
    <row r="32" ht="16" customHeight="1">
      <c r="A32" s="77" t="n">
        <v>28</v>
      </c>
      <c r="B32" s="78" t="inlineStr">
        <is>
          <t>HDFC Multi-Asset Fund - Growth Option</t>
        </is>
      </c>
      <c r="C32" s="78" t="inlineStr">
        <is>
          <t>HDFC Mutual Fund</t>
        </is>
      </c>
      <c r="D32" s="78" t="inlineStr">
        <is>
          <t>Multi Asset Allocation</t>
        </is>
      </c>
      <c r="E32" s="79" t="n">
        <v>1.37</v>
      </c>
      <c r="F32" s="79" t="n">
        <v>2.54</v>
      </c>
      <c r="G32" s="86" t="n">
        <v>-1.52</v>
      </c>
      <c r="H32" s="79" t="n">
        <v>6.18</v>
      </c>
      <c r="I32" s="79" t="n">
        <v>6.484740690861446</v>
      </c>
      <c r="J32" s="79" t="n">
        <v>40.47</v>
      </c>
      <c r="K32" s="87" t="n">
        <v>20.6</v>
      </c>
      <c r="L32" s="17" t="n">
        <v>0</v>
      </c>
      <c r="M32" s="23" t="n">
        <v>11.3</v>
      </c>
      <c r="N32" s="80" t="inlineStr">
        <is>
          <t>📉 Weak</t>
        </is>
      </c>
      <c r="O32" s="80" t="inlineStr">
        <is>
          <t>🔴 Not Qualified</t>
        </is>
      </c>
      <c r="P32" s="80" t="inlineStr">
        <is>
          <t>🔴 Avoid</t>
        </is>
      </c>
      <c r="Q32" s="69" t="inlineStr">
        <is>
          <t>FULL</t>
        </is>
      </c>
    </row>
    <row r="33" ht="16" customHeight="1">
      <c r="A33" s="25" t="n">
        <v>29</v>
      </c>
      <c r="B33" s="26" t="inlineStr">
        <is>
          <t>Samco Multi Asset Allocation Fund - Regular Plan - Growth</t>
        </is>
      </c>
      <c r="C33" s="26" t="inlineStr">
        <is>
          <t>Samco Mutual Fund</t>
        </is>
      </c>
      <c r="D33" s="26" t="inlineStr">
        <is>
          <t>Multi Asset Allocation</t>
        </is>
      </c>
      <c r="E33" s="27" t="n">
        <v>1.92</v>
      </c>
      <c r="F33" s="27" t="n">
        <v>0.66</v>
      </c>
      <c r="G33" s="96" t="n">
        <v>-1.21</v>
      </c>
      <c r="H33" s="27" t="n">
        <v>5.44</v>
      </c>
      <c r="I33" s="27" t="n">
        <v>0</v>
      </c>
      <c r="J33" s="27" t="n">
        <v>0</v>
      </c>
      <c r="K33" s="87" t="n">
        <v>17.2</v>
      </c>
      <c r="L33" s="17" t="n">
        <v>0</v>
      </c>
      <c r="M33" s="23" t="n">
        <v>9.4</v>
      </c>
      <c r="N33" s="94" t="inlineStr">
        <is>
          <t>📉 Weak</t>
        </is>
      </c>
      <c r="O33" s="94" t="inlineStr">
        <is>
          <t>⏳ New Fund</t>
        </is>
      </c>
      <c r="P33" s="94" t="inlineStr">
        <is>
          <t>⏳ New Fund</t>
        </is>
      </c>
      <c r="Q33" s="95" t="inlineStr">
        <is>
          <t>MOMENTUM_ONLY</t>
        </is>
      </c>
    </row>
    <row r="34" ht="16" customHeight="1">
      <c r="A34" s="25" t="n">
        <v>30</v>
      </c>
      <c r="B34" s="26" t="inlineStr">
        <is>
          <t>Quantum Multi Asset Allocation Fund - Regular Plan Growth Option</t>
        </is>
      </c>
      <c r="C34" s="26" t="inlineStr">
        <is>
          <t>Quantum Mutual Fund</t>
        </is>
      </c>
      <c r="D34" s="26" t="inlineStr">
        <is>
          <t>Multi Asset Allocation</t>
        </is>
      </c>
      <c r="E34" s="27" t="n">
        <v>1.1</v>
      </c>
      <c r="F34" s="27" t="n">
        <v>1.1</v>
      </c>
      <c r="G34" s="96" t="n">
        <v>-3.24</v>
      </c>
      <c r="H34" s="27" t="n">
        <v>4.65</v>
      </c>
      <c r="I34" s="27" t="n">
        <v>5.735519103090425</v>
      </c>
      <c r="J34" s="27" t="n">
        <v>0</v>
      </c>
      <c r="K34" s="87" t="n">
        <v>5.9</v>
      </c>
      <c r="L34" s="17" t="n">
        <v>0</v>
      </c>
      <c r="M34" s="23" t="n">
        <v>3.2</v>
      </c>
      <c r="N34" s="94" t="inlineStr">
        <is>
          <t>📉 Weak</t>
        </is>
      </c>
      <c r="O34" s="94" t="inlineStr">
        <is>
          <t>⏳ New Fund</t>
        </is>
      </c>
      <c r="P34" s="94" t="inlineStr">
        <is>
          <t>⏳ New Fund</t>
        </is>
      </c>
      <c r="Q34" s="95" t="inlineStr">
        <is>
          <t>MOMENTUM_ONLY</t>
        </is>
      </c>
    </row>
    <row r="35" ht="16" customHeight="1">
      <c r="A35" s="89" t="n">
        <v>0</v>
      </c>
      <c r="B35" s="90" t="inlineStr">
        <is>
          <t>JM Multi Asset Allocation Fund (Regular) - Growth Option</t>
        </is>
      </c>
      <c r="C35" s="90" t="inlineStr">
        <is>
          <t>JM Financial Mutual Fund</t>
        </is>
      </c>
      <c r="D35" s="90" t="inlineStr">
        <is>
          <t>Multi Asset Allocation</t>
        </is>
      </c>
      <c r="E35" s="91" t="n">
        <v>0</v>
      </c>
      <c r="F35" s="91" t="n">
        <v>0</v>
      </c>
      <c r="G35" s="91" t="n">
        <v>0</v>
      </c>
      <c r="H35" s="91" t="n">
        <v>0</v>
      </c>
      <c r="I35" s="91" t="n">
        <v>0</v>
      </c>
      <c r="J35" s="91" t="n">
        <v>0</v>
      </c>
      <c r="K35" s="87" t="n">
        <v>0</v>
      </c>
      <c r="L35" s="17" t="n">
        <v>0</v>
      </c>
      <c r="M35" s="23" t="n">
        <v>0</v>
      </c>
      <c r="N35" s="92" t="inlineStr">
        <is>
          <t>❌ N/A</t>
        </is>
      </c>
      <c r="O35" s="92" t="inlineStr">
        <is>
          <t>❌ N/A</t>
        </is>
      </c>
      <c r="P35" s="92" t="inlineStr">
        <is>
          <t>❌ Missing Data</t>
        </is>
      </c>
      <c r="Q35" s="93" t="inlineStr">
        <is>
          <t>MISSING</t>
        </is>
      </c>
    </row>
    <row r="36" ht="16" customHeight="1">
      <c r="A36" s="89" t="n">
        <v>0</v>
      </c>
      <c r="B36" s="90" t="inlineStr">
        <is>
          <t>Capitalmind Multi Asset Allocation Fund-Regular-Growth</t>
        </is>
      </c>
      <c r="C36" s="90" t="inlineStr">
        <is>
          <t>Capitalmind Mutual Fund</t>
        </is>
      </c>
      <c r="D36" s="90" t="inlineStr">
        <is>
          <t>Multi Asset Allocation</t>
        </is>
      </c>
      <c r="E36" s="91" t="n">
        <v>2.61</v>
      </c>
      <c r="F36" s="99" t="n">
        <v>-2.18</v>
      </c>
      <c r="G36" s="91" t="n">
        <v>0</v>
      </c>
      <c r="H36" s="91" t="n">
        <v>0</v>
      </c>
      <c r="I36" s="91" t="n">
        <v>0</v>
      </c>
      <c r="J36" s="91" t="n">
        <v>0</v>
      </c>
      <c r="K36" s="87" t="n">
        <v>0</v>
      </c>
      <c r="L36" s="17" t="n">
        <v>0</v>
      </c>
      <c r="M36" s="23" t="n">
        <v>0</v>
      </c>
      <c r="N36" s="92" t="inlineStr">
        <is>
          <t>❌ N/A</t>
        </is>
      </c>
      <c r="O36" s="92" t="inlineStr">
        <is>
          <t>❌ N/A</t>
        </is>
      </c>
      <c r="P36" s="92" t="inlineStr">
        <is>
          <t>❌ Missing Data</t>
        </is>
      </c>
      <c r="Q36" s="93" t="inlineStr">
        <is>
          <t>MISSING</t>
        </is>
      </c>
    </row>
  </sheetData>
  <autoFilter ref="A4:Q36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  <col width="12" customWidth="1" min="21" max="21"/>
  </cols>
  <sheetData>
    <row r="1" ht="34" customHeight="1">
      <c r="A1" s="100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"&amp;COUNTIF($U:$U,"FULL")&amp;" | ⚠️ Momentum: "&amp;COUNTIF($U:$U,"MOMENTUM_ONLY")&amp;" | ❌ Missing: "&amp;COUNTIF($U:$U,"MISSING")&amp;" | Total: "&amp;COUNTA(B5:B184)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1" t="inlineStr">
        <is>
          <t>◄  Rank in Asset Class  ►</t>
        </is>
      </c>
      <c r="P3" s="102" t="n"/>
      <c r="Q3" s="102" t="n"/>
      <c r="R3" s="10" t="inlineStr">
        <is>
          <t>◄  Signals  ►</t>
        </is>
      </c>
      <c r="S3" s="11" t="n"/>
      <c r="T3" s="11" t="n"/>
      <c r="U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E1 Rank
(in Asset)</t>
        </is>
      </c>
      <c r="P4" s="12" t="inlineStr">
        <is>
          <t>E2 Rank
(in Asset)</t>
        </is>
      </c>
      <c r="Q4" s="12" t="inlineStr">
        <is>
          <t>Comp Rank
(in Asset)</t>
        </is>
      </c>
      <c r="R4" s="12" t="inlineStr">
        <is>
          <t>Momentum
Signal</t>
        </is>
      </c>
      <c r="S4" s="12" t="inlineStr">
        <is>
          <t>Quality
Signal</t>
        </is>
      </c>
      <c r="T4" s="12" t="inlineStr">
        <is>
          <t>Composite
Signal</t>
        </is>
      </c>
      <c r="U4" s="12" t="inlineStr">
        <is>
          <t>Data
Status</t>
        </is>
      </c>
    </row>
    <row r="5" ht="16" customHeight="1">
      <c r="A5" s="66" t="n">
        <v>1</v>
      </c>
      <c r="B5" s="67" t="inlineStr">
        <is>
          <t>Nippon India Multi Asset Allocation Fund - Regular Plan - Growth Option</t>
        </is>
      </c>
      <c r="C5" s="67" t="inlineStr">
        <is>
          <t>Nippon India Mutual Fund</t>
        </is>
      </c>
      <c r="D5" s="67" t="inlineStr">
        <is>
          <t>Multi Asset Allocation</t>
        </is>
      </c>
      <c r="E5" s="67" t="inlineStr">
        <is>
          <t>Multi Asset Allocation</t>
        </is>
      </c>
      <c r="F5" s="68" t="n">
        <v>3.11</v>
      </c>
      <c r="G5" s="68" t="n">
        <v>4.03</v>
      </c>
      <c r="H5" s="68" t="n">
        <v>2.85</v>
      </c>
      <c r="I5" s="68" t="n">
        <v>17.08</v>
      </c>
      <c r="J5" s="68" t="n">
        <v>13.27400407860577</v>
      </c>
      <c r="K5" s="68" t="n">
        <v>69.63</v>
      </c>
      <c r="L5" s="16" t="n">
        <v>87.5</v>
      </c>
      <c r="M5" s="29" t="n">
        <v>75</v>
      </c>
      <c r="N5" s="30" t="n">
        <v>81.90000000000001</v>
      </c>
      <c r="O5" s="103">
        <f>COUNTIFS($E:$E,$E5,$L:$L,"&gt;"&amp;$L5)+1</f>
        <v/>
      </c>
      <c r="P5" s="103">
        <f>COUNTIFS($E:$E,$E5,$M:$M,"&gt;"&amp;$M5)+1</f>
        <v/>
      </c>
      <c r="Q5" s="103">
        <f>COUNTIFS($E:$E,$E5,$N:$N,"&gt;"&amp;$N5)+1</f>
        <v/>
      </c>
      <c r="R5" s="19" t="inlineStr">
        <is>
          <t>⭐ Strong</t>
        </is>
      </c>
      <c r="S5" s="19" t="inlineStr">
        <is>
          <t>⭐ Strong</t>
        </is>
      </c>
      <c r="T5" s="19" t="inlineStr">
        <is>
          <t>⭐ Strong Buy</t>
        </is>
      </c>
      <c r="U5" s="69" t="inlineStr">
        <is>
          <t>FULL</t>
        </is>
      </c>
    </row>
    <row r="6" ht="16" customHeight="1">
      <c r="A6" s="70" t="n">
        <v>2</v>
      </c>
      <c r="B6" s="71" t="inlineStr">
        <is>
          <t>quant Multi Asset Allocation Fund-GROWTH OPTION - Regular Plan</t>
        </is>
      </c>
      <c r="C6" s="71" t="inlineStr">
        <is>
          <t>quant Mutual Fund</t>
        </is>
      </c>
      <c r="D6" s="71" t="inlineStr">
        <is>
          <t>Multi Asset Allocation</t>
        </is>
      </c>
      <c r="E6" s="71" t="inlineStr">
        <is>
          <t>Multi Asset Allocation</t>
        </is>
      </c>
      <c r="F6" s="97" t="n">
        <v>-0.87</v>
      </c>
      <c r="G6" s="72" t="n">
        <v>2.25</v>
      </c>
      <c r="H6" s="72" t="n">
        <v>3.36</v>
      </c>
      <c r="I6" s="72" t="n">
        <v>19.45</v>
      </c>
      <c r="J6" s="72" t="n">
        <v>13.03539268742335</v>
      </c>
      <c r="K6" s="72" t="n">
        <v>80.47</v>
      </c>
      <c r="L6" s="84" t="n">
        <v>58.3</v>
      </c>
      <c r="M6" s="29" t="n">
        <v>85</v>
      </c>
      <c r="N6" s="18" t="n">
        <v>70.3</v>
      </c>
      <c r="O6" s="103">
        <f>COUNTIFS($E:$E,$E6,$L:$L,"&gt;"&amp;$L6)+1</f>
        <v/>
      </c>
      <c r="P6" s="103">
        <f>COUNTIFS($E:$E,$E6,$M:$M,"&gt;"&amp;$M6)+1</f>
        <v/>
      </c>
      <c r="Q6" s="103">
        <f>COUNTIFS($E:$E,$E6,$N:$N,"&gt;"&amp;$N6)+1</f>
        <v/>
      </c>
      <c r="R6" s="73" t="inlineStr">
        <is>
          <t>➡️ Neutral</t>
        </is>
      </c>
      <c r="S6" s="73" t="inlineStr">
        <is>
          <t>⭐ Strong</t>
        </is>
      </c>
      <c r="T6" s="73" t="inlineStr">
        <is>
          <t>🏛️ Quality Hold</t>
        </is>
      </c>
      <c r="U6" s="69" t="inlineStr">
        <is>
          <t>FULL</t>
        </is>
      </c>
    </row>
    <row r="7" ht="16" customHeight="1">
      <c r="A7" s="74" t="n">
        <v>3</v>
      </c>
      <c r="B7" s="75" t="inlineStr">
        <is>
          <t>WhiteOak Capital Multi Asset Allocation Fund Regular Plan Growth</t>
        </is>
      </c>
      <c r="C7" s="75" t="inlineStr">
        <is>
          <t>WhiteOak Capital Mutual Fund</t>
        </is>
      </c>
      <c r="D7" s="75" t="inlineStr">
        <is>
          <t>Multi Asset Allocation</t>
        </is>
      </c>
      <c r="E7" s="75" t="inlineStr">
        <is>
          <t>Multi Asset Allocation</t>
        </is>
      </c>
      <c r="F7" s="76" t="n">
        <v>2.22</v>
      </c>
      <c r="G7" s="76" t="n">
        <v>4.23</v>
      </c>
      <c r="H7" s="76" t="n">
        <v>4.26</v>
      </c>
      <c r="I7" s="76" t="n">
        <v>13.93</v>
      </c>
      <c r="J7" s="76" t="n">
        <v>14.32847414358331</v>
      </c>
      <c r="K7" s="76" t="n">
        <v>57.4</v>
      </c>
      <c r="L7" s="16" t="n">
        <v>82.09999999999999</v>
      </c>
      <c r="M7" s="98" t="n">
        <v>52.5</v>
      </c>
      <c r="N7" s="18" t="n">
        <v>68.8</v>
      </c>
      <c r="O7" s="103">
        <f>COUNTIFS($E:$E,$E7,$L:$L,"&gt;"&amp;$L7)+1</f>
        <v/>
      </c>
      <c r="P7" s="103">
        <f>COUNTIFS($E:$E,$E7,$M:$M,"&gt;"&amp;$M7)+1</f>
        <v/>
      </c>
      <c r="Q7" s="103">
        <f>COUNTIFS($E:$E,$E7,$N:$N,"&gt;"&amp;$N7)+1</f>
        <v/>
      </c>
      <c r="R7" s="24" t="inlineStr">
        <is>
          <t>⭐ Strong</t>
        </is>
      </c>
      <c r="S7" s="24" t="inlineStr">
        <is>
          <t>➡️ Average</t>
        </is>
      </c>
      <c r="T7" s="24" t="inlineStr">
        <is>
          <t>📈 Momentum Play</t>
        </is>
      </c>
      <c r="U7" s="69" t="inlineStr">
        <is>
          <t>FULL</t>
        </is>
      </c>
    </row>
    <row r="8" ht="16" customHeight="1">
      <c r="A8" s="104" t="n">
        <v>4</v>
      </c>
      <c r="B8" s="105" t="inlineStr">
        <is>
          <t>BANK OF INDIA MID &amp; SMALL CAP EQUITY &amp; DEBT FUND - REGULAR  PLAN  GROWTH</t>
        </is>
      </c>
      <c r="C8" s="105" t="inlineStr">
        <is>
          <t>Bank of India Mutual Fund</t>
        </is>
      </c>
      <c r="D8" s="105" t="inlineStr">
        <is>
          <t>Aggressive Hybrid Fund</t>
        </is>
      </c>
      <c r="E8" s="105" t="inlineStr">
        <is>
          <t>Aggressive Hybrid Fund</t>
        </is>
      </c>
      <c r="F8" s="106" t="n">
        <v>2.99</v>
      </c>
      <c r="G8" s="106" t="n">
        <v>7.47</v>
      </c>
      <c r="H8" s="106" t="n">
        <v>11.66</v>
      </c>
      <c r="I8" s="106" t="n">
        <v>15</v>
      </c>
      <c r="J8" s="106" t="n">
        <v>5.503554442492598</v>
      </c>
      <c r="K8" s="106" t="n">
        <v>63.04</v>
      </c>
      <c r="L8" s="16" t="n">
        <v>100</v>
      </c>
      <c r="M8" s="17" t="n">
        <v>0</v>
      </c>
      <c r="N8" s="18" t="n">
        <v>55</v>
      </c>
      <c r="O8" s="103">
        <f>COUNTIFS($E:$E,$E8,$L:$L,"&gt;"&amp;$L8)+1</f>
        <v/>
      </c>
      <c r="P8" s="103">
        <f>COUNTIFS($E:$E,$E8,$M:$M,"&gt;"&amp;$M8)+1</f>
        <v/>
      </c>
      <c r="Q8" s="103">
        <f>COUNTIFS($E:$E,$E8,$N:$N,"&gt;"&amp;$N8)+1</f>
        <v/>
      </c>
      <c r="R8" s="107" t="inlineStr">
        <is>
          <t>🔥 Hot</t>
        </is>
      </c>
      <c r="S8" s="107" t="inlineStr">
        <is>
          <t>🔴 Not Qualified</t>
        </is>
      </c>
      <c r="T8" s="107" t="inlineStr">
        <is>
          <t>✅ Buy</t>
        </is>
      </c>
      <c r="U8" s="69" t="inlineStr">
        <is>
          <t>FULL</t>
        </is>
      </c>
    </row>
    <row r="9" ht="16" customHeight="1">
      <c r="A9" s="104" t="n">
        <v>5</v>
      </c>
      <c r="B9" s="105" t="inlineStr">
        <is>
          <t>Edelweiss Equity Savings Fund - Regular Plan - Growth Option</t>
        </is>
      </c>
      <c r="C9" s="105" t="inlineStr">
        <is>
          <t>Edelweiss Mutual Fund</t>
        </is>
      </c>
      <c r="D9" s="105" t="inlineStr">
        <is>
          <t>Equity Savings</t>
        </is>
      </c>
      <c r="E9" s="105" t="inlineStr">
        <is>
          <t>Equity Savings</t>
        </is>
      </c>
      <c r="F9" s="106" t="n">
        <v>1.34</v>
      </c>
      <c r="G9" s="106" t="n">
        <v>3.73</v>
      </c>
      <c r="H9" s="106" t="n">
        <v>4.13</v>
      </c>
      <c r="I9" s="106" t="n">
        <v>8.119999999999999</v>
      </c>
      <c r="J9" s="106" t="n">
        <v>7.856385995452309</v>
      </c>
      <c r="K9" s="106" t="n">
        <v>35.86</v>
      </c>
      <c r="L9" s="16" t="n">
        <v>99.5</v>
      </c>
      <c r="M9" s="17" t="n">
        <v>0</v>
      </c>
      <c r="N9" s="18" t="n">
        <v>54.8</v>
      </c>
      <c r="O9" s="103">
        <f>COUNTIFS($E:$E,$E9,$L:$L,"&gt;"&amp;$L9)+1</f>
        <v/>
      </c>
      <c r="P9" s="103">
        <f>COUNTIFS($E:$E,$E9,$M:$M,"&gt;"&amp;$M9)+1</f>
        <v/>
      </c>
      <c r="Q9" s="103">
        <f>COUNTIFS($E:$E,$E9,$N:$N,"&gt;"&amp;$N9)+1</f>
        <v/>
      </c>
      <c r="R9" s="107" t="inlineStr">
        <is>
          <t>🔥 Hot</t>
        </is>
      </c>
      <c r="S9" s="107" t="inlineStr">
        <is>
          <t>🔴 Not Qualified</t>
        </is>
      </c>
      <c r="T9" s="107" t="inlineStr">
        <is>
          <t>⚠️ Watch</t>
        </is>
      </c>
      <c r="U9" s="69" t="inlineStr">
        <is>
          <t>FULL</t>
        </is>
      </c>
    </row>
    <row r="10" ht="16" customHeight="1">
      <c r="A10" s="104" t="n">
        <v>6</v>
      </c>
      <c r="B10" s="105" t="inlineStr">
        <is>
          <t>Navi Aggressive Hybrid Fund - Regular Plan - Growth</t>
        </is>
      </c>
      <c r="C10" s="105" t="inlineStr">
        <is>
          <t>Navi Mutual Fund</t>
        </is>
      </c>
      <c r="D10" s="105" t="inlineStr">
        <is>
          <t>Aggressive Hybrid Fund</t>
        </is>
      </c>
      <c r="E10" s="105" t="inlineStr">
        <is>
          <t>Aggressive Hybrid Fund</t>
        </is>
      </c>
      <c r="F10" s="106" t="n">
        <v>2.45</v>
      </c>
      <c r="G10" s="106" t="n">
        <v>8.710000000000001</v>
      </c>
      <c r="H10" s="106" t="n">
        <v>6.51</v>
      </c>
      <c r="I10" s="106" t="n">
        <v>10.71</v>
      </c>
      <c r="J10" s="106" t="n">
        <v>5.446668984847491</v>
      </c>
      <c r="K10" s="106" t="n">
        <v>37.75</v>
      </c>
      <c r="L10" s="16" t="n">
        <v>95.40000000000001</v>
      </c>
      <c r="M10" s="17" t="n">
        <v>0</v>
      </c>
      <c r="N10" s="18" t="n">
        <v>52.5</v>
      </c>
      <c r="O10" s="103">
        <f>COUNTIFS($E:$E,$E10,$L:$L,"&gt;"&amp;$L10)+1</f>
        <v/>
      </c>
      <c r="P10" s="103">
        <f>COUNTIFS($E:$E,$E10,$M:$M,"&gt;"&amp;$M10)+1</f>
        <v/>
      </c>
      <c r="Q10" s="103">
        <f>COUNTIFS($E:$E,$E10,$N:$N,"&gt;"&amp;$N10)+1</f>
        <v/>
      </c>
      <c r="R10" s="107" t="inlineStr">
        <is>
          <t>🔥 Hot</t>
        </is>
      </c>
      <c r="S10" s="107" t="inlineStr">
        <is>
          <t>🔴 Not Qualified</t>
        </is>
      </c>
      <c r="T10" s="107" t="inlineStr">
        <is>
          <t>⚠️ Watch</t>
        </is>
      </c>
      <c r="U10" s="69" t="inlineStr">
        <is>
          <t>FULL</t>
        </is>
      </c>
    </row>
    <row r="11" ht="16" customHeight="1">
      <c r="A11" s="104" t="n">
        <v>7</v>
      </c>
      <c r="B11" s="105" t="inlineStr">
        <is>
          <t>Aditya Birla Sun Life Multi Asset Allocation Fund-Regular Growth</t>
        </is>
      </c>
      <c r="C11" s="105" t="inlineStr">
        <is>
          <t>Aditya Birla Sun Life Mutual Fund</t>
        </is>
      </c>
      <c r="D11" s="105" t="inlineStr">
        <is>
          <t>Multi Asset Allocation</t>
        </is>
      </c>
      <c r="E11" s="105" t="inlineStr">
        <is>
          <t>Multi Asset Allocation</t>
        </is>
      </c>
      <c r="F11" s="106" t="n">
        <v>1.87</v>
      </c>
      <c r="G11" s="106" t="n">
        <v>3.99</v>
      </c>
      <c r="H11" s="106" t="n">
        <v>1.99</v>
      </c>
      <c r="I11" s="106" t="n">
        <v>16.63</v>
      </c>
      <c r="J11" s="106" t="n">
        <v>12.15168300119263</v>
      </c>
      <c r="K11" s="106" t="n">
        <v>56.54</v>
      </c>
      <c r="L11" s="84" t="n">
        <v>69.7</v>
      </c>
      <c r="M11" s="17" t="n">
        <v>31.2</v>
      </c>
      <c r="N11" s="18" t="n">
        <v>52.4</v>
      </c>
      <c r="O11" s="103">
        <f>COUNTIFS($E:$E,$E11,$L:$L,"&gt;"&amp;$L11)+1</f>
        <v/>
      </c>
      <c r="P11" s="103">
        <f>COUNTIFS($E:$E,$E11,$M:$M,"&gt;"&amp;$M11)+1</f>
        <v/>
      </c>
      <c r="Q11" s="103">
        <f>COUNTIFS($E:$E,$E11,$N:$N,"&gt;"&amp;$N11)+1</f>
        <v/>
      </c>
      <c r="R11" s="107" t="inlineStr">
        <is>
          <t>📈 Good</t>
        </is>
      </c>
      <c r="S11" s="107" t="inlineStr">
        <is>
          <t>⚠️ Below Avg</t>
        </is>
      </c>
      <c r="T11" s="107" t="inlineStr">
        <is>
          <t>⚠️ Watch</t>
        </is>
      </c>
      <c r="U11" s="69" t="inlineStr">
        <is>
          <t>FULL</t>
        </is>
      </c>
    </row>
    <row r="12" ht="16" customHeight="1">
      <c r="A12" s="104" t="n">
        <v>8</v>
      </c>
      <c r="B12" s="105" t="inlineStr">
        <is>
          <t>ICICI Prudential Balanced Advantage Fund - Growth</t>
        </is>
      </c>
      <c r="C12" s="105" t="inlineStr">
        <is>
          <t>ICICI Prudential Mutual Fund</t>
        </is>
      </c>
      <c r="D12" s="105" t="inlineStr">
        <is>
          <t>Dynamic Asset Allocation Or Balanced Advantage</t>
        </is>
      </c>
      <c r="E12" s="105" t="inlineStr">
        <is>
          <t>Dynamic Asset Allocation Or Balanced Advantage</t>
        </is>
      </c>
      <c r="F12" s="106" t="n">
        <v>2.24</v>
      </c>
      <c r="G12" s="106" t="n">
        <v>6.21</v>
      </c>
      <c r="H12" s="106" t="n">
        <v>2.53</v>
      </c>
      <c r="I12" s="106" t="n">
        <v>8.44</v>
      </c>
      <c r="J12" s="106" t="n">
        <v>7.242715370322483</v>
      </c>
      <c r="K12" s="106" t="n">
        <v>41.27</v>
      </c>
      <c r="L12" s="16" t="n">
        <v>93.2</v>
      </c>
      <c r="M12" s="17" t="n">
        <v>0</v>
      </c>
      <c r="N12" s="18" t="n">
        <v>51.3</v>
      </c>
      <c r="O12" s="103">
        <f>COUNTIFS($E:$E,$E12,$L:$L,"&gt;"&amp;$L12)+1</f>
        <v/>
      </c>
      <c r="P12" s="103">
        <f>COUNTIFS($E:$E,$E12,$M:$M,"&gt;"&amp;$M12)+1</f>
        <v/>
      </c>
      <c r="Q12" s="103">
        <f>COUNTIFS($E:$E,$E12,$N:$N,"&gt;"&amp;$N12)+1</f>
        <v/>
      </c>
      <c r="R12" s="107" t="inlineStr">
        <is>
          <t>🔥 Hot</t>
        </is>
      </c>
      <c r="S12" s="107" t="inlineStr">
        <is>
          <t>🔴 Not Qualified</t>
        </is>
      </c>
      <c r="T12" s="107" t="inlineStr">
        <is>
          <t>⚠️ Watch</t>
        </is>
      </c>
      <c r="U12" s="69" t="inlineStr">
        <is>
          <t>FULL</t>
        </is>
      </c>
    </row>
    <row r="13" ht="16" customHeight="1">
      <c r="A13" s="104" t="n">
        <v>9</v>
      </c>
      <c r="B13" s="105" t="inlineStr">
        <is>
          <t>LIC MF Aggressive Hybrid Fund-Regular Plan-Growth</t>
        </is>
      </c>
      <c r="C13" s="105" t="inlineStr">
        <is>
          <t>LIC Mutual Fund</t>
        </is>
      </c>
      <c r="D13" s="105" t="inlineStr">
        <is>
          <t>Aggressive Hybrid Fund</t>
        </is>
      </c>
      <c r="E13" s="105" t="inlineStr">
        <is>
          <t>Aggressive Hybrid Fund</t>
        </is>
      </c>
      <c r="F13" s="106" t="n">
        <v>3.72</v>
      </c>
      <c r="G13" s="106" t="n">
        <v>7.17</v>
      </c>
      <c r="H13" s="106" t="n">
        <v>3.77</v>
      </c>
      <c r="I13" s="106" t="n">
        <v>5.46</v>
      </c>
      <c r="J13" s="106" t="n">
        <v>3.426302263979264</v>
      </c>
      <c r="K13" s="106" t="n">
        <v>39.39</v>
      </c>
      <c r="L13" s="16" t="n">
        <v>90.8</v>
      </c>
      <c r="M13" s="17" t="n">
        <v>0</v>
      </c>
      <c r="N13" s="23" t="n">
        <v>49.9</v>
      </c>
      <c r="O13" s="103">
        <f>COUNTIFS($E:$E,$E13,$L:$L,"&gt;"&amp;$L13)+1</f>
        <v/>
      </c>
      <c r="P13" s="103">
        <f>COUNTIFS($E:$E,$E13,$M:$M,"&gt;"&amp;$M13)+1</f>
        <v/>
      </c>
      <c r="Q13" s="103">
        <f>COUNTIFS($E:$E,$E13,$N:$N,"&gt;"&amp;$N13)+1</f>
        <v/>
      </c>
      <c r="R13" s="107" t="inlineStr">
        <is>
          <t>🔥 Hot</t>
        </is>
      </c>
      <c r="S13" s="107" t="inlineStr">
        <is>
          <t>🔴 Not Qualified</t>
        </is>
      </c>
      <c r="T13" s="107" t="inlineStr">
        <is>
          <t>⚠️ Watch</t>
        </is>
      </c>
      <c r="U13" s="69" t="inlineStr">
        <is>
          <t>FULL</t>
        </is>
      </c>
    </row>
    <row r="14" ht="16" customHeight="1">
      <c r="A14" s="104" t="n">
        <v>10</v>
      </c>
      <c r="B14" s="105" t="inlineStr">
        <is>
          <t>Aditya Birla Sun Life Balanced Advantage Fund - Regular Plan - Growth Option</t>
        </is>
      </c>
      <c r="C14" s="105" t="inlineStr">
        <is>
          <t>Aditya Birla Sun Life Mutual Fund</t>
        </is>
      </c>
      <c r="D14" s="105" t="inlineStr">
        <is>
          <t>Dynamic Asset Allocation Or Balanced Advantage</t>
        </is>
      </c>
      <c r="E14" s="105" t="inlineStr">
        <is>
          <t>Dynamic Asset Allocation Or Balanced Advantage</t>
        </is>
      </c>
      <c r="F14" s="106" t="n">
        <v>1.54</v>
      </c>
      <c r="G14" s="106" t="n">
        <v>5.57</v>
      </c>
      <c r="H14" s="106" t="n">
        <v>3.55</v>
      </c>
      <c r="I14" s="106" t="n">
        <v>8.34</v>
      </c>
      <c r="J14" s="106" t="n">
        <v>6.625512894428787</v>
      </c>
      <c r="K14" s="106" t="n">
        <v>39.77</v>
      </c>
      <c r="L14" s="16" t="n">
        <v>89.7</v>
      </c>
      <c r="M14" s="17" t="n">
        <v>0</v>
      </c>
      <c r="N14" s="23" t="n">
        <v>49.3</v>
      </c>
      <c r="O14" s="103">
        <f>COUNTIFS($E:$E,$E14,$L:$L,"&gt;"&amp;$L14)+1</f>
        <v/>
      </c>
      <c r="P14" s="103">
        <f>COUNTIFS($E:$E,$E14,$M:$M,"&gt;"&amp;$M14)+1</f>
        <v/>
      </c>
      <c r="Q14" s="103">
        <f>COUNTIFS($E:$E,$E14,$N:$N,"&gt;"&amp;$N14)+1</f>
        <v/>
      </c>
      <c r="R14" s="107" t="inlineStr">
        <is>
          <t>⭐ Strong</t>
        </is>
      </c>
      <c r="S14" s="107" t="inlineStr">
        <is>
          <t>🔴 Not Qualified</t>
        </is>
      </c>
      <c r="T14" s="107" t="inlineStr">
        <is>
          <t>⚠️ Watch</t>
        </is>
      </c>
      <c r="U14" s="69" t="inlineStr">
        <is>
          <t>FULL</t>
        </is>
      </c>
    </row>
    <row r="15" ht="16" customHeight="1">
      <c r="A15" s="81" t="n">
        <v>11</v>
      </c>
      <c r="B15" s="82" t="inlineStr">
        <is>
          <t>Bandhan Aggressive Hybrid Fund-Regular Plan Growth</t>
        </is>
      </c>
      <c r="C15" s="82" t="inlineStr">
        <is>
          <t>Bandhan Mutual Fund</t>
        </is>
      </c>
      <c r="D15" s="82" t="inlineStr">
        <is>
          <t>Aggressive Hybrid Fund</t>
        </is>
      </c>
      <c r="E15" s="82" t="inlineStr">
        <is>
          <t>Aggressive Hybrid Fund</t>
        </is>
      </c>
      <c r="F15" s="83" t="n">
        <v>2.04</v>
      </c>
      <c r="G15" s="83" t="n">
        <v>6.98</v>
      </c>
      <c r="H15" s="83" t="n">
        <v>3.55</v>
      </c>
      <c r="I15" s="83" t="n">
        <v>9.58</v>
      </c>
      <c r="J15" s="83" t="n">
        <v>7.995370271137081</v>
      </c>
      <c r="K15" s="83" t="n">
        <v>50.07</v>
      </c>
      <c r="L15" s="16" t="n">
        <v>88.8</v>
      </c>
      <c r="M15" s="17" t="n">
        <v>0</v>
      </c>
      <c r="N15" s="23" t="n">
        <v>48.9</v>
      </c>
      <c r="O15" s="103">
        <f>COUNTIFS($E:$E,$E15,$L:$L,"&gt;"&amp;$L15)+1</f>
        <v/>
      </c>
      <c r="P15" s="103">
        <f>COUNTIFS($E:$E,$E15,$M:$M,"&gt;"&amp;$M15)+1</f>
        <v/>
      </c>
      <c r="Q15" s="103">
        <f>COUNTIFS($E:$E,$E15,$N:$N,"&gt;"&amp;$N15)+1</f>
        <v/>
      </c>
      <c r="R15" s="85" t="inlineStr">
        <is>
          <t>⭐ Strong</t>
        </is>
      </c>
      <c r="S15" s="85" t="inlineStr">
        <is>
          <t>🔴 Not Qualified</t>
        </is>
      </c>
      <c r="T15" s="85" t="inlineStr">
        <is>
          <t>⚠️ Watch</t>
        </is>
      </c>
      <c r="U15" s="69" t="inlineStr">
        <is>
          <t>FULL</t>
        </is>
      </c>
    </row>
    <row r="16" ht="16" customHeight="1">
      <c r="A16" s="77" t="n">
        <v>12</v>
      </c>
      <c r="B16" s="78" t="inlineStr">
        <is>
          <t>Kotak Arbitrage Fund - Regular Plan - Growth</t>
        </is>
      </c>
      <c r="C16" s="78" t="inlineStr">
        <is>
          <t>Kotak Mahindra Mutual Fund</t>
        </is>
      </c>
      <c r="D16" s="78" t="inlineStr">
        <is>
          <t>Arbitrage Fund</t>
        </is>
      </c>
      <c r="E16" s="78" t="inlineStr">
        <is>
          <t>Arbitrage Fund</t>
        </is>
      </c>
      <c r="F16" s="79" t="n">
        <v>0.44</v>
      </c>
      <c r="G16" s="79" t="n">
        <v>1.48</v>
      </c>
      <c r="H16" s="79" t="n">
        <v>2.9</v>
      </c>
      <c r="I16" s="79" t="n">
        <v>5.97</v>
      </c>
      <c r="J16" s="79" t="n">
        <v>6.414284755384236</v>
      </c>
      <c r="K16" s="79" t="n">
        <v>22.17</v>
      </c>
      <c r="L16" s="16" t="n">
        <v>88.3</v>
      </c>
      <c r="M16" s="17" t="n">
        <v>0</v>
      </c>
      <c r="N16" s="23" t="n">
        <v>48.6</v>
      </c>
      <c r="O16" s="103">
        <f>COUNTIFS($E:$E,$E16,$L:$L,"&gt;"&amp;$L16)+1</f>
        <v/>
      </c>
      <c r="P16" s="103">
        <f>COUNTIFS($E:$E,$E16,$M:$M,"&gt;"&amp;$M16)+1</f>
        <v/>
      </c>
      <c r="Q16" s="103">
        <f>COUNTIFS($E:$E,$E16,$N:$N,"&gt;"&amp;$N16)+1</f>
        <v/>
      </c>
      <c r="R16" s="80" t="inlineStr">
        <is>
          <t>⭐ Strong</t>
        </is>
      </c>
      <c r="S16" s="80" t="inlineStr">
        <is>
          <t>🔴 Not Qualified</t>
        </is>
      </c>
      <c r="T16" s="80" t="inlineStr">
        <is>
          <t>⚠️ Watch</t>
        </is>
      </c>
      <c r="U16" s="69" t="inlineStr">
        <is>
          <t>FULL</t>
        </is>
      </c>
    </row>
    <row r="17" ht="16" customHeight="1">
      <c r="A17" s="81" t="n">
        <v>13</v>
      </c>
      <c r="B17" s="82" t="inlineStr">
        <is>
          <t>Nippon India Conservative Hybrid  Fund-Growth Plan</t>
        </is>
      </c>
      <c r="C17" s="82" t="inlineStr">
        <is>
          <t>Nippon India Mutual Fund</t>
        </is>
      </c>
      <c r="D17" s="82" t="inlineStr">
        <is>
          <t>Conservative Hybrid Fund</t>
        </is>
      </c>
      <c r="E17" s="82" t="inlineStr">
        <is>
          <t>Conservative Hybrid Fund</t>
        </is>
      </c>
      <c r="F17" s="83" t="n">
        <v>0.79</v>
      </c>
      <c r="G17" s="83" t="n">
        <v>2.99</v>
      </c>
      <c r="H17" s="83" t="n">
        <v>2.56</v>
      </c>
      <c r="I17" s="83" t="n">
        <v>7.22</v>
      </c>
      <c r="J17" s="83" t="n">
        <v>7.531390765673618</v>
      </c>
      <c r="K17" s="83" t="n">
        <v>26.82</v>
      </c>
      <c r="L17" s="16" t="n">
        <v>87.8</v>
      </c>
      <c r="M17" s="17" t="n">
        <v>0</v>
      </c>
      <c r="N17" s="23" t="n">
        <v>48.3</v>
      </c>
      <c r="O17" s="103">
        <f>COUNTIFS($E:$E,$E17,$L:$L,"&gt;"&amp;$L17)+1</f>
        <v/>
      </c>
      <c r="P17" s="103">
        <f>COUNTIFS($E:$E,$E17,$M:$M,"&gt;"&amp;$M17)+1</f>
        <v/>
      </c>
      <c r="Q17" s="103">
        <f>COUNTIFS($E:$E,$E17,$N:$N,"&gt;"&amp;$N17)+1</f>
        <v/>
      </c>
      <c r="R17" s="85" t="inlineStr">
        <is>
          <t>⭐ Strong</t>
        </is>
      </c>
      <c r="S17" s="85" t="inlineStr">
        <is>
          <t>🔴 Not Qualified</t>
        </is>
      </c>
      <c r="T17" s="85" t="inlineStr">
        <is>
          <t>⚠️ Watch</t>
        </is>
      </c>
      <c r="U17" s="69" t="inlineStr">
        <is>
          <t>FULL</t>
        </is>
      </c>
    </row>
    <row r="18" ht="16" customHeight="1">
      <c r="A18" s="77" t="n">
        <v>14</v>
      </c>
      <c r="B18" s="78" t="inlineStr">
        <is>
          <t>Aditya Birla Sun Life Regular Savings Fund - Growth / Payment - Direct Plan</t>
        </is>
      </c>
      <c r="C18" s="78" t="inlineStr">
        <is>
          <t>Aditya Birla Sun Life Mutual Fund</t>
        </is>
      </c>
      <c r="D18" s="78" t="inlineStr">
        <is>
          <t>Conservative Hybrid Fund</t>
        </is>
      </c>
      <c r="E18" s="78" t="inlineStr">
        <is>
          <t>Conservative Hybrid Fund</t>
        </is>
      </c>
      <c r="F18" s="79" t="n">
        <v>0.67</v>
      </c>
      <c r="G18" s="79" t="n">
        <v>3.47</v>
      </c>
      <c r="H18" s="79" t="n">
        <v>2.52</v>
      </c>
      <c r="I18" s="79" t="n">
        <v>6.34</v>
      </c>
      <c r="J18" s="79" t="n">
        <v>7.517440445724888</v>
      </c>
      <c r="K18" s="79" t="n">
        <v>30.9</v>
      </c>
      <c r="L18" s="16" t="n">
        <v>87.5</v>
      </c>
      <c r="M18" s="17" t="n">
        <v>0</v>
      </c>
      <c r="N18" s="23" t="n">
        <v>48.1</v>
      </c>
      <c r="O18" s="103">
        <f>COUNTIFS($E:$E,$E18,$L:$L,"&gt;"&amp;$L18)+1</f>
        <v/>
      </c>
      <c r="P18" s="103">
        <f>COUNTIFS($E:$E,$E18,$M:$M,"&gt;"&amp;$M18)+1</f>
        <v/>
      </c>
      <c r="Q18" s="103">
        <f>COUNTIFS($E:$E,$E18,$N:$N,"&gt;"&amp;$N18)+1</f>
        <v/>
      </c>
      <c r="R18" s="80" t="inlineStr">
        <is>
          <t>⭐ Strong</t>
        </is>
      </c>
      <c r="S18" s="80" t="inlineStr">
        <is>
          <t>🔴 Not Qualified</t>
        </is>
      </c>
      <c r="T18" s="80" t="inlineStr">
        <is>
          <t>⚠️ Watch</t>
        </is>
      </c>
      <c r="U18" s="69" t="inlineStr">
        <is>
          <t>FULL</t>
        </is>
      </c>
    </row>
    <row r="19" ht="16" customHeight="1">
      <c r="A19" s="81" t="n">
        <v>15</v>
      </c>
      <c r="B19" s="82" t="inlineStr">
        <is>
          <t>Union Arbitrage Fund - Regular Plan - Growth Option</t>
        </is>
      </c>
      <c r="C19" s="82" t="inlineStr">
        <is>
          <t>Union Mutual Fund</t>
        </is>
      </c>
      <c r="D19" s="82" t="inlineStr">
        <is>
          <t>Arbitrage Fund</t>
        </is>
      </c>
      <c r="E19" s="82" t="inlineStr">
        <is>
          <t>Arbitrage Fund</t>
        </is>
      </c>
      <c r="F19" s="83" t="n">
        <v>0.49</v>
      </c>
      <c r="G19" s="83" t="n">
        <v>1.52</v>
      </c>
      <c r="H19" s="83" t="n">
        <v>2.91</v>
      </c>
      <c r="I19" s="83" t="n">
        <v>5.81</v>
      </c>
      <c r="J19" s="83" t="n">
        <v>6.146125694723303</v>
      </c>
      <c r="K19" s="83" t="n">
        <v>21.22</v>
      </c>
      <c r="L19" s="16" t="n">
        <v>85.90000000000001</v>
      </c>
      <c r="M19" s="17" t="n">
        <v>0</v>
      </c>
      <c r="N19" s="23" t="n">
        <v>47.3</v>
      </c>
      <c r="O19" s="103">
        <f>COUNTIFS($E:$E,$E19,$L:$L,"&gt;"&amp;$L19)+1</f>
        <v/>
      </c>
      <c r="P19" s="103">
        <f>COUNTIFS($E:$E,$E19,$M:$M,"&gt;"&amp;$M19)+1</f>
        <v/>
      </c>
      <c r="Q19" s="103">
        <f>COUNTIFS($E:$E,$E19,$N:$N,"&gt;"&amp;$N19)+1</f>
        <v/>
      </c>
      <c r="R19" s="85" t="inlineStr">
        <is>
          <t>⭐ Strong</t>
        </is>
      </c>
      <c r="S19" s="85" t="inlineStr">
        <is>
          <t>🔴 Not Qualified</t>
        </is>
      </c>
      <c r="T19" s="85" t="inlineStr">
        <is>
          <t>⚠️ Watch</t>
        </is>
      </c>
      <c r="U19" s="69" t="inlineStr">
        <is>
          <t>FULL</t>
        </is>
      </c>
    </row>
    <row r="20" ht="16" customHeight="1">
      <c r="A20" s="77" t="n">
        <v>16</v>
      </c>
      <c r="B20" s="78" t="inlineStr">
        <is>
          <t>LIC MF Balanced Advantage Fund-Regular Plan-Growth</t>
        </is>
      </c>
      <c r="C20" s="78" t="inlineStr">
        <is>
          <t>LIC Mutual Fund</t>
        </is>
      </c>
      <c r="D20" s="78" t="inlineStr">
        <is>
          <t>Dynamic Asset Allocation Or Balanced Advantage</t>
        </is>
      </c>
      <c r="E20" s="78" t="inlineStr">
        <is>
          <t>Dynamic Asset Allocation Or Balanced Advantage</t>
        </is>
      </c>
      <c r="F20" s="79" t="n">
        <v>3.71</v>
      </c>
      <c r="G20" s="79" t="n">
        <v>7.7</v>
      </c>
      <c r="H20" s="79" t="n">
        <v>3.23</v>
      </c>
      <c r="I20" s="79" t="n">
        <v>4.2</v>
      </c>
      <c r="J20" s="79" t="n">
        <v>3.870111196628656</v>
      </c>
      <c r="K20" s="79" t="n">
        <v>26.24</v>
      </c>
      <c r="L20" s="16" t="n">
        <v>85.09999999999999</v>
      </c>
      <c r="M20" s="17" t="n">
        <v>0</v>
      </c>
      <c r="N20" s="23" t="n">
        <v>46.8</v>
      </c>
      <c r="O20" s="103">
        <f>COUNTIFS($E:$E,$E20,$L:$L,"&gt;"&amp;$L20)+1</f>
        <v/>
      </c>
      <c r="P20" s="103">
        <f>COUNTIFS($E:$E,$E20,$M:$M,"&gt;"&amp;$M20)+1</f>
        <v/>
      </c>
      <c r="Q20" s="103">
        <f>COUNTIFS($E:$E,$E20,$N:$N,"&gt;"&amp;$N20)+1</f>
        <v/>
      </c>
      <c r="R20" s="80" t="inlineStr">
        <is>
          <t>⭐ Strong</t>
        </is>
      </c>
      <c r="S20" s="80" t="inlineStr">
        <is>
          <t>🔴 Not Qualified</t>
        </is>
      </c>
      <c r="T20" s="80" t="inlineStr">
        <is>
          <t>⚠️ Watch</t>
        </is>
      </c>
      <c r="U20" s="69" t="inlineStr">
        <is>
          <t>FULL</t>
        </is>
      </c>
    </row>
    <row r="21" ht="16" customHeight="1">
      <c r="A21" s="81" t="n">
        <v>17</v>
      </c>
      <c r="B21" s="82" t="inlineStr">
        <is>
          <t>UTI - Unit Linked Insurance Plan</t>
        </is>
      </c>
      <c r="C21" s="82" t="inlineStr">
        <is>
          <t>UTI Mutual Fund</t>
        </is>
      </c>
      <c r="D21" s="82" t="inlineStr">
        <is>
          <t>Dynamic Asset Allocation Or Balanced Advantage</t>
        </is>
      </c>
      <c r="E21" s="82" t="inlineStr">
        <is>
          <t>Dynamic Asset Allocation Or Balanced Advantage</t>
        </is>
      </c>
      <c r="F21" s="83" t="n">
        <v>1.83</v>
      </c>
      <c r="G21" s="83" t="n">
        <v>6.51</v>
      </c>
      <c r="H21" s="83" t="n">
        <v>4.04</v>
      </c>
      <c r="I21" s="83" t="n">
        <v>3.98</v>
      </c>
      <c r="J21" s="83" t="n">
        <v>5.104709694665921</v>
      </c>
      <c r="K21" s="83" t="n">
        <v>27.02</v>
      </c>
      <c r="L21" s="16" t="n">
        <v>84.3</v>
      </c>
      <c r="M21" s="17" t="n">
        <v>0</v>
      </c>
      <c r="N21" s="23" t="n">
        <v>46.3</v>
      </c>
      <c r="O21" s="103">
        <f>COUNTIFS($E:$E,$E21,$L:$L,"&gt;"&amp;$L21)+1</f>
        <v/>
      </c>
      <c r="P21" s="103">
        <f>COUNTIFS($E:$E,$E21,$M:$M,"&gt;"&amp;$M21)+1</f>
        <v/>
      </c>
      <c r="Q21" s="103">
        <f>COUNTIFS($E:$E,$E21,$N:$N,"&gt;"&amp;$N21)+1</f>
        <v/>
      </c>
      <c r="R21" s="85" t="inlineStr">
        <is>
          <t>⭐ Strong</t>
        </is>
      </c>
      <c r="S21" s="85" t="inlineStr">
        <is>
          <t>🔴 Not Qualified</t>
        </is>
      </c>
      <c r="T21" s="85" t="inlineStr">
        <is>
          <t>⚠️ Watch</t>
        </is>
      </c>
      <c r="U21" s="69" t="inlineStr">
        <is>
          <t>FULL</t>
        </is>
      </c>
    </row>
    <row r="22" ht="16" customHeight="1">
      <c r="A22" s="77" t="n">
        <v>18</v>
      </c>
      <c r="B22" s="78" t="inlineStr">
        <is>
          <t>Baroda BNP Paribas Balanced Advantage Fund-Regular Plan -Growth Option</t>
        </is>
      </c>
      <c r="C22" s="78" t="inlineStr">
        <is>
          <t>Baroda BNP Paribas Mutual Fund</t>
        </is>
      </c>
      <c r="D22" s="78" t="inlineStr">
        <is>
          <t>Dynamic Asset Allocation Or Balanced Advantage</t>
        </is>
      </c>
      <c r="E22" s="78" t="inlineStr">
        <is>
          <t>Dynamic Asset Allocation Or Balanced Advantage</t>
        </is>
      </c>
      <c r="F22" s="79" t="n">
        <v>1.61</v>
      </c>
      <c r="G22" s="79" t="n">
        <v>4.08</v>
      </c>
      <c r="H22" s="79" t="n">
        <v>2.77</v>
      </c>
      <c r="I22" s="79" t="n">
        <v>8.550000000000001</v>
      </c>
      <c r="J22" s="79" t="n">
        <v>6.212052046836947</v>
      </c>
      <c r="K22" s="79" t="n">
        <v>42.72</v>
      </c>
      <c r="L22" s="16" t="n">
        <v>83.7</v>
      </c>
      <c r="M22" s="17" t="n">
        <v>0</v>
      </c>
      <c r="N22" s="23" t="n">
        <v>46</v>
      </c>
      <c r="O22" s="103">
        <f>COUNTIFS($E:$E,$E22,$L:$L,"&gt;"&amp;$L22)+1</f>
        <v/>
      </c>
      <c r="P22" s="103">
        <f>COUNTIFS($E:$E,$E22,$M:$M,"&gt;"&amp;$M22)+1</f>
        <v/>
      </c>
      <c r="Q22" s="103">
        <f>COUNTIFS($E:$E,$E22,$N:$N,"&gt;"&amp;$N22)+1</f>
        <v/>
      </c>
      <c r="R22" s="80" t="inlineStr">
        <is>
          <t>⭐ Strong</t>
        </is>
      </c>
      <c r="S22" s="80" t="inlineStr">
        <is>
          <t>🔴 Not Qualified</t>
        </is>
      </c>
      <c r="T22" s="80" t="inlineStr">
        <is>
          <t>⚠️ Watch</t>
        </is>
      </c>
      <c r="U22" s="69" t="inlineStr">
        <is>
          <t>FULL</t>
        </is>
      </c>
    </row>
    <row r="23" ht="16" customHeight="1">
      <c r="A23" s="81" t="n">
        <v>19</v>
      </c>
      <c r="B23" s="82" t="inlineStr">
        <is>
          <t>Edelweiss Balanced Advantage Fund - Regular Plan - Growth Option</t>
        </is>
      </c>
      <c r="C23" s="82" t="inlineStr">
        <is>
          <t>Edelweiss Mutual Fund</t>
        </is>
      </c>
      <c r="D23" s="82" t="inlineStr">
        <is>
          <t>Dynamic Asset Allocation Or Balanced Advantage</t>
        </is>
      </c>
      <c r="E23" s="82" t="inlineStr">
        <is>
          <t>Dynamic Asset Allocation Or Balanced Advantage</t>
        </is>
      </c>
      <c r="F23" s="83" t="n">
        <v>1.9</v>
      </c>
      <c r="G23" s="83" t="n">
        <v>4.61</v>
      </c>
      <c r="H23" s="83" t="n">
        <v>1.63</v>
      </c>
      <c r="I23" s="83" t="n">
        <v>6.8</v>
      </c>
      <c r="J23" s="83" t="n">
        <v>3.706316104661633</v>
      </c>
      <c r="K23" s="83" t="n">
        <v>35.24</v>
      </c>
      <c r="L23" s="16" t="n">
        <v>82.8</v>
      </c>
      <c r="M23" s="17" t="n">
        <v>0</v>
      </c>
      <c r="N23" s="23" t="n">
        <v>45.5</v>
      </c>
      <c r="O23" s="103">
        <f>COUNTIFS($E:$E,$E23,$L:$L,"&gt;"&amp;$L23)+1</f>
        <v/>
      </c>
      <c r="P23" s="103">
        <f>COUNTIFS($E:$E,$E23,$M:$M,"&gt;"&amp;$M23)+1</f>
        <v/>
      </c>
      <c r="Q23" s="103">
        <f>COUNTIFS($E:$E,$E23,$N:$N,"&gt;"&amp;$N23)+1</f>
        <v/>
      </c>
      <c r="R23" s="85" t="inlineStr">
        <is>
          <t>⭐ Strong</t>
        </is>
      </c>
      <c r="S23" s="85" t="inlineStr">
        <is>
          <t>🔴 Not Qualified</t>
        </is>
      </c>
      <c r="T23" s="85" t="inlineStr">
        <is>
          <t>⚠️ Watch</t>
        </is>
      </c>
      <c r="U23" s="69" t="inlineStr">
        <is>
          <t>FULL</t>
        </is>
      </c>
    </row>
    <row r="24" ht="16" customHeight="1">
      <c r="A24" s="77" t="n">
        <v>20</v>
      </c>
      <c r="B24" s="78" t="inlineStr">
        <is>
          <t>Axis Equity Savings Fund - Regular Plan - Growth</t>
        </is>
      </c>
      <c r="C24" s="78" t="inlineStr">
        <is>
          <t>Axis Mutual Fund</t>
        </is>
      </c>
      <c r="D24" s="78" t="inlineStr">
        <is>
          <t>Equity Savings</t>
        </is>
      </c>
      <c r="E24" s="78" t="inlineStr">
        <is>
          <t>Equity Savings</t>
        </is>
      </c>
      <c r="F24" s="79" t="n">
        <v>1</v>
      </c>
      <c r="G24" s="79" t="n">
        <v>4.3</v>
      </c>
      <c r="H24" s="79" t="n">
        <v>2.28</v>
      </c>
      <c r="I24" s="79" t="n">
        <v>5.81</v>
      </c>
      <c r="J24" s="79" t="n">
        <v>4.589674442556713</v>
      </c>
      <c r="K24" s="79" t="n">
        <v>29.72</v>
      </c>
      <c r="L24" s="16" t="n">
        <v>82.5</v>
      </c>
      <c r="M24" s="17" t="n">
        <v>0</v>
      </c>
      <c r="N24" s="23" t="n">
        <v>45.4</v>
      </c>
      <c r="O24" s="103">
        <f>COUNTIFS($E:$E,$E24,$L:$L,"&gt;"&amp;$L24)+1</f>
        <v/>
      </c>
      <c r="P24" s="103">
        <f>COUNTIFS($E:$E,$E24,$M:$M,"&gt;"&amp;$M24)+1</f>
        <v/>
      </c>
      <c r="Q24" s="103">
        <f>COUNTIFS($E:$E,$E24,$N:$N,"&gt;"&amp;$N24)+1</f>
        <v/>
      </c>
      <c r="R24" s="80" t="inlineStr">
        <is>
          <t>⭐ Strong</t>
        </is>
      </c>
      <c r="S24" s="80" t="inlineStr">
        <is>
          <t>🔴 Not Qualified</t>
        </is>
      </c>
      <c r="T24" s="80" t="inlineStr">
        <is>
          <t>⚠️ Watch</t>
        </is>
      </c>
      <c r="U24" s="69" t="inlineStr">
        <is>
          <t>FULL</t>
        </is>
      </c>
    </row>
    <row r="25" ht="16" customHeight="1">
      <c r="A25" s="81" t="n">
        <v>21</v>
      </c>
      <c r="B25" s="82" t="inlineStr">
        <is>
          <t>ICICI Prudential Arbitrage Fund - Growth</t>
        </is>
      </c>
      <c r="C25" s="82" t="inlineStr">
        <is>
          <t>ICICI Prudential Mutual Fund</t>
        </is>
      </c>
      <c r="D25" s="82" t="inlineStr">
        <is>
          <t>Arbitrage Fund</t>
        </is>
      </c>
      <c r="E25" s="82" t="inlineStr">
        <is>
          <t>Arbitrage Fund</t>
        </is>
      </c>
      <c r="F25" s="83" t="n">
        <v>0.43</v>
      </c>
      <c r="G25" s="83" t="n">
        <v>1.46</v>
      </c>
      <c r="H25" s="83" t="n">
        <v>2.9</v>
      </c>
      <c r="I25" s="83" t="n">
        <v>5.94</v>
      </c>
      <c r="J25" s="83" t="n">
        <v>6.414284755384236</v>
      </c>
      <c r="K25" s="83" t="n">
        <v>21.81</v>
      </c>
      <c r="L25" s="16" t="n">
        <v>82.5</v>
      </c>
      <c r="M25" s="17" t="n">
        <v>0</v>
      </c>
      <c r="N25" s="23" t="n">
        <v>45.4</v>
      </c>
      <c r="O25" s="103">
        <f>COUNTIFS($E:$E,$E25,$L:$L,"&gt;"&amp;$L25)+1</f>
        <v/>
      </c>
      <c r="P25" s="103">
        <f>COUNTIFS($E:$E,$E25,$M:$M,"&gt;"&amp;$M25)+1</f>
        <v/>
      </c>
      <c r="Q25" s="103">
        <f>COUNTIFS($E:$E,$E25,$N:$N,"&gt;"&amp;$N25)+1</f>
        <v/>
      </c>
      <c r="R25" s="85" t="inlineStr">
        <is>
          <t>⭐ Strong</t>
        </is>
      </c>
      <c r="S25" s="85" t="inlineStr">
        <is>
          <t>🔴 Not Qualified</t>
        </is>
      </c>
      <c r="T25" s="85" t="inlineStr">
        <is>
          <t>⚠️ Watch</t>
        </is>
      </c>
      <c r="U25" s="69" t="inlineStr">
        <is>
          <t>FULL</t>
        </is>
      </c>
    </row>
    <row r="26" ht="16" customHeight="1">
      <c r="A26" s="77" t="n">
        <v>22</v>
      </c>
      <c r="B26" s="78" t="inlineStr">
        <is>
          <t>CANARA ROBECO CONSERVATIVE HYBRID FUND - REGULAR PLAN - GROWTH OPTION</t>
        </is>
      </c>
      <c r="C26" s="78" t="inlineStr">
        <is>
          <t>Canara Robeco Mutual Fund</t>
        </is>
      </c>
      <c r="D26" s="78" t="inlineStr">
        <is>
          <t>Conservative Hybrid Fund</t>
        </is>
      </c>
      <c r="E26" s="78" t="inlineStr">
        <is>
          <t>Conservative Hybrid Fund</t>
        </is>
      </c>
      <c r="F26" s="79" t="n">
        <v>0.8100000000000001</v>
      </c>
      <c r="G26" s="79" t="n">
        <v>3.7</v>
      </c>
      <c r="H26" s="79" t="n">
        <v>2.6</v>
      </c>
      <c r="I26" s="79" t="n">
        <v>3.22</v>
      </c>
      <c r="J26" s="79" t="n">
        <v>4.647025758021428</v>
      </c>
      <c r="K26" s="79" t="n">
        <v>23.74</v>
      </c>
      <c r="L26" s="16" t="n">
        <v>81.2</v>
      </c>
      <c r="M26" s="17" t="n">
        <v>0</v>
      </c>
      <c r="N26" s="23" t="n">
        <v>44.7</v>
      </c>
      <c r="O26" s="103">
        <f>COUNTIFS($E:$E,$E26,$L:$L,"&gt;"&amp;$L26)+1</f>
        <v/>
      </c>
      <c r="P26" s="103">
        <f>COUNTIFS($E:$E,$E26,$M:$M,"&gt;"&amp;$M26)+1</f>
        <v/>
      </c>
      <c r="Q26" s="103">
        <f>COUNTIFS($E:$E,$E26,$N:$N,"&gt;"&amp;$N26)+1</f>
        <v/>
      </c>
      <c r="R26" s="80" t="inlineStr">
        <is>
          <t>⭐ Strong</t>
        </is>
      </c>
      <c r="S26" s="80" t="inlineStr">
        <is>
          <t>🔴 Not Qualified</t>
        </is>
      </c>
      <c r="T26" s="80" t="inlineStr">
        <is>
          <t>⚠️ Watch</t>
        </is>
      </c>
      <c r="U26" s="69" t="inlineStr">
        <is>
          <t>FULL</t>
        </is>
      </c>
    </row>
    <row r="27" ht="16" customHeight="1">
      <c r="A27" s="81" t="n">
        <v>23</v>
      </c>
      <c r="B27" s="82" t="inlineStr">
        <is>
          <t>SBI Conservative Hybrid Fund - Regular Plan - Growth</t>
        </is>
      </c>
      <c r="C27" s="82" t="inlineStr">
        <is>
          <t>SBI Mutual Fund</t>
        </is>
      </c>
      <c r="D27" s="82" t="inlineStr">
        <is>
          <t>Conservative Hybrid Fund</t>
        </is>
      </c>
      <c r="E27" s="82" t="inlineStr">
        <is>
          <t>Conservative Hybrid Fund</t>
        </is>
      </c>
      <c r="F27" s="83" t="n">
        <v>0.55</v>
      </c>
      <c r="G27" s="83" t="n">
        <v>2.5</v>
      </c>
      <c r="H27" s="83" t="n">
        <v>2.82</v>
      </c>
      <c r="I27" s="83" t="n">
        <v>6.09</v>
      </c>
      <c r="J27" s="83" t="n">
        <v>5.645634079217876</v>
      </c>
      <c r="K27" s="83" t="n">
        <v>28.14</v>
      </c>
      <c r="L27" s="16" t="n">
        <v>79.5</v>
      </c>
      <c r="M27" s="17" t="n">
        <v>0</v>
      </c>
      <c r="N27" s="23" t="n">
        <v>43.7</v>
      </c>
      <c r="O27" s="103">
        <f>COUNTIFS($E:$E,$E27,$L:$L,"&gt;"&amp;$L27)+1</f>
        <v/>
      </c>
      <c r="P27" s="103">
        <f>COUNTIFS($E:$E,$E27,$M:$M,"&gt;"&amp;$M27)+1</f>
        <v/>
      </c>
      <c r="Q27" s="103">
        <f>COUNTIFS($E:$E,$E27,$N:$N,"&gt;"&amp;$N27)+1</f>
        <v/>
      </c>
      <c r="R27" s="85" t="inlineStr">
        <is>
          <t>⭐ Strong</t>
        </is>
      </c>
      <c r="S27" s="85" t="inlineStr">
        <is>
          <t>🔴 Not Qualified</t>
        </is>
      </c>
      <c r="T27" s="85" t="inlineStr">
        <is>
          <t>⚠️ Watch</t>
        </is>
      </c>
      <c r="U27" s="69" t="inlineStr">
        <is>
          <t>FULL</t>
        </is>
      </c>
    </row>
    <row r="28" ht="16" customHeight="1">
      <c r="A28" s="77" t="n">
        <v>24</v>
      </c>
      <c r="B28" s="78" t="inlineStr">
        <is>
          <t>Motilal Oswal Balanced Advantage Fund (MOFDYNAMIC) - Regular Plan - Growth Option</t>
        </is>
      </c>
      <c r="C28" s="78" t="inlineStr">
        <is>
          <t>Motilal Oswal Mutual Fund</t>
        </is>
      </c>
      <c r="D28" s="78" t="inlineStr">
        <is>
          <t>Dynamic Asset Allocation Or Balanced Advantage</t>
        </is>
      </c>
      <c r="E28" s="78" t="inlineStr">
        <is>
          <t>Dynamic Asset Allocation Or Balanced Advantage</t>
        </is>
      </c>
      <c r="F28" s="79" t="n">
        <v>5.42</v>
      </c>
      <c r="G28" s="79" t="n">
        <v>9.34</v>
      </c>
      <c r="H28" s="79" t="n">
        <v>6.19</v>
      </c>
      <c r="I28" s="86" t="n">
        <v>-0.52</v>
      </c>
      <c r="J28" s="86" t="n">
        <v>-5.068445709553449</v>
      </c>
      <c r="K28" s="79" t="n">
        <v>8.220000000000001</v>
      </c>
      <c r="L28" s="16" t="n">
        <v>79</v>
      </c>
      <c r="M28" s="17" t="n">
        <v>0</v>
      </c>
      <c r="N28" s="23" t="n">
        <v>43.4</v>
      </c>
      <c r="O28" s="103">
        <f>COUNTIFS($E:$E,$E28,$L:$L,"&gt;"&amp;$L28)+1</f>
        <v/>
      </c>
      <c r="P28" s="103">
        <f>COUNTIFS($E:$E,$E28,$M:$M,"&gt;"&amp;$M28)+1</f>
        <v/>
      </c>
      <c r="Q28" s="103">
        <f>COUNTIFS($E:$E,$E28,$N:$N,"&gt;"&amp;$N28)+1</f>
        <v/>
      </c>
      <c r="R28" s="80" t="inlineStr">
        <is>
          <t>⭐ Strong</t>
        </is>
      </c>
      <c r="S28" s="80" t="inlineStr">
        <is>
          <t>🔴 Not Qualified</t>
        </is>
      </c>
      <c r="T28" s="80" t="inlineStr">
        <is>
          <t>⚠️ Watch</t>
        </is>
      </c>
      <c r="U28" s="69" t="inlineStr">
        <is>
          <t>FULL</t>
        </is>
      </c>
    </row>
    <row r="29" ht="16" customHeight="1">
      <c r="A29" s="81" t="n">
        <v>25</v>
      </c>
      <c r="B29" s="82" t="inlineStr">
        <is>
          <t>Baroda BNP Paribas Equity Savings Fund - Regular Plan - Growth</t>
        </is>
      </c>
      <c r="C29" s="82" t="inlineStr">
        <is>
          <t>Baroda BNP Paribas Mutual Fund</t>
        </is>
      </c>
      <c r="D29" s="82" t="inlineStr">
        <is>
          <t>Equity Savings</t>
        </is>
      </c>
      <c r="E29" s="82" t="inlineStr">
        <is>
          <t>Equity Savings</t>
        </is>
      </c>
      <c r="F29" s="83" t="n">
        <v>1.37</v>
      </c>
      <c r="G29" s="83" t="n">
        <v>3.26</v>
      </c>
      <c r="H29" s="83" t="n">
        <v>2.1</v>
      </c>
      <c r="I29" s="83" t="n">
        <v>5.81</v>
      </c>
      <c r="J29" s="83" t="n">
        <v>5.560409245133191</v>
      </c>
      <c r="K29" s="83" t="n">
        <v>29.98</v>
      </c>
      <c r="L29" s="16" t="n">
        <v>78.59999999999999</v>
      </c>
      <c r="M29" s="17" t="n">
        <v>0</v>
      </c>
      <c r="N29" s="23" t="n">
        <v>43.3</v>
      </c>
      <c r="O29" s="103">
        <f>COUNTIFS($E:$E,$E29,$L:$L,"&gt;"&amp;$L29)+1</f>
        <v/>
      </c>
      <c r="P29" s="103">
        <f>COUNTIFS($E:$E,$E29,$M:$M,"&gt;"&amp;$M29)+1</f>
        <v/>
      </c>
      <c r="Q29" s="103">
        <f>COUNTIFS($E:$E,$E29,$N:$N,"&gt;"&amp;$N29)+1</f>
        <v/>
      </c>
      <c r="R29" s="85" t="inlineStr">
        <is>
          <t>⭐ Strong</t>
        </is>
      </c>
      <c r="S29" s="85" t="inlineStr">
        <is>
          <t>🔴 Not Qualified</t>
        </is>
      </c>
      <c r="T29" s="85" t="inlineStr">
        <is>
          <t>⚠️ Watch</t>
        </is>
      </c>
      <c r="U29" s="69" t="inlineStr">
        <is>
          <t>FULL</t>
        </is>
      </c>
    </row>
    <row r="30" ht="16" customHeight="1">
      <c r="A30" s="77" t="n">
        <v>26</v>
      </c>
      <c r="B30" s="78" t="inlineStr">
        <is>
          <t>LIC MF Arbitrage Fund-Regular Plan-Growth</t>
        </is>
      </c>
      <c r="C30" s="78" t="inlineStr">
        <is>
          <t>LIC Mutual Fund</t>
        </is>
      </c>
      <c r="D30" s="78" t="inlineStr">
        <is>
          <t>Arbitrage Fund</t>
        </is>
      </c>
      <c r="E30" s="78" t="inlineStr">
        <is>
          <t>Arbitrage Fund</t>
        </is>
      </c>
      <c r="F30" s="79" t="n">
        <v>0.44</v>
      </c>
      <c r="G30" s="79" t="n">
        <v>1.48</v>
      </c>
      <c r="H30" s="79" t="n">
        <v>2.9</v>
      </c>
      <c r="I30" s="79" t="n">
        <v>5.85</v>
      </c>
      <c r="J30" s="79" t="n">
        <v>6.18380290797651</v>
      </c>
      <c r="K30" s="79" t="n">
        <v>20.65</v>
      </c>
      <c r="L30" s="16" t="n">
        <v>78.09999999999999</v>
      </c>
      <c r="M30" s="17" t="n">
        <v>0</v>
      </c>
      <c r="N30" s="23" t="n">
        <v>43</v>
      </c>
      <c r="O30" s="103">
        <f>COUNTIFS($E:$E,$E30,$L:$L,"&gt;"&amp;$L30)+1</f>
        <v/>
      </c>
      <c r="P30" s="103">
        <f>COUNTIFS($E:$E,$E30,$M:$M,"&gt;"&amp;$M30)+1</f>
        <v/>
      </c>
      <c r="Q30" s="103">
        <f>COUNTIFS($E:$E,$E30,$N:$N,"&gt;"&amp;$N30)+1</f>
        <v/>
      </c>
      <c r="R30" s="80" t="inlineStr">
        <is>
          <t>⭐ Strong</t>
        </is>
      </c>
      <c r="S30" s="80" t="inlineStr">
        <is>
          <t>🔴 Not Qualified</t>
        </is>
      </c>
      <c r="T30" s="80" t="inlineStr">
        <is>
          <t>⚠️ Watch</t>
        </is>
      </c>
      <c r="U30" s="69" t="inlineStr">
        <is>
          <t>FULL</t>
        </is>
      </c>
    </row>
    <row r="31" ht="16" customHeight="1">
      <c r="A31" s="81" t="n">
        <v>27</v>
      </c>
      <c r="B31" s="82" t="inlineStr">
        <is>
          <t>Aditya Birla Sun Life Regular Savings Fund - Growth / Payment - Regular Plan</t>
        </is>
      </c>
      <c r="C31" s="82" t="inlineStr">
        <is>
          <t>Aditya Birla Sun Life Mutual Fund</t>
        </is>
      </c>
      <c r="D31" s="82" t="inlineStr">
        <is>
          <t>Conservative Hybrid Fund</t>
        </is>
      </c>
      <c r="E31" s="82" t="inlineStr">
        <is>
          <t>Conservative Hybrid Fund</t>
        </is>
      </c>
      <c r="F31" s="83" t="n">
        <v>0.6</v>
      </c>
      <c r="G31" s="83" t="n">
        <v>3.25</v>
      </c>
      <c r="H31" s="83" t="n">
        <v>2.09</v>
      </c>
      <c r="I31" s="83" t="n">
        <v>5.4</v>
      </c>
      <c r="J31" s="83" t="n">
        <v>6.569226327303324</v>
      </c>
      <c r="K31" s="83" t="n">
        <v>27.42</v>
      </c>
      <c r="L31" s="16" t="n">
        <v>77.5</v>
      </c>
      <c r="M31" s="17" t="n">
        <v>0</v>
      </c>
      <c r="N31" s="23" t="n">
        <v>42.6</v>
      </c>
      <c r="O31" s="103">
        <f>COUNTIFS($E:$E,$E31,$L:$L,"&gt;"&amp;$L31)+1</f>
        <v/>
      </c>
      <c r="P31" s="103">
        <f>COUNTIFS($E:$E,$E31,$M:$M,"&gt;"&amp;$M31)+1</f>
        <v/>
      </c>
      <c r="Q31" s="103">
        <f>COUNTIFS($E:$E,$E31,$N:$N,"&gt;"&amp;$N31)+1</f>
        <v/>
      </c>
      <c r="R31" s="85" t="inlineStr">
        <is>
          <t>⭐ Strong</t>
        </is>
      </c>
      <c r="S31" s="85" t="inlineStr">
        <is>
          <t>🔴 Not Qualified</t>
        </is>
      </c>
      <c r="T31" s="85" t="inlineStr">
        <is>
          <t>⚠️ Watch</t>
        </is>
      </c>
      <c r="U31" s="69" t="inlineStr">
        <is>
          <t>FULL</t>
        </is>
      </c>
    </row>
    <row r="32" ht="16" customHeight="1">
      <c r="A32" s="77" t="n">
        <v>28</v>
      </c>
      <c r="B32" s="78" t="inlineStr">
        <is>
          <t>Sundaram Arbitrage Fund (Formerly Know as Principal Arbitrage Fund) - Regular Plan - Growth</t>
        </is>
      </c>
      <c r="C32" s="78" t="inlineStr">
        <is>
          <t>Sundaram Mutual Fund</t>
        </is>
      </c>
      <c r="D32" s="78" t="inlineStr">
        <is>
          <t>Arbitrage Fund</t>
        </is>
      </c>
      <c r="E32" s="78" t="inlineStr">
        <is>
          <t>Arbitrage Fund</t>
        </is>
      </c>
      <c r="F32" s="79" t="n">
        <v>0.42</v>
      </c>
      <c r="G32" s="79" t="n">
        <v>1.46</v>
      </c>
      <c r="H32" s="79" t="n">
        <v>2.91</v>
      </c>
      <c r="I32" s="79" t="n">
        <v>5.94</v>
      </c>
      <c r="J32" s="79" t="n">
        <v>6.207344378814028</v>
      </c>
      <c r="K32" s="79" t="n">
        <v>20.92</v>
      </c>
      <c r="L32" s="16" t="n">
        <v>76.7</v>
      </c>
      <c r="M32" s="17" t="n">
        <v>0</v>
      </c>
      <c r="N32" s="23" t="n">
        <v>42.2</v>
      </c>
      <c r="O32" s="103">
        <f>COUNTIFS($E:$E,$E32,$L:$L,"&gt;"&amp;$L32)+1</f>
        <v/>
      </c>
      <c r="P32" s="103">
        <f>COUNTIFS($E:$E,$E32,$M:$M,"&gt;"&amp;$M32)+1</f>
        <v/>
      </c>
      <c r="Q32" s="103">
        <f>COUNTIFS($E:$E,$E32,$N:$N,"&gt;"&amp;$N32)+1</f>
        <v/>
      </c>
      <c r="R32" s="80" t="inlineStr">
        <is>
          <t>⭐ Strong</t>
        </is>
      </c>
      <c r="S32" s="80" t="inlineStr">
        <is>
          <t>🔴 Not Qualified</t>
        </is>
      </c>
      <c r="T32" s="80" t="inlineStr">
        <is>
          <t>⚠️ Watch</t>
        </is>
      </c>
      <c r="U32" s="69" t="inlineStr">
        <is>
          <t>FULL</t>
        </is>
      </c>
    </row>
    <row r="33" ht="16" customHeight="1">
      <c r="A33" s="81" t="n">
        <v>29</v>
      </c>
      <c r="B33" s="82" t="inlineStr">
        <is>
          <t>LIC MF Equity Savings Fund-Regular Plan-Growth</t>
        </is>
      </c>
      <c r="C33" s="82" t="inlineStr">
        <is>
          <t>LIC Mutual Fund</t>
        </is>
      </c>
      <c r="D33" s="82" t="inlineStr">
        <is>
          <t>Equity Savings</t>
        </is>
      </c>
      <c r="E33" s="82" t="inlineStr">
        <is>
          <t>Equity Savings</t>
        </is>
      </c>
      <c r="F33" s="83" t="n">
        <v>2.15</v>
      </c>
      <c r="G33" s="83" t="n">
        <v>2.52</v>
      </c>
      <c r="H33" s="83" t="n">
        <v>3.14</v>
      </c>
      <c r="I33" s="83" t="n">
        <v>4.02</v>
      </c>
      <c r="J33" s="83" t="n">
        <v>5.304320899002057</v>
      </c>
      <c r="K33" s="83" t="n">
        <v>28.01</v>
      </c>
      <c r="L33" s="16" t="n">
        <v>75.7</v>
      </c>
      <c r="M33" s="17" t="n">
        <v>0</v>
      </c>
      <c r="N33" s="23" t="n">
        <v>41.6</v>
      </c>
      <c r="O33" s="103">
        <f>COUNTIFS($E:$E,$E33,$L:$L,"&gt;"&amp;$L33)+1</f>
        <v/>
      </c>
      <c r="P33" s="103">
        <f>COUNTIFS($E:$E,$E33,$M:$M,"&gt;"&amp;$M33)+1</f>
        <v/>
      </c>
      <c r="Q33" s="103">
        <f>COUNTIFS($E:$E,$E33,$N:$N,"&gt;"&amp;$N33)+1</f>
        <v/>
      </c>
      <c r="R33" s="85" t="inlineStr">
        <is>
          <t>⭐ Strong</t>
        </is>
      </c>
      <c r="S33" s="85" t="inlineStr">
        <is>
          <t>🔴 Not Qualified</t>
        </is>
      </c>
      <c r="T33" s="85" t="inlineStr">
        <is>
          <t>⚠️ Watch</t>
        </is>
      </c>
      <c r="U33" s="69" t="inlineStr">
        <is>
          <t>FULL</t>
        </is>
      </c>
    </row>
    <row r="34" ht="16" customHeight="1">
      <c r="A34" s="77" t="n">
        <v>30</v>
      </c>
      <c r="B34" s="78" t="inlineStr">
        <is>
          <t>WhiteOak Capital Balanced Advantage Fund Regular Plan Growth</t>
        </is>
      </c>
      <c r="C34" s="78" t="inlineStr">
        <is>
          <t>WhiteOak Capital Mutual Fund</t>
        </is>
      </c>
      <c r="D34" s="78" t="inlineStr">
        <is>
          <t>Dynamic Asset Allocation Or Balanced Advantage</t>
        </is>
      </c>
      <c r="E34" s="78" t="inlineStr">
        <is>
          <t>Dynamic Asset Allocation Or Balanced Advantage</t>
        </is>
      </c>
      <c r="F34" s="79" t="n">
        <v>1.17</v>
      </c>
      <c r="G34" s="79" t="n">
        <v>5.74</v>
      </c>
      <c r="H34" s="79" t="n">
        <v>2.46</v>
      </c>
      <c r="I34" s="79" t="n">
        <v>4.59</v>
      </c>
      <c r="J34" s="79" t="n">
        <v>5.669295445744327</v>
      </c>
      <c r="K34" s="79" t="n">
        <v>37.96</v>
      </c>
      <c r="L34" s="16" t="n">
        <v>75</v>
      </c>
      <c r="M34" s="17" t="n">
        <v>0</v>
      </c>
      <c r="N34" s="23" t="n">
        <v>41.2</v>
      </c>
      <c r="O34" s="103">
        <f>COUNTIFS($E:$E,$E34,$L:$L,"&gt;"&amp;$L34)+1</f>
        <v/>
      </c>
      <c r="P34" s="103">
        <f>COUNTIFS($E:$E,$E34,$M:$M,"&gt;"&amp;$M34)+1</f>
        <v/>
      </c>
      <c r="Q34" s="103">
        <f>COUNTIFS($E:$E,$E34,$N:$N,"&gt;"&amp;$N34)+1</f>
        <v/>
      </c>
      <c r="R34" s="80" t="inlineStr">
        <is>
          <t>⭐ Strong</t>
        </is>
      </c>
      <c r="S34" s="80" t="inlineStr">
        <is>
          <t>🔴 Not Qualified</t>
        </is>
      </c>
      <c r="T34" s="80" t="inlineStr">
        <is>
          <t>⚠️ Watch</t>
        </is>
      </c>
      <c r="U34" s="69" t="inlineStr">
        <is>
          <t>FULL</t>
        </is>
      </c>
    </row>
    <row r="35" ht="16" customHeight="1">
      <c r="A35" s="81" t="n">
        <v>31</v>
      </c>
      <c r="B35" s="82" t="inlineStr">
        <is>
          <t>BARODA BNP PARIBAS Conservative Hybrid Fund-Regular Plan-Growth Option</t>
        </is>
      </c>
      <c r="C35" s="82" t="inlineStr">
        <is>
          <t>Baroda BNP Paribas Mutual Fund</t>
        </is>
      </c>
      <c r="D35" s="82" t="inlineStr">
        <is>
          <t>Conservative Hybrid Fund</t>
        </is>
      </c>
      <c r="E35" s="82" t="inlineStr">
        <is>
          <t>Conservative Hybrid Fund</t>
        </is>
      </c>
      <c r="F35" s="83" t="n">
        <v>0.6899999999999999</v>
      </c>
      <c r="G35" s="83" t="n">
        <v>2.82</v>
      </c>
      <c r="H35" s="83" t="n">
        <v>2.16</v>
      </c>
      <c r="I35" s="83" t="n">
        <v>4.89</v>
      </c>
      <c r="J35" s="83" t="n">
        <v>4.91425070027427</v>
      </c>
      <c r="K35" s="83" t="n">
        <v>24.35</v>
      </c>
      <c r="L35" s="16" t="n">
        <v>75</v>
      </c>
      <c r="M35" s="17" t="n">
        <v>0</v>
      </c>
      <c r="N35" s="23" t="n">
        <v>41.2</v>
      </c>
      <c r="O35" s="103">
        <f>COUNTIFS($E:$E,$E35,$L:$L,"&gt;"&amp;$L35)+1</f>
        <v/>
      </c>
      <c r="P35" s="103">
        <f>COUNTIFS($E:$E,$E35,$M:$M,"&gt;"&amp;$M35)+1</f>
        <v/>
      </c>
      <c r="Q35" s="103">
        <f>COUNTIFS($E:$E,$E35,$N:$N,"&gt;"&amp;$N35)+1</f>
        <v/>
      </c>
      <c r="R35" s="85" t="inlineStr">
        <is>
          <t>⭐ Strong</t>
        </is>
      </c>
      <c r="S35" s="85" t="inlineStr">
        <is>
          <t>🔴 Not Qualified</t>
        </is>
      </c>
      <c r="T35" s="85" t="inlineStr">
        <is>
          <t>⚠️ Watch</t>
        </is>
      </c>
      <c r="U35" s="69" t="inlineStr">
        <is>
          <t>FULL</t>
        </is>
      </c>
    </row>
    <row r="36" ht="16" customHeight="1">
      <c r="A36" s="77" t="n">
        <v>32</v>
      </c>
      <c r="B36" s="78" t="inlineStr">
        <is>
          <t>Mahindra Manulife Equity Savings Fund - Regular Plan - Growth</t>
        </is>
      </c>
      <c r="C36" s="78" t="inlineStr">
        <is>
          <t>Mahindra Manulife Mutual Fund</t>
        </is>
      </c>
      <c r="D36" s="78" t="inlineStr">
        <is>
          <t>Equity Savings</t>
        </is>
      </c>
      <c r="E36" s="78" t="inlineStr">
        <is>
          <t>Equity Savings</t>
        </is>
      </c>
      <c r="F36" s="79" t="n">
        <v>0.71</v>
      </c>
      <c r="G36" s="79" t="n">
        <v>3.47</v>
      </c>
      <c r="H36" s="79" t="n">
        <v>1.74</v>
      </c>
      <c r="I36" s="79" t="n">
        <v>6.56</v>
      </c>
      <c r="J36" s="79" t="n">
        <v>4.857045542967686</v>
      </c>
      <c r="K36" s="79" t="n">
        <v>28.44</v>
      </c>
      <c r="L36" s="84" t="n">
        <v>74.09999999999999</v>
      </c>
      <c r="M36" s="17" t="n">
        <v>0</v>
      </c>
      <c r="N36" s="23" t="n">
        <v>40.8</v>
      </c>
      <c r="O36" s="103">
        <f>COUNTIFS($E:$E,$E36,$L:$L,"&gt;"&amp;$L36)+1</f>
        <v/>
      </c>
      <c r="P36" s="103">
        <f>COUNTIFS($E:$E,$E36,$M:$M,"&gt;"&amp;$M36)+1</f>
        <v/>
      </c>
      <c r="Q36" s="103">
        <f>COUNTIFS($E:$E,$E36,$N:$N,"&gt;"&amp;$N36)+1</f>
        <v/>
      </c>
      <c r="R36" s="80" t="inlineStr">
        <is>
          <t>📈 Good</t>
        </is>
      </c>
      <c r="S36" s="80" t="inlineStr">
        <is>
          <t>🔴 Not Qualified</t>
        </is>
      </c>
      <c r="T36" s="80" t="inlineStr">
        <is>
          <t>⚠️ Watch</t>
        </is>
      </c>
      <c r="U36" s="69" t="inlineStr">
        <is>
          <t>FULL</t>
        </is>
      </c>
    </row>
    <row r="37" ht="16" customHeight="1">
      <c r="A37" s="81" t="n">
        <v>33</v>
      </c>
      <c r="B37" s="82" t="inlineStr">
        <is>
          <t>Union Aggressive Hybrid Fund - Regular Plan - Growth Option</t>
        </is>
      </c>
      <c r="C37" s="82" t="inlineStr">
        <is>
          <t>Union Mutual Fund</t>
        </is>
      </c>
      <c r="D37" s="82" t="inlineStr">
        <is>
          <t>Aggressive Hybrid Fund</t>
        </is>
      </c>
      <c r="E37" s="82" t="inlineStr">
        <is>
          <t>Aggressive Hybrid Fund</t>
        </is>
      </c>
      <c r="F37" s="83" t="n">
        <v>1.24</v>
      </c>
      <c r="G37" s="83" t="n">
        <v>6.44</v>
      </c>
      <c r="H37" s="83" t="n">
        <v>1.89</v>
      </c>
      <c r="I37" s="83" t="n">
        <v>5.55</v>
      </c>
      <c r="J37" s="83" t="n">
        <v>4.000000000000004</v>
      </c>
      <c r="K37" s="83" t="n">
        <v>36.75</v>
      </c>
      <c r="L37" s="84" t="n">
        <v>73.09999999999999</v>
      </c>
      <c r="M37" s="17" t="n">
        <v>0</v>
      </c>
      <c r="N37" s="23" t="n">
        <v>40.2</v>
      </c>
      <c r="O37" s="103">
        <f>COUNTIFS($E:$E,$E37,$L:$L,"&gt;"&amp;$L37)+1</f>
        <v/>
      </c>
      <c r="P37" s="103">
        <f>COUNTIFS($E:$E,$E37,$M:$M,"&gt;"&amp;$M37)+1</f>
        <v/>
      </c>
      <c r="Q37" s="103">
        <f>COUNTIFS($E:$E,$E37,$N:$N,"&gt;"&amp;$N37)+1</f>
        <v/>
      </c>
      <c r="R37" s="85" t="inlineStr">
        <is>
          <t>📈 Good</t>
        </is>
      </c>
      <c r="S37" s="85" t="inlineStr">
        <is>
          <t>🔴 Not Qualified</t>
        </is>
      </c>
      <c r="T37" s="85" t="inlineStr">
        <is>
          <t>⚠️ Watch</t>
        </is>
      </c>
      <c r="U37" s="69" t="inlineStr">
        <is>
          <t>FULL</t>
        </is>
      </c>
    </row>
    <row r="38" ht="16" customHeight="1">
      <c r="A38" s="77" t="n">
        <v>34</v>
      </c>
      <c r="B38" s="78" t="inlineStr">
        <is>
          <t>JM Aggressive Hybrid Fund (Regular) -Growth Option</t>
        </is>
      </c>
      <c r="C38" s="78" t="inlineStr">
        <is>
          <t>JM Financial Mutual Fund</t>
        </is>
      </c>
      <c r="D38" s="78" t="inlineStr">
        <is>
          <t>Aggressive Hybrid Fund</t>
        </is>
      </c>
      <c r="E38" s="78" t="inlineStr">
        <is>
          <t>Aggressive Hybrid Fund</t>
        </is>
      </c>
      <c r="F38" s="79" t="n">
        <v>2.97</v>
      </c>
      <c r="G38" s="79" t="n">
        <v>6.5</v>
      </c>
      <c r="H38" s="79" t="n">
        <v>2.23</v>
      </c>
      <c r="I38" s="79" t="n">
        <v>3.49</v>
      </c>
      <c r="J38" s="86" t="n">
        <v>-1.948992865957766</v>
      </c>
      <c r="K38" s="79" t="n">
        <v>44.34</v>
      </c>
      <c r="L38" s="84" t="n">
        <v>73.09999999999999</v>
      </c>
      <c r="M38" s="17" t="n">
        <v>0</v>
      </c>
      <c r="N38" s="23" t="n">
        <v>40.2</v>
      </c>
      <c r="O38" s="103">
        <f>COUNTIFS($E:$E,$E38,$L:$L,"&gt;"&amp;$L38)+1</f>
        <v/>
      </c>
      <c r="P38" s="103">
        <f>COUNTIFS($E:$E,$E38,$M:$M,"&gt;"&amp;$M38)+1</f>
        <v/>
      </c>
      <c r="Q38" s="103">
        <f>COUNTIFS($E:$E,$E38,$N:$N,"&gt;"&amp;$N38)+1</f>
        <v/>
      </c>
      <c r="R38" s="80" t="inlineStr">
        <is>
          <t>📈 Good</t>
        </is>
      </c>
      <c r="S38" s="80" t="inlineStr">
        <is>
          <t>🔴 Not Qualified</t>
        </is>
      </c>
      <c r="T38" s="80" t="inlineStr">
        <is>
          <t>⚠️ Watch</t>
        </is>
      </c>
      <c r="U38" s="69" t="inlineStr">
        <is>
          <t>FULL</t>
        </is>
      </c>
    </row>
    <row r="39" ht="16" customHeight="1">
      <c r="A39" s="81" t="n">
        <v>35</v>
      </c>
      <c r="B39" s="82" t="inlineStr">
        <is>
          <t>HDFC ARBITRAGE FUND - Regular Plan -Growth Option</t>
        </is>
      </c>
      <c r="C39" s="82" t="inlineStr">
        <is>
          <t>HDFC Mutual Fund</t>
        </is>
      </c>
      <c r="D39" s="82" t="inlineStr">
        <is>
          <t>Arbitrage Fund</t>
        </is>
      </c>
      <c r="E39" s="82" t="inlineStr">
        <is>
          <t>Arbitrage Fund</t>
        </is>
      </c>
      <c r="F39" s="83" t="n">
        <v>0.42</v>
      </c>
      <c r="G39" s="83" t="n">
        <v>1.47</v>
      </c>
      <c r="H39" s="83" t="n">
        <v>2.84</v>
      </c>
      <c r="I39" s="83" t="n">
        <v>5.95</v>
      </c>
      <c r="J39" s="83" t="n">
        <v>6.348483769163349</v>
      </c>
      <c r="K39" s="83" t="n">
        <v>21.79</v>
      </c>
      <c r="L39" s="84" t="n">
        <v>73</v>
      </c>
      <c r="M39" s="17" t="n">
        <v>0</v>
      </c>
      <c r="N39" s="23" t="n">
        <v>40.1</v>
      </c>
      <c r="O39" s="103">
        <f>COUNTIFS($E:$E,$E39,$L:$L,"&gt;"&amp;$L39)+1</f>
        <v/>
      </c>
      <c r="P39" s="103">
        <f>COUNTIFS($E:$E,$E39,$M:$M,"&gt;"&amp;$M39)+1</f>
        <v/>
      </c>
      <c r="Q39" s="103">
        <f>COUNTIFS($E:$E,$E39,$N:$N,"&gt;"&amp;$N39)+1</f>
        <v/>
      </c>
      <c r="R39" s="85" t="inlineStr">
        <is>
          <t>📈 Good</t>
        </is>
      </c>
      <c r="S39" s="85" t="inlineStr">
        <is>
          <t>🔴 Not Qualified</t>
        </is>
      </c>
      <c r="T39" s="85" t="inlineStr">
        <is>
          <t>⚠️ Watch</t>
        </is>
      </c>
      <c r="U39" s="69" t="inlineStr">
        <is>
          <t>FULL</t>
        </is>
      </c>
    </row>
    <row r="40" ht="16" customHeight="1">
      <c r="A40" s="77" t="n">
        <v>36</v>
      </c>
      <c r="B40" s="78" t="inlineStr">
        <is>
          <t>PGIM India Arbitrage Fund - Regular Plan - Growth</t>
        </is>
      </c>
      <c r="C40" s="78" t="inlineStr">
        <is>
          <t>PGIM India Mutual Fund</t>
        </is>
      </c>
      <c r="D40" s="78" t="inlineStr">
        <is>
          <t>Arbitrage Fund</t>
        </is>
      </c>
      <c r="E40" s="78" t="inlineStr">
        <is>
          <t>Arbitrage Fund</t>
        </is>
      </c>
      <c r="F40" s="79" t="n">
        <v>0.46</v>
      </c>
      <c r="G40" s="79" t="n">
        <v>1.44</v>
      </c>
      <c r="H40" s="79" t="n">
        <v>2.86</v>
      </c>
      <c r="I40" s="79" t="n">
        <v>5.68</v>
      </c>
      <c r="J40" s="79" t="n">
        <v>6.033013726857739</v>
      </c>
      <c r="K40" s="79" t="n">
        <v>20.49</v>
      </c>
      <c r="L40" s="84" t="n">
        <v>72.8</v>
      </c>
      <c r="M40" s="17" t="n">
        <v>0</v>
      </c>
      <c r="N40" s="23" t="n">
        <v>40</v>
      </c>
      <c r="O40" s="103">
        <f>COUNTIFS($E:$E,$E40,$L:$L,"&gt;"&amp;$L40)+1</f>
        <v/>
      </c>
      <c r="P40" s="103">
        <f>COUNTIFS($E:$E,$E40,$M:$M,"&gt;"&amp;$M40)+1</f>
        <v/>
      </c>
      <c r="Q40" s="103">
        <f>COUNTIFS($E:$E,$E40,$N:$N,"&gt;"&amp;$N40)+1</f>
        <v/>
      </c>
      <c r="R40" s="80" t="inlineStr">
        <is>
          <t>📈 Good</t>
        </is>
      </c>
      <c r="S40" s="80" t="inlineStr">
        <is>
          <t>🔴 Not Qualified</t>
        </is>
      </c>
      <c r="T40" s="80" t="inlineStr">
        <is>
          <t>⚠️ Watch</t>
        </is>
      </c>
      <c r="U40" s="69" t="inlineStr">
        <is>
          <t>FULL</t>
        </is>
      </c>
    </row>
    <row r="41" ht="16" customHeight="1">
      <c r="A41" s="81" t="n">
        <v>37</v>
      </c>
      <c r="B41" s="82" t="inlineStr">
        <is>
          <t>BANDHAN Conservative Hybrid Fund - Regular Plan - Growth</t>
        </is>
      </c>
      <c r="C41" s="82" t="inlineStr">
        <is>
          <t>Bandhan Mutual Fund</t>
        </is>
      </c>
      <c r="D41" s="82" t="inlineStr">
        <is>
          <t>Conservative Hybrid Fund</t>
        </is>
      </c>
      <c r="E41" s="82" t="inlineStr">
        <is>
          <t>Conservative Hybrid Fund</t>
        </is>
      </c>
      <c r="F41" s="83" t="n">
        <v>0.87</v>
      </c>
      <c r="G41" s="83" t="n">
        <v>3.52</v>
      </c>
      <c r="H41" s="83" t="n">
        <v>1.39</v>
      </c>
      <c r="I41" s="83" t="n">
        <v>4.53</v>
      </c>
      <c r="J41" s="83" t="n">
        <v>4.062481231229542</v>
      </c>
      <c r="K41" s="83" t="n">
        <v>22.16</v>
      </c>
      <c r="L41" s="84" t="n">
        <v>72.5</v>
      </c>
      <c r="M41" s="17" t="n">
        <v>0</v>
      </c>
      <c r="N41" s="23" t="n">
        <v>39.9</v>
      </c>
      <c r="O41" s="103">
        <f>COUNTIFS($E:$E,$E41,$L:$L,"&gt;"&amp;$L41)+1</f>
        <v/>
      </c>
      <c r="P41" s="103">
        <f>COUNTIFS($E:$E,$E41,$M:$M,"&gt;"&amp;$M41)+1</f>
        <v/>
      </c>
      <c r="Q41" s="103">
        <f>COUNTIFS($E:$E,$E41,$N:$N,"&gt;"&amp;$N41)+1</f>
        <v/>
      </c>
      <c r="R41" s="85" t="inlineStr">
        <is>
          <t>📈 Good</t>
        </is>
      </c>
      <c r="S41" s="85" t="inlineStr">
        <is>
          <t>🔴 Not Qualified</t>
        </is>
      </c>
      <c r="T41" s="85" t="inlineStr">
        <is>
          <t>🔴 Avoid</t>
        </is>
      </c>
      <c r="U41" s="69" t="inlineStr">
        <is>
          <t>FULL</t>
        </is>
      </c>
    </row>
    <row r="42" ht="16" customHeight="1">
      <c r="A42" s="77" t="n">
        <v>38</v>
      </c>
      <c r="B42" s="78" t="inlineStr">
        <is>
          <t>LIC MF Conservative Hybrid Fund-Regular Plan-Growth</t>
        </is>
      </c>
      <c r="C42" s="78" t="inlineStr">
        <is>
          <t>LIC Mutual Fund</t>
        </is>
      </c>
      <c r="D42" s="78" t="inlineStr">
        <is>
          <t>Conservative Hybrid Fund</t>
        </is>
      </c>
      <c r="E42" s="78" t="inlineStr">
        <is>
          <t>Conservative Hybrid Fund</t>
        </is>
      </c>
      <c r="F42" s="79" t="n">
        <v>0.8100000000000001</v>
      </c>
      <c r="G42" s="79" t="n">
        <v>3.92</v>
      </c>
      <c r="H42" s="79" t="n">
        <v>1.51</v>
      </c>
      <c r="I42" s="79" t="n">
        <v>4.47</v>
      </c>
      <c r="J42" s="79" t="n">
        <v>4.249700239377185</v>
      </c>
      <c r="K42" s="79" t="n">
        <v>19.85</v>
      </c>
      <c r="L42" s="84" t="n">
        <v>72.2</v>
      </c>
      <c r="M42" s="17" t="n">
        <v>0</v>
      </c>
      <c r="N42" s="23" t="n">
        <v>39.7</v>
      </c>
      <c r="O42" s="103">
        <f>COUNTIFS($E:$E,$E42,$L:$L,"&gt;"&amp;$L42)+1</f>
        <v/>
      </c>
      <c r="P42" s="103">
        <f>COUNTIFS($E:$E,$E42,$M:$M,"&gt;"&amp;$M42)+1</f>
        <v/>
      </c>
      <c r="Q42" s="103">
        <f>COUNTIFS($E:$E,$E42,$N:$N,"&gt;"&amp;$N42)+1</f>
        <v/>
      </c>
      <c r="R42" s="80" t="inlineStr">
        <is>
          <t>📈 Good</t>
        </is>
      </c>
      <c r="S42" s="80" t="inlineStr">
        <is>
          <t>🔴 Not Qualified</t>
        </is>
      </c>
      <c r="T42" s="80" t="inlineStr">
        <is>
          <t>🔴 Avoid</t>
        </is>
      </c>
      <c r="U42" s="69" t="inlineStr">
        <is>
          <t>FULL</t>
        </is>
      </c>
    </row>
    <row r="43" ht="16" customHeight="1">
      <c r="A43" s="81" t="n">
        <v>39</v>
      </c>
      <c r="B43" s="82" t="inlineStr">
        <is>
          <t>Axis Multi Asset Allocation Fund - Regular Plan - Growth Option</t>
        </is>
      </c>
      <c r="C43" s="82" t="inlineStr">
        <is>
          <t>Axis Mutual Fund</t>
        </is>
      </c>
      <c r="D43" s="82" t="inlineStr">
        <is>
          <t>Multi Asset Allocation</t>
        </is>
      </c>
      <c r="E43" s="82" t="inlineStr">
        <is>
          <t>Multi Asset Allocation</t>
        </is>
      </c>
      <c r="F43" s="83" t="n">
        <v>2.64</v>
      </c>
      <c r="G43" s="83" t="n">
        <v>4.24</v>
      </c>
      <c r="H43" s="83" t="n">
        <v>0.41</v>
      </c>
      <c r="I43" s="83" t="n">
        <v>14.64</v>
      </c>
      <c r="J43" s="83" t="n">
        <v>9.252002269981308</v>
      </c>
      <c r="K43" s="83" t="n">
        <v>49.62</v>
      </c>
      <c r="L43" s="84" t="n">
        <v>70.90000000000001</v>
      </c>
      <c r="M43" s="17" t="n">
        <v>0</v>
      </c>
      <c r="N43" s="23" t="n">
        <v>39</v>
      </c>
      <c r="O43" s="103">
        <f>COUNTIFS($E:$E,$E43,$L:$L,"&gt;"&amp;$L43)+1</f>
        <v/>
      </c>
      <c r="P43" s="103">
        <f>COUNTIFS($E:$E,$E43,$M:$M,"&gt;"&amp;$M43)+1</f>
        <v/>
      </c>
      <c r="Q43" s="103">
        <f>COUNTIFS($E:$E,$E43,$N:$N,"&gt;"&amp;$N43)+1</f>
        <v/>
      </c>
      <c r="R43" s="85" t="inlineStr">
        <is>
          <t>📈 Good</t>
        </is>
      </c>
      <c r="S43" s="85" t="inlineStr">
        <is>
          <t>🔴 Not Qualified</t>
        </is>
      </c>
      <c r="T43" s="85" t="inlineStr">
        <is>
          <t>🔴 Avoid</t>
        </is>
      </c>
      <c r="U43" s="69" t="inlineStr">
        <is>
          <t>FULL</t>
        </is>
      </c>
    </row>
    <row r="44" ht="16" customHeight="1">
      <c r="A44" s="77" t="n">
        <v>40</v>
      </c>
      <c r="B44" s="78" t="inlineStr">
        <is>
          <t>Kotak Aggressive Hybrid Fund - Regular Plan -Growth</t>
        </is>
      </c>
      <c r="C44" s="78" t="inlineStr">
        <is>
          <t>Kotak Mahindra Mutual Fund</t>
        </is>
      </c>
      <c r="D44" s="78" t="inlineStr">
        <is>
          <t>Aggressive Hybrid Fund</t>
        </is>
      </c>
      <c r="E44" s="78" t="inlineStr">
        <is>
          <t>Aggressive Hybrid Fund</t>
        </is>
      </c>
      <c r="F44" s="79" t="n">
        <v>1.17</v>
      </c>
      <c r="G44" s="79" t="n">
        <v>5.18</v>
      </c>
      <c r="H44" s="79" t="n">
        <v>2.37</v>
      </c>
      <c r="I44" s="79" t="n">
        <v>6.01</v>
      </c>
      <c r="J44" s="79" t="n">
        <v>4.369535785113077</v>
      </c>
      <c r="K44" s="79" t="n">
        <v>44.68</v>
      </c>
      <c r="L44" s="84" t="n">
        <v>70.40000000000001</v>
      </c>
      <c r="M44" s="17" t="n">
        <v>0</v>
      </c>
      <c r="N44" s="23" t="n">
        <v>38.7</v>
      </c>
      <c r="O44" s="103">
        <f>COUNTIFS($E:$E,$E44,$L:$L,"&gt;"&amp;$L44)+1</f>
        <v/>
      </c>
      <c r="P44" s="103">
        <f>COUNTIFS($E:$E,$E44,$M:$M,"&gt;"&amp;$M44)+1</f>
        <v/>
      </c>
      <c r="Q44" s="103">
        <f>COUNTIFS($E:$E,$E44,$N:$N,"&gt;"&amp;$N44)+1</f>
        <v/>
      </c>
      <c r="R44" s="80" t="inlineStr">
        <is>
          <t>📈 Good</t>
        </is>
      </c>
      <c r="S44" s="80" t="inlineStr">
        <is>
          <t>🔴 Not Qualified</t>
        </is>
      </c>
      <c r="T44" s="80" t="inlineStr">
        <is>
          <t>🔴 Avoid</t>
        </is>
      </c>
      <c r="U44" s="69" t="inlineStr">
        <is>
          <t>FULL</t>
        </is>
      </c>
    </row>
    <row r="45" ht="16" customHeight="1">
      <c r="A45" s="81" t="n">
        <v>41</v>
      </c>
      <c r="B45" s="82" t="inlineStr">
        <is>
          <t>BANDHAN Balanced Advantage Fund Regular Plan Growth</t>
        </is>
      </c>
      <c r="C45" s="82" t="inlineStr">
        <is>
          <t>Bandhan Mutual Fund</t>
        </is>
      </c>
      <c r="D45" s="82" t="inlineStr">
        <is>
          <t>Dynamic Asset Allocation Or Balanced Advantage</t>
        </is>
      </c>
      <c r="E45" s="82" t="inlineStr">
        <is>
          <t>Dynamic Asset Allocation Or Balanced Advantage</t>
        </is>
      </c>
      <c r="F45" s="83" t="n">
        <v>0.62</v>
      </c>
      <c r="G45" s="83" t="n">
        <v>4.18</v>
      </c>
      <c r="H45" s="83" t="n">
        <v>2.37</v>
      </c>
      <c r="I45" s="83" t="n">
        <v>5.84</v>
      </c>
      <c r="J45" s="83" t="n">
        <v>4.441371113175263</v>
      </c>
      <c r="K45" s="83" t="n">
        <v>32.26</v>
      </c>
      <c r="L45" s="84" t="n">
        <v>68.40000000000001</v>
      </c>
      <c r="M45" s="17" t="n">
        <v>0</v>
      </c>
      <c r="N45" s="23" t="n">
        <v>37.6</v>
      </c>
      <c r="O45" s="103">
        <f>COUNTIFS($E:$E,$E45,$L:$L,"&gt;"&amp;$L45)+1</f>
        <v/>
      </c>
      <c r="P45" s="103">
        <f>COUNTIFS($E:$E,$E45,$M:$M,"&gt;"&amp;$M45)+1</f>
        <v/>
      </c>
      <c r="Q45" s="103">
        <f>COUNTIFS($E:$E,$E45,$N:$N,"&gt;"&amp;$N45)+1</f>
        <v/>
      </c>
      <c r="R45" s="85" t="inlineStr">
        <is>
          <t>📈 Good</t>
        </is>
      </c>
      <c r="S45" s="85" t="inlineStr">
        <is>
          <t>🔴 Not Qualified</t>
        </is>
      </c>
      <c r="T45" s="85" t="inlineStr">
        <is>
          <t>🔴 Avoid</t>
        </is>
      </c>
      <c r="U45" s="69" t="inlineStr">
        <is>
          <t>FULL</t>
        </is>
      </c>
    </row>
    <row r="46" ht="16" customHeight="1">
      <c r="A46" s="77" t="n">
        <v>42</v>
      </c>
      <c r="B46" s="78" t="inlineStr">
        <is>
          <t>Aditya Birla Sun Life Equity Savings Fund - Regular Plan - Growth</t>
        </is>
      </c>
      <c r="C46" s="78" t="inlineStr">
        <is>
          <t>Aditya Birla Sun Life Mutual Fund</t>
        </is>
      </c>
      <c r="D46" s="78" t="inlineStr">
        <is>
          <t>Equity Savings</t>
        </is>
      </c>
      <c r="E46" s="78" t="inlineStr">
        <is>
          <t>Equity Savings</t>
        </is>
      </c>
      <c r="F46" s="79" t="n">
        <v>0.6899999999999999</v>
      </c>
      <c r="G46" s="79" t="n">
        <v>2.67</v>
      </c>
      <c r="H46" s="79" t="n">
        <v>2.09</v>
      </c>
      <c r="I46" s="79" t="n">
        <v>6.02</v>
      </c>
      <c r="J46" s="79" t="n">
        <v>6.494131293700889</v>
      </c>
      <c r="K46" s="79" t="n">
        <v>26.17</v>
      </c>
      <c r="L46" s="84" t="n">
        <v>66.59999999999999</v>
      </c>
      <c r="M46" s="17" t="n">
        <v>0</v>
      </c>
      <c r="N46" s="23" t="n">
        <v>36.6</v>
      </c>
      <c r="O46" s="103">
        <f>COUNTIFS($E:$E,$E46,$L:$L,"&gt;"&amp;$L46)+1</f>
        <v/>
      </c>
      <c r="P46" s="103">
        <f>COUNTIFS($E:$E,$E46,$M:$M,"&gt;"&amp;$M46)+1</f>
        <v/>
      </c>
      <c r="Q46" s="103">
        <f>COUNTIFS($E:$E,$E46,$N:$N,"&gt;"&amp;$N46)+1</f>
        <v/>
      </c>
      <c r="R46" s="80" t="inlineStr">
        <is>
          <t>📈 Good</t>
        </is>
      </c>
      <c r="S46" s="80" t="inlineStr">
        <is>
          <t>🔴 Not Qualified</t>
        </is>
      </c>
      <c r="T46" s="80" t="inlineStr">
        <is>
          <t>🔴 Avoid</t>
        </is>
      </c>
      <c r="U46" s="69" t="inlineStr">
        <is>
          <t>FULL</t>
        </is>
      </c>
    </row>
    <row r="47" ht="16" customHeight="1">
      <c r="A47" s="81" t="n">
        <v>43</v>
      </c>
      <c r="B47" s="82" t="inlineStr">
        <is>
          <t>SBI EQUITY HYBRID FUND - REGULAR PLAN -Growth</t>
        </is>
      </c>
      <c r="C47" s="82" t="inlineStr">
        <is>
          <t>SBI Mutual Fund</t>
        </is>
      </c>
      <c r="D47" s="82" t="inlineStr">
        <is>
          <t>Aggressive Hybrid Fund</t>
        </is>
      </c>
      <c r="E47" s="82" t="inlineStr">
        <is>
          <t>Aggressive Hybrid Fund</t>
        </is>
      </c>
      <c r="F47" s="83" t="n">
        <v>0.74</v>
      </c>
      <c r="G47" s="83" t="n">
        <v>4.22</v>
      </c>
      <c r="H47" s="83" t="n">
        <v>3.04</v>
      </c>
      <c r="I47" s="83" t="n">
        <v>6.64</v>
      </c>
      <c r="J47" s="83" t="n">
        <v>7.666150669558158</v>
      </c>
      <c r="K47" s="83" t="n">
        <v>44.83</v>
      </c>
      <c r="L47" s="84" t="n">
        <v>64.40000000000001</v>
      </c>
      <c r="M47" s="17" t="n">
        <v>0</v>
      </c>
      <c r="N47" s="23" t="n">
        <v>35.4</v>
      </c>
      <c r="O47" s="103">
        <f>COUNTIFS($E:$E,$E47,$L:$L,"&gt;"&amp;$L47)+1</f>
        <v/>
      </c>
      <c r="P47" s="103">
        <f>COUNTIFS($E:$E,$E47,$M:$M,"&gt;"&amp;$M47)+1</f>
        <v/>
      </c>
      <c r="Q47" s="103">
        <f>COUNTIFS($E:$E,$E47,$N:$N,"&gt;"&amp;$N47)+1</f>
        <v/>
      </c>
      <c r="R47" s="85" t="inlineStr">
        <is>
          <t>📈 Good</t>
        </is>
      </c>
      <c r="S47" s="85" t="inlineStr">
        <is>
          <t>🔴 Not Qualified</t>
        </is>
      </c>
      <c r="T47" s="85" t="inlineStr">
        <is>
          <t>🔴 Avoid</t>
        </is>
      </c>
      <c r="U47" s="69" t="inlineStr">
        <is>
          <t>FULL</t>
        </is>
      </c>
    </row>
    <row r="48" ht="16" customHeight="1">
      <c r="A48" s="77" t="n">
        <v>44</v>
      </c>
      <c r="B48" s="78" t="inlineStr">
        <is>
          <t>Kotak Equity Savings Fund - Regular - Monthly Payout of Income Distribution cum capital withdrawal option</t>
        </is>
      </c>
      <c r="C48" s="78" t="inlineStr">
        <is>
          <t>Kotak Mahindra Mutual Fund</t>
        </is>
      </c>
      <c r="D48" s="78" t="inlineStr">
        <is>
          <t>Equity Savings</t>
        </is>
      </c>
      <c r="E48" s="78" t="inlineStr">
        <is>
          <t>Equity Savings</t>
        </is>
      </c>
      <c r="F48" s="79" t="n">
        <v>1.04</v>
      </c>
      <c r="G48" s="79" t="n">
        <v>2.56</v>
      </c>
      <c r="H48" s="79" t="n">
        <v>1.51</v>
      </c>
      <c r="I48" s="79" t="n">
        <v>6.1</v>
      </c>
      <c r="J48" s="79" t="n">
        <v>5.019045891685758</v>
      </c>
      <c r="K48" s="79" t="n">
        <v>32.3</v>
      </c>
      <c r="L48" s="84" t="n">
        <v>63.9</v>
      </c>
      <c r="M48" s="17" t="n">
        <v>0</v>
      </c>
      <c r="N48" s="23" t="n">
        <v>35.1</v>
      </c>
      <c r="O48" s="103">
        <f>COUNTIFS($E:$E,$E48,$L:$L,"&gt;"&amp;$L48)+1</f>
        <v/>
      </c>
      <c r="P48" s="103">
        <f>COUNTIFS($E:$E,$E48,$M:$M,"&gt;"&amp;$M48)+1</f>
        <v/>
      </c>
      <c r="Q48" s="103">
        <f>COUNTIFS($E:$E,$E48,$N:$N,"&gt;"&amp;$N48)+1</f>
        <v/>
      </c>
      <c r="R48" s="80" t="inlineStr">
        <is>
          <t>📈 Good</t>
        </is>
      </c>
      <c r="S48" s="80" t="inlineStr">
        <is>
          <t>🔴 Not Qualified</t>
        </is>
      </c>
      <c r="T48" s="80" t="inlineStr">
        <is>
          <t>🔴 Avoid</t>
        </is>
      </c>
      <c r="U48" s="69" t="inlineStr">
        <is>
          <t>FULL</t>
        </is>
      </c>
    </row>
    <row r="49" ht="16" customHeight="1">
      <c r="A49" s="81" t="n">
        <v>45</v>
      </c>
      <c r="B49" s="82" t="inlineStr">
        <is>
          <t>Kotak Equity Savings Fund - Regular - Growth</t>
        </is>
      </c>
      <c r="C49" s="82" t="inlineStr">
        <is>
          <t>Kotak Mahindra Mutual Fund</t>
        </is>
      </c>
      <c r="D49" s="82" t="inlineStr">
        <is>
          <t>Equity Savings</t>
        </is>
      </c>
      <c r="E49" s="82" t="inlineStr">
        <is>
          <t>Equity Savings</t>
        </is>
      </c>
      <c r="F49" s="83" t="n">
        <v>1.04</v>
      </c>
      <c r="G49" s="83" t="n">
        <v>2.56</v>
      </c>
      <c r="H49" s="83" t="n">
        <v>1.51</v>
      </c>
      <c r="I49" s="83" t="n">
        <v>6.1</v>
      </c>
      <c r="J49" s="83" t="n">
        <v>5.019045891685758</v>
      </c>
      <c r="K49" s="83" t="n">
        <v>32.3</v>
      </c>
      <c r="L49" s="84" t="n">
        <v>63.9</v>
      </c>
      <c r="M49" s="17" t="n">
        <v>0</v>
      </c>
      <c r="N49" s="23" t="n">
        <v>35.1</v>
      </c>
      <c r="O49" s="103">
        <f>COUNTIFS($E:$E,$E49,$L:$L,"&gt;"&amp;$L49)+1</f>
        <v/>
      </c>
      <c r="P49" s="103">
        <f>COUNTIFS($E:$E,$E49,$M:$M,"&gt;"&amp;$M49)+1</f>
        <v/>
      </c>
      <c r="Q49" s="103">
        <f>COUNTIFS($E:$E,$E49,$N:$N,"&gt;"&amp;$N49)+1</f>
        <v/>
      </c>
      <c r="R49" s="85" t="inlineStr">
        <is>
          <t>📈 Good</t>
        </is>
      </c>
      <c r="S49" s="85" t="inlineStr">
        <is>
          <t>🔴 Not Qualified</t>
        </is>
      </c>
      <c r="T49" s="85" t="inlineStr">
        <is>
          <t>🔴 Avoid</t>
        </is>
      </c>
      <c r="U49" s="69" t="inlineStr">
        <is>
          <t>FULL</t>
        </is>
      </c>
    </row>
    <row r="50" ht="16" customHeight="1">
      <c r="A50" s="77" t="n">
        <v>46</v>
      </c>
      <c r="B50" s="78" t="inlineStr">
        <is>
          <t>Kotak Balanced Advantage Fund - Regular Plan - Payout of Income Distribution cum capital withdrawal option Option</t>
        </is>
      </c>
      <c r="C50" s="78" t="inlineStr">
        <is>
          <t>Kotak Mahindra Mutual Fund</t>
        </is>
      </c>
      <c r="D50" s="78" t="inlineStr">
        <is>
          <t>Dynamic Asset Allocation Or Balanced Advantage</t>
        </is>
      </c>
      <c r="E50" s="78" t="inlineStr">
        <is>
          <t>Dynamic Asset Allocation Or Balanced Advantage</t>
        </is>
      </c>
      <c r="F50" s="79" t="n">
        <v>0.86</v>
      </c>
      <c r="G50" s="79" t="n">
        <v>4.77</v>
      </c>
      <c r="H50" s="79" t="n">
        <v>0.96</v>
      </c>
      <c r="I50" s="79" t="n">
        <v>4.68</v>
      </c>
      <c r="J50" s="79" t="n">
        <v>4.158533015783195</v>
      </c>
      <c r="K50" s="79" t="n">
        <v>32.23</v>
      </c>
      <c r="L50" s="84" t="n">
        <v>63.8</v>
      </c>
      <c r="M50" s="17" t="n">
        <v>0</v>
      </c>
      <c r="N50" s="23" t="n">
        <v>35.1</v>
      </c>
      <c r="O50" s="103">
        <f>COUNTIFS($E:$E,$E50,$L:$L,"&gt;"&amp;$L50)+1</f>
        <v/>
      </c>
      <c r="P50" s="103">
        <f>COUNTIFS($E:$E,$E50,$M:$M,"&gt;"&amp;$M50)+1</f>
        <v/>
      </c>
      <c r="Q50" s="103">
        <f>COUNTIFS($E:$E,$E50,$N:$N,"&gt;"&amp;$N50)+1</f>
        <v/>
      </c>
      <c r="R50" s="80" t="inlineStr">
        <is>
          <t>📈 Good</t>
        </is>
      </c>
      <c r="S50" s="80" t="inlineStr">
        <is>
          <t>🔴 Not Qualified</t>
        </is>
      </c>
      <c r="T50" s="80" t="inlineStr">
        <is>
          <t>🔴 Avoid</t>
        </is>
      </c>
      <c r="U50" s="69" t="inlineStr">
        <is>
          <t>FULL</t>
        </is>
      </c>
    </row>
    <row r="51" ht="16" customHeight="1">
      <c r="A51" s="81" t="n">
        <v>47</v>
      </c>
      <c r="B51" s="82" t="inlineStr">
        <is>
          <t>Kotak Balanced Advantage Fund -Regular Plan - Growth Option</t>
        </is>
      </c>
      <c r="C51" s="82" t="inlineStr">
        <is>
          <t>Kotak Mahindra Mutual Fund</t>
        </is>
      </c>
      <c r="D51" s="82" t="inlineStr">
        <is>
          <t>Dynamic Asset Allocation Or Balanced Advantage</t>
        </is>
      </c>
      <c r="E51" s="82" t="inlineStr">
        <is>
          <t>Dynamic Asset Allocation Or Balanced Advantage</t>
        </is>
      </c>
      <c r="F51" s="83" t="n">
        <v>0.85</v>
      </c>
      <c r="G51" s="83" t="n">
        <v>4.77</v>
      </c>
      <c r="H51" s="83" t="n">
        <v>0.96</v>
      </c>
      <c r="I51" s="83" t="n">
        <v>4.68</v>
      </c>
      <c r="J51" s="83" t="n">
        <v>4.158533015783195</v>
      </c>
      <c r="K51" s="83" t="n">
        <v>32.23</v>
      </c>
      <c r="L51" s="84" t="n">
        <v>63.1</v>
      </c>
      <c r="M51" s="17" t="n">
        <v>0</v>
      </c>
      <c r="N51" s="23" t="n">
        <v>34.7</v>
      </c>
      <c r="O51" s="103">
        <f>COUNTIFS($E:$E,$E51,$L:$L,"&gt;"&amp;$L51)+1</f>
        <v/>
      </c>
      <c r="P51" s="103">
        <f>COUNTIFS($E:$E,$E51,$M:$M,"&gt;"&amp;$M51)+1</f>
        <v/>
      </c>
      <c r="Q51" s="103">
        <f>COUNTIFS($E:$E,$E51,$N:$N,"&gt;"&amp;$N51)+1</f>
        <v/>
      </c>
      <c r="R51" s="85" t="inlineStr">
        <is>
          <t>📈 Good</t>
        </is>
      </c>
      <c r="S51" s="85" t="inlineStr">
        <is>
          <t>🔴 Not Qualified</t>
        </is>
      </c>
      <c r="T51" s="85" t="inlineStr">
        <is>
          <t>🔴 Avoid</t>
        </is>
      </c>
      <c r="U51" s="69" t="inlineStr">
        <is>
          <t>FULL</t>
        </is>
      </c>
    </row>
    <row r="52" ht="16" customHeight="1">
      <c r="A52" s="77" t="n">
        <v>48</v>
      </c>
      <c r="B52" s="78" t="inlineStr">
        <is>
          <t>Nippon India Balanced Advantage Fund-Growth Plan-Growth Option</t>
        </is>
      </c>
      <c r="C52" s="78" t="inlineStr">
        <is>
          <t>Nippon India Mutual Fund</t>
        </is>
      </c>
      <c r="D52" s="78" t="inlineStr">
        <is>
          <t>Dynamic Asset Allocation Or Balanced Advantage</t>
        </is>
      </c>
      <c r="E52" s="78" t="inlineStr">
        <is>
          <t>Dynamic Asset Allocation Or Balanced Advantage</t>
        </is>
      </c>
      <c r="F52" s="79" t="n">
        <v>0.5</v>
      </c>
      <c r="G52" s="79" t="n">
        <v>4.4</v>
      </c>
      <c r="H52" s="79" t="n">
        <v>1.21</v>
      </c>
      <c r="I52" s="79" t="n">
        <v>5.61</v>
      </c>
      <c r="J52" s="79" t="n">
        <v>4.129726783469478</v>
      </c>
      <c r="K52" s="79" t="n">
        <v>36.25</v>
      </c>
      <c r="L52" s="84" t="n">
        <v>61.9</v>
      </c>
      <c r="M52" s="17" t="n">
        <v>0</v>
      </c>
      <c r="N52" s="23" t="n">
        <v>34.1</v>
      </c>
      <c r="O52" s="103">
        <f>COUNTIFS($E:$E,$E52,$L:$L,"&gt;"&amp;$L52)+1</f>
        <v/>
      </c>
      <c r="P52" s="103">
        <f>COUNTIFS($E:$E,$E52,$M:$M,"&gt;"&amp;$M52)+1</f>
        <v/>
      </c>
      <c r="Q52" s="103">
        <f>COUNTIFS($E:$E,$E52,$N:$N,"&gt;"&amp;$N52)+1</f>
        <v/>
      </c>
      <c r="R52" s="80" t="inlineStr">
        <is>
          <t>📈 Good</t>
        </is>
      </c>
      <c r="S52" s="80" t="inlineStr">
        <is>
          <t>🔴 Not Qualified</t>
        </is>
      </c>
      <c r="T52" s="80" t="inlineStr">
        <is>
          <t>🔴 Avoid</t>
        </is>
      </c>
      <c r="U52" s="69" t="inlineStr">
        <is>
          <t>FULL</t>
        </is>
      </c>
    </row>
    <row r="53" ht="16" customHeight="1">
      <c r="A53" s="81" t="n">
        <v>49</v>
      </c>
      <c r="B53" s="82" t="inlineStr">
        <is>
          <t>Nippon India Balanced Advantage Fund-Growth Plan-Bonus Option</t>
        </is>
      </c>
      <c r="C53" s="82" t="inlineStr">
        <is>
          <t>Nippon India Mutual Fund</t>
        </is>
      </c>
      <c r="D53" s="82" t="inlineStr">
        <is>
          <t>Dynamic Asset Allocation Or Balanced Advantage</t>
        </is>
      </c>
      <c r="E53" s="82" t="inlineStr">
        <is>
          <t>Dynamic Asset Allocation Or Balanced Advantage</t>
        </is>
      </c>
      <c r="F53" s="83" t="n">
        <v>0.5</v>
      </c>
      <c r="G53" s="83" t="n">
        <v>4.4</v>
      </c>
      <c r="H53" s="83" t="n">
        <v>1.21</v>
      </c>
      <c r="I53" s="83" t="n">
        <v>5.61</v>
      </c>
      <c r="J53" s="83" t="n">
        <v>4.129726783469478</v>
      </c>
      <c r="K53" s="83" t="n">
        <v>36.25</v>
      </c>
      <c r="L53" s="84" t="n">
        <v>61.9</v>
      </c>
      <c r="M53" s="17" t="n">
        <v>0</v>
      </c>
      <c r="N53" s="23" t="n">
        <v>34.1</v>
      </c>
      <c r="O53" s="103">
        <f>COUNTIFS($E:$E,$E53,$L:$L,"&gt;"&amp;$L53)+1</f>
        <v/>
      </c>
      <c r="P53" s="103">
        <f>COUNTIFS($E:$E,$E53,$M:$M,"&gt;"&amp;$M53)+1</f>
        <v/>
      </c>
      <c r="Q53" s="103">
        <f>COUNTIFS($E:$E,$E53,$N:$N,"&gt;"&amp;$N53)+1</f>
        <v/>
      </c>
      <c r="R53" s="85" t="inlineStr">
        <is>
          <t>📈 Good</t>
        </is>
      </c>
      <c r="S53" s="85" t="inlineStr">
        <is>
          <t>🔴 Not Qualified</t>
        </is>
      </c>
      <c r="T53" s="85" t="inlineStr">
        <is>
          <t>🔴 Avoid</t>
        </is>
      </c>
      <c r="U53" s="69" t="inlineStr">
        <is>
          <t>FULL</t>
        </is>
      </c>
    </row>
    <row r="54" ht="16" customHeight="1">
      <c r="A54" s="77" t="n">
        <v>50</v>
      </c>
      <c r="B54" s="78" t="inlineStr">
        <is>
          <t>CANARA ROBECO EQUITY HYBRID FUND - REGULAR PLAN - GROWTH OPTION</t>
        </is>
      </c>
      <c r="C54" s="78" t="inlineStr">
        <is>
          <t>Canara Robeco Mutual Fund</t>
        </is>
      </c>
      <c r="D54" s="78" t="inlineStr">
        <is>
          <t>Aggressive Hybrid Fund</t>
        </is>
      </c>
      <c r="E54" s="78" t="inlineStr">
        <is>
          <t>Aggressive Hybrid Fund</t>
        </is>
      </c>
      <c r="F54" s="79" t="n">
        <v>1.63</v>
      </c>
      <c r="G54" s="79" t="n">
        <v>4.96</v>
      </c>
      <c r="H54" s="79" t="n">
        <v>0.5</v>
      </c>
      <c r="I54" s="79" t="n">
        <v>4.4</v>
      </c>
      <c r="J54" s="79" t="n">
        <v>3.585713300628468</v>
      </c>
      <c r="K54" s="79" t="n">
        <v>38.37</v>
      </c>
      <c r="L54" s="84" t="n">
        <v>61.5</v>
      </c>
      <c r="M54" s="17" t="n">
        <v>0</v>
      </c>
      <c r="N54" s="23" t="n">
        <v>33.8</v>
      </c>
      <c r="O54" s="103">
        <f>COUNTIFS($E:$E,$E54,$L:$L,"&gt;"&amp;$L54)+1</f>
        <v/>
      </c>
      <c r="P54" s="103">
        <f>COUNTIFS($E:$E,$E54,$M:$M,"&gt;"&amp;$M54)+1</f>
        <v/>
      </c>
      <c r="Q54" s="103">
        <f>COUNTIFS($E:$E,$E54,$N:$N,"&gt;"&amp;$N54)+1</f>
        <v/>
      </c>
      <c r="R54" s="80" t="inlineStr">
        <is>
          <t>📈 Good</t>
        </is>
      </c>
      <c r="S54" s="80" t="inlineStr">
        <is>
          <t>🔴 Not Qualified</t>
        </is>
      </c>
      <c r="T54" s="80" t="inlineStr">
        <is>
          <t>🔴 Avoid</t>
        </is>
      </c>
      <c r="U54" s="69" t="inlineStr">
        <is>
          <t>FULL</t>
        </is>
      </c>
    </row>
    <row r="55" ht="16" customHeight="1">
      <c r="A55" s="81" t="n">
        <v>51</v>
      </c>
      <c r="B55" s="82" t="inlineStr">
        <is>
          <t>Edelweiss Arbitrage Fund- Regular Plan- Growth Option</t>
        </is>
      </c>
      <c r="C55" s="82" t="inlineStr">
        <is>
          <t>Edelweiss Mutual Fund</t>
        </is>
      </c>
      <c r="D55" s="82" t="inlineStr">
        <is>
          <t>Arbitrage Fund</t>
        </is>
      </c>
      <c r="E55" s="82" t="inlineStr">
        <is>
          <t>Arbitrage Fund</t>
        </is>
      </c>
      <c r="F55" s="83" t="n">
        <v>0.39</v>
      </c>
      <c r="G55" s="83" t="n">
        <v>1.45</v>
      </c>
      <c r="H55" s="83" t="n">
        <v>2.85</v>
      </c>
      <c r="I55" s="83" t="n">
        <v>5.86</v>
      </c>
      <c r="J55" s="83" t="n">
        <v>6.301458127346482</v>
      </c>
      <c r="K55" s="83" t="n">
        <v>21.65</v>
      </c>
      <c r="L55" s="84" t="n">
        <v>60.8</v>
      </c>
      <c r="M55" s="17" t="n">
        <v>0</v>
      </c>
      <c r="N55" s="23" t="n">
        <v>33.4</v>
      </c>
      <c r="O55" s="103">
        <f>COUNTIFS($E:$E,$E55,$L:$L,"&gt;"&amp;$L55)+1</f>
        <v/>
      </c>
      <c r="P55" s="103">
        <f>COUNTIFS($E:$E,$E55,$M:$M,"&gt;"&amp;$M55)+1</f>
        <v/>
      </c>
      <c r="Q55" s="103">
        <f>COUNTIFS($E:$E,$E55,$N:$N,"&gt;"&amp;$N55)+1</f>
        <v/>
      </c>
      <c r="R55" s="85" t="inlineStr">
        <is>
          <t>📈 Good</t>
        </is>
      </c>
      <c r="S55" s="85" t="inlineStr">
        <is>
          <t>🔴 Not Qualified</t>
        </is>
      </c>
      <c r="T55" s="85" t="inlineStr">
        <is>
          <t>🔴 Avoid</t>
        </is>
      </c>
      <c r="U55" s="69" t="inlineStr">
        <is>
          <t>FULL</t>
        </is>
      </c>
    </row>
    <row r="56" ht="16" customHeight="1">
      <c r="A56" s="77" t="n">
        <v>52</v>
      </c>
      <c r="B56" s="78" t="inlineStr">
        <is>
          <t>Parag Parikh Conservative Hybrid Fund - Regular Plan - Growth</t>
        </is>
      </c>
      <c r="C56" s="78" t="inlineStr">
        <is>
          <t>PPFAS Mutual Fund</t>
        </is>
      </c>
      <c r="D56" s="78" t="inlineStr">
        <is>
          <t>Conservative Hybrid Fund</t>
        </is>
      </c>
      <c r="E56" s="78" t="inlineStr">
        <is>
          <t>Conservative Hybrid Fund</t>
        </is>
      </c>
      <c r="F56" s="79" t="n">
        <v>0.22</v>
      </c>
      <c r="G56" s="79" t="n">
        <v>2.77</v>
      </c>
      <c r="H56" s="79" t="n">
        <v>1.76</v>
      </c>
      <c r="I56" s="79" t="n">
        <v>5.46</v>
      </c>
      <c r="J56" s="79" t="n">
        <v>6.221466756960203</v>
      </c>
      <c r="K56" s="79" t="n">
        <v>34.54</v>
      </c>
      <c r="L56" s="84" t="n">
        <v>60.8</v>
      </c>
      <c r="M56" s="17" t="n">
        <v>0</v>
      </c>
      <c r="N56" s="23" t="n">
        <v>33.4</v>
      </c>
      <c r="O56" s="103">
        <f>COUNTIFS($E:$E,$E56,$L:$L,"&gt;"&amp;$L56)+1</f>
        <v/>
      </c>
      <c r="P56" s="103">
        <f>COUNTIFS($E:$E,$E56,$M:$M,"&gt;"&amp;$M56)+1</f>
        <v/>
      </c>
      <c r="Q56" s="103">
        <f>COUNTIFS($E:$E,$E56,$N:$N,"&gt;"&amp;$N56)+1</f>
        <v/>
      </c>
      <c r="R56" s="80" t="inlineStr">
        <is>
          <t>📈 Good</t>
        </is>
      </c>
      <c r="S56" s="80" t="inlineStr">
        <is>
          <t>🔴 Not Qualified</t>
        </is>
      </c>
      <c r="T56" s="80" t="inlineStr">
        <is>
          <t>🔴 Avoid</t>
        </is>
      </c>
      <c r="U56" s="69" t="inlineStr">
        <is>
          <t>FULL</t>
        </is>
      </c>
    </row>
    <row r="57" ht="16" customHeight="1">
      <c r="A57" s="81" t="n">
        <v>53</v>
      </c>
      <c r="B57" s="82" t="inlineStr">
        <is>
          <t>Edelweiss Aggressive Hybrid Fund- Plan B-Growth Option</t>
        </is>
      </c>
      <c r="C57" s="82" t="inlineStr">
        <is>
          <t>Edelweiss Mutual Fund</t>
        </is>
      </c>
      <c r="D57" s="82" t="inlineStr">
        <is>
          <t>Aggressive Hybrid Fund</t>
        </is>
      </c>
      <c r="E57" s="82" t="inlineStr">
        <is>
          <t>Aggressive Hybrid Fund</t>
        </is>
      </c>
      <c r="F57" s="83" t="n">
        <v>1.66</v>
      </c>
      <c r="G57" s="83" t="n">
        <v>4.28</v>
      </c>
      <c r="H57" s="83" t="n">
        <v>1.34</v>
      </c>
      <c r="I57" s="83" t="n">
        <v>4.38</v>
      </c>
      <c r="J57" s="83" t="n">
        <v>3.764155660806101</v>
      </c>
      <c r="K57" s="83" t="n">
        <v>45.49</v>
      </c>
      <c r="L57" s="84" t="n">
        <v>60.6</v>
      </c>
      <c r="M57" s="17" t="n">
        <v>0</v>
      </c>
      <c r="N57" s="23" t="n">
        <v>33.3</v>
      </c>
      <c r="O57" s="103">
        <f>COUNTIFS($E:$E,$E57,$L:$L,"&gt;"&amp;$L57)+1</f>
        <v/>
      </c>
      <c r="P57" s="103">
        <f>COUNTIFS($E:$E,$E57,$M:$M,"&gt;"&amp;$M57)+1</f>
        <v/>
      </c>
      <c r="Q57" s="103">
        <f>COUNTIFS($E:$E,$E57,$N:$N,"&gt;"&amp;$N57)+1</f>
        <v/>
      </c>
      <c r="R57" s="85" t="inlineStr">
        <is>
          <t>📈 Good</t>
        </is>
      </c>
      <c r="S57" s="85" t="inlineStr">
        <is>
          <t>🔴 Not Qualified</t>
        </is>
      </c>
      <c r="T57" s="85" t="inlineStr">
        <is>
          <t>🔴 Avoid</t>
        </is>
      </c>
      <c r="U57" s="69" t="inlineStr">
        <is>
          <t>FULL</t>
        </is>
      </c>
    </row>
    <row r="58" ht="16" customHeight="1">
      <c r="A58" s="77" t="n">
        <v>54</v>
      </c>
      <c r="B58" s="78" t="inlineStr">
        <is>
          <t>Edelweiss Aggressive Hybrid Fund - Regular Plan - Growth Option</t>
        </is>
      </c>
      <c r="C58" s="78" t="inlineStr">
        <is>
          <t>Edelweiss Mutual Fund</t>
        </is>
      </c>
      <c r="D58" s="78" t="inlineStr">
        <is>
          <t>Aggressive Hybrid Fund</t>
        </is>
      </c>
      <c r="E58" s="78" t="inlineStr">
        <is>
          <t>Aggressive Hybrid Fund</t>
        </is>
      </c>
      <c r="F58" s="79" t="n">
        <v>1.66</v>
      </c>
      <c r="G58" s="79" t="n">
        <v>4.29</v>
      </c>
      <c r="H58" s="79" t="n">
        <v>1.33</v>
      </c>
      <c r="I58" s="79" t="n">
        <v>4.38</v>
      </c>
      <c r="J58" s="79" t="n">
        <v>3.754517973917637</v>
      </c>
      <c r="K58" s="79" t="n">
        <v>45.34</v>
      </c>
      <c r="L58" s="84" t="n">
        <v>60.2</v>
      </c>
      <c r="M58" s="17" t="n">
        <v>0</v>
      </c>
      <c r="N58" s="23" t="n">
        <v>33.1</v>
      </c>
      <c r="O58" s="103">
        <f>COUNTIFS($E:$E,$E58,$L:$L,"&gt;"&amp;$L58)+1</f>
        <v/>
      </c>
      <c r="P58" s="103">
        <f>COUNTIFS($E:$E,$E58,$M:$M,"&gt;"&amp;$M58)+1</f>
        <v/>
      </c>
      <c r="Q58" s="103">
        <f>COUNTIFS($E:$E,$E58,$N:$N,"&gt;"&amp;$N58)+1</f>
        <v/>
      </c>
      <c r="R58" s="80" t="inlineStr">
        <is>
          <t>📈 Good</t>
        </is>
      </c>
      <c r="S58" s="80" t="inlineStr">
        <is>
          <t>🔴 Not Qualified</t>
        </is>
      </c>
      <c r="T58" s="80" t="inlineStr">
        <is>
          <t>🔴 Avoid</t>
        </is>
      </c>
      <c r="U58" s="69" t="inlineStr">
        <is>
          <t>FULL</t>
        </is>
      </c>
    </row>
    <row r="59" ht="16" customHeight="1">
      <c r="A59" s="81" t="n">
        <v>55</v>
      </c>
      <c r="B59" s="82" t="inlineStr">
        <is>
          <t>SBI Arbitrage Opportunities Fund - Regular Plan - Gr</t>
        </is>
      </c>
      <c r="C59" s="82" t="inlineStr">
        <is>
          <t>SBI Mutual Fund</t>
        </is>
      </c>
      <c r="D59" s="82" t="inlineStr">
        <is>
          <t>Arbitrage Fund</t>
        </is>
      </c>
      <c r="E59" s="82" t="inlineStr">
        <is>
          <t>Arbitrage Fund</t>
        </is>
      </c>
      <c r="F59" s="83" t="n">
        <v>0.41</v>
      </c>
      <c r="G59" s="83" t="n">
        <v>1.4</v>
      </c>
      <c r="H59" s="83" t="n">
        <v>2.83</v>
      </c>
      <c r="I59" s="83" t="n">
        <v>5.9</v>
      </c>
      <c r="J59" s="83" t="n">
        <v>6.390789074994641</v>
      </c>
      <c r="K59" s="83" t="n">
        <v>21.78</v>
      </c>
      <c r="L59" s="84" t="n">
        <v>60.2</v>
      </c>
      <c r="M59" s="17" t="n">
        <v>0</v>
      </c>
      <c r="N59" s="23" t="n">
        <v>33.1</v>
      </c>
      <c r="O59" s="103">
        <f>COUNTIFS($E:$E,$E59,$L:$L,"&gt;"&amp;$L59)+1</f>
        <v/>
      </c>
      <c r="P59" s="103">
        <f>COUNTIFS($E:$E,$E59,$M:$M,"&gt;"&amp;$M59)+1</f>
        <v/>
      </c>
      <c r="Q59" s="103">
        <f>COUNTIFS($E:$E,$E59,$N:$N,"&gt;"&amp;$N59)+1</f>
        <v/>
      </c>
      <c r="R59" s="85" t="inlineStr">
        <is>
          <t>📈 Good</t>
        </is>
      </c>
      <c r="S59" s="85" t="inlineStr">
        <is>
          <t>🔴 Not Qualified</t>
        </is>
      </c>
      <c r="T59" s="85" t="inlineStr">
        <is>
          <t>🔴 Avoid</t>
        </is>
      </c>
      <c r="U59" s="69" t="inlineStr">
        <is>
          <t>FULL</t>
        </is>
      </c>
    </row>
    <row r="60" ht="16" customHeight="1">
      <c r="A60" s="77" t="n">
        <v>56</v>
      </c>
      <c r="B60" s="78" t="inlineStr">
        <is>
          <t>BANK OF INDIA BALANCED ADVANTAGE FUND REGULAR PLAN  GROWTH</t>
        </is>
      </c>
      <c r="C60" s="78" t="inlineStr">
        <is>
          <t>Bank of India Mutual Fund</t>
        </is>
      </c>
      <c r="D60" s="78" t="inlineStr">
        <is>
          <t>Dynamic Asset Allocation Or Balanced Advantage</t>
        </is>
      </c>
      <c r="E60" s="78" t="inlineStr">
        <is>
          <t>Dynamic Asset Allocation Or Balanced Advantage</t>
        </is>
      </c>
      <c r="F60" s="79" t="n">
        <v>0.46</v>
      </c>
      <c r="G60" s="79" t="n">
        <v>2.6</v>
      </c>
      <c r="H60" s="79" t="n">
        <v>1.43</v>
      </c>
      <c r="I60" s="79" t="n">
        <v>7.04</v>
      </c>
      <c r="J60" s="79" t="n">
        <v>2.722928307170047</v>
      </c>
      <c r="K60" s="79" t="n">
        <v>31.01</v>
      </c>
      <c r="L60" s="84" t="n">
        <v>60</v>
      </c>
      <c r="M60" s="17" t="n">
        <v>0</v>
      </c>
      <c r="N60" s="23" t="n">
        <v>33</v>
      </c>
      <c r="O60" s="103">
        <f>COUNTIFS($E:$E,$E60,$L:$L,"&gt;"&amp;$L60)+1</f>
        <v/>
      </c>
      <c r="P60" s="103">
        <f>COUNTIFS($E:$E,$E60,$M:$M,"&gt;"&amp;$M60)+1</f>
        <v/>
      </c>
      <c r="Q60" s="103">
        <f>COUNTIFS($E:$E,$E60,$N:$N,"&gt;"&amp;$N60)+1</f>
        <v/>
      </c>
      <c r="R60" s="80" t="inlineStr">
        <is>
          <t>📈 Good</t>
        </is>
      </c>
      <c r="S60" s="80" t="inlineStr">
        <is>
          <t>🔴 Not Qualified</t>
        </is>
      </c>
      <c r="T60" s="80" t="inlineStr">
        <is>
          <t>🔴 Avoid</t>
        </is>
      </c>
      <c r="U60" s="69" t="inlineStr">
        <is>
          <t>FULL</t>
        </is>
      </c>
    </row>
    <row r="61" ht="16" customHeight="1">
      <c r="A61" s="81" t="n">
        <v>57</v>
      </c>
      <c r="B61" s="82" t="inlineStr">
        <is>
          <t>Nippon India Arbitrage Fund - Growth Plan - Growth Option</t>
        </is>
      </c>
      <c r="C61" s="82" t="inlineStr">
        <is>
          <t>Nippon India Mutual Fund</t>
        </is>
      </c>
      <c r="D61" s="82" t="inlineStr">
        <is>
          <t>Arbitrage Fund</t>
        </is>
      </c>
      <c r="E61" s="82" t="inlineStr">
        <is>
          <t>Arbitrage Fund</t>
        </is>
      </c>
      <c r="F61" s="83" t="n">
        <v>0.4</v>
      </c>
      <c r="G61" s="83" t="n">
        <v>1.45</v>
      </c>
      <c r="H61" s="83" t="n">
        <v>2.81</v>
      </c>
      <c r="I61" s="83" t="n">
        <v>5.87</v>
      </c>
      <c r="J61" s="83" t="n">
        <v>6.202636502113257</v>
      </c>
      <c r="K61" s="83" t="n">
        <v>21.26</v>
      </c>
      <c r="L61" s="84" t="n">
        <v>59.7</v>
      </c>
      <c r="M61" s="17" t="n">
        <v>0</v>
      </c>
      <c r="N61" s="23" t="n">
        <v>32.8</v>
      </c>
      <c r="O61" s="103">
        <f>COUNTIFS($E:$E,$E61,$L:$L,"&gt;"&amp;$L61)+1</f>
        <v/>
      </c>
      <c r="P61" s="103">
        <f>COUNTIFS($E:$E,$E61,$M:$M,"&gt;"&amp;$M61)+1</f>
        <v/>
      </c>
      <c r="Q61" s="103">
        <f>COUNTIFS($E:$E,$E61,$N:$N,"&gt;"&amp;$N61)+1</f>
        <v/>
      </c>
      <c r="R61" s="85" t="inlineStr">
        <is>
          <t>➡️ Neutral</t>
        </is>
      </c>
      <c r="S61" s="85" t="inlineStr">
        <is>
          <t>🔴 Not Qualified</t>
        </is>
      </c>
      <c r="T61" s="85" t="inlineStr">
        <is>
          <t>🔴 Avoid</t>
        </is>
      </c>
      <c r="U61" s="69" t="inlineStr">
        <is>
          <t>FULL</t>
        </is>
      </c>
    </row>
    <row r="62" ht="16" customHeight="1">
      <c r="A62" s="77" t="n">
        <v>58</v>
      </c>
      <c r="B62" s="78" t="inlineStr">
        <is>
          <t>quant Aggressive Hybrid Fund - Growth Option - Regular Plan</t>
        </is>
      </c>
      <c r="C62" s="78" t="inlineStr">
        <is>
          <t>quant Mutual Fund</t>
        </is>
      </c>
      <c r="D62" s="78" t="inlineStr">
        <is>
          <t>Aggressive Hybrid Fund</t>
        </is>
      </c>
      <c r="E62" s="78" t="inlineStr">
        <is>
          <t>Aggressive Hybrid Fund</t>
        </is>
      </c>
      <c r="F62" s="86" t="n">
        <v>-1.81</v>
      </c>
      <c r="G62" s="79" t="n">
        <v>3.24</v>
      </c>
      <c r="H62" s="79" t="n">
        <v>8.06</v>
      </c>
      <c r="I62" s="79" t="n">
        <v>11.91</v>
      </c>
      <c r="J62" s="79" t="n">
        <v>3.373110623604636</v>
      </c>
      <c r="K62" s="79" t="n">
        <v>44.36</v>
      </c>
      <c r="L62" s="84" t="n">
        <v>59.4</v>
      </c>
      <c r="M62" s="17" t="n">
        <v>0</v>
      </c>
      <c r="N62" s="23" t="n">
        <v>32.7</v>
      </c>
      <c r="O62" s="103">
        <f>COUNTIFS($E:$E,$E62,$L:$L,"&gt;"&amp;$L62)+1</f>
        <v/>
      </c>
      <c r="P62" s="103">
        <f>COUNTIFS($E:$E,$E62,$M:$M,"&gt;"&amp;$M62)+1</f>
        <v/>
      </c>
      <c r="Q62" s="103">
        <f>COUNTIFS($E:$E,$E62,$N:$N,"&gt;"&amp;$N62)+1</f>
        <v/>
      </c>
      <c r="R62" s="80" t="inlineStr">
        <is>
          <t>➡️ Neutral</t>
        </is>
      </c>
      <c r="S62" s="80" t="inlineStr">
        <is>
          <t>🔴 Not Qualified</t>
        </is>
      </c>
      <c r="T62" s="80" t="inlineStr">
        <is>
          <t>🔴 Avoid</t>
        </is>
      </c>
      <c r="U62" s="69" t="inlineStr">
        <is>
          <t>FULL</t>
        </is>
      </c>
    </row>
    <row r="63" ht="16" customHeight="1">
      <c r="A63" s="81" t="n">
        <v>59</v>
      </c>
      <c r="B63" s="82" t="inlineStr">
        <is>
          <t>Aditya Birla Sun Life Equity Hybrid'95 Fund - Regular Plan-Growth</t>
        </is>
      </c>
      <c r="C63" s="82" t="inlineStr">
        <is>
          <t>Aditya Birla Sun Life Mutual Fund</t>
        </is>
      </c>
      <c r="D63" s="82" t="inlineStr">
        <is>
          <t>Aggressive Hybrid Fund</t>
        </is>
      </c>
      <c r="E63" s="82" t="inlineStr">
        <is>
          <t>Aggressive Hybrid Fund</t>
        </is>
      </c>
      <c r="F63" s="83" t="n">
        <v>1.44</v>
      </c>
      <c r="G63" s="83" t="n">
        <v>6.13</v>
      </c>
      <c r="H63" s="83" t="n">
        <v>0.22</v>
      </c>
      <c r="I63" s="83" t="n">
        <v>3.9</v>
      </c>
      <c r="J63" s="83" t="n">
        <v>2.966013810383084</v>
      </c>
      <c r="K63" s="83" t="n">
        <v>36.33</v>
      </c>
      <c r="L63" s="84" t="n">
        <v>57.5</v>
      </c>
      <c r="M63" s="17" t="n">
        <v>0</v>
      </c>
      <c r="N63" s="23" t="n">
        <v>31.6</v>
      </c>
      <c r="O63" s="103">
        <f>COUNTIFS($E:$E,$E63,$L:$L,"&gt;"&amp;$L63)+1</f>
        <v/>
      </c>
      <c r="P63" s="103">
        <f>COUNTIFS($E:$E,$E63,$M:$M,"&gt;"&amp;$M63)+1</f>
        <v/>
      </c>
      <c r="Q63" s="103">
        <f>COUNTIFS($E:$E,$E63,$N:$N,"&gt;"&amp;$N63)+1</f>
        <v/>
      </c>
      <c r="R63" s="85" t="inlineStr">
        <is>
          <t>➡️ Neutral</t>
        </is>
      </c>
      <c r="S63" s="85" t="inlineStr">
        <is>
          <t>🔴 Not Qualified</t>
        </is>
      </c>
      <c r="T63" s="85" t="inlineStr">
        <is>
          <t>🔴 Avoid</t>
        </is>
      </c>
      <c r="U63" s="69" t="inlineStr">
        <is>
          <t>FULL</t>
        </is>
      </c>
    </row>
    <row r="64" ht="16" customHeight="1">
      <c r="A64" s="77" t="n">
        <v>60</v>
      </c>
      <c r="B64" s="78" t="inlineStr">
        <is>
          <t>Axis Aggressive Hybrid Fund - Regular Plan - Growth Option</t>
        </is>
      </c>
      <c r="C64" s="78" t="inlineStr">
        <is>
          <t>Axis Mutual Fund</t>
        </is>
      </c>
      <c r="D64" s="78" t="inlineStr">
        <is>
          <t>Aggressive Hybrid Fund</t>
        </is>
      </c>
      <c r="E64" s="78" t="inlineStr">
        <is>
          <t>Aggressive Hybrid Fund</t>
        </is>
      </c>
      <c r="F64" s="79" t="n">
        <v>1.2</v>
      </c>
      <c r="G64" s="79" t="n">
        <v>5.68</v>
      </c>
      <c r="H64" s="79" t="n">
        <v>0.62</v>
      </c>
      <c r="I64" s="79" t="n">
        <v>4.16</v>
      </c>
      <c r="J64" s="79" t="n">
        <v>2.825094213426316</v>
      </c>
      <c r="K64" s="79" t="n">
        <v>32.95</v>
      </c>
      <c r="L64" s="84" t="n">
        <v>57.3</v>
      </c>
      <c r="M64" s="17" t="n">
        <v>0</v>
      </c>
      <c r="N64" s="23" t="n">
        <v>31.5</v>
      </c>
      <c r="O64" s="103">
        <f>COUNTIFS($E:$E,$E64,$L:$L,"&gt;"&amp;$L64)+1</f>
        <v/>
      </c>
      <c r="P64" s="103">
        <f>COUNTIFS($E:$E,$E64,$M:$M,"&gt;"&amp;$M64)+1</f>
        <v/>
      </c>
      <c r="Q64" s="103">
        <f>COUNTIFS($E:$E,$E64,$N:$N,"&gt;"&amp;$N64)+1</f>
        <v/>
      </c>
      <c r="R64" s="80" t="inlineStr">
        <is>
          <t>➡️ Neutral</t>
        </is>
      </c>
      <c r="S64" s="80" t="inlineStr">
        <is>
          <t>🔴 Not Qualified</t>
        </is>
      </c>
      <c r="T64" s="80" t="inlineStr">
        <is>
          <t>🔴 Avoid</t>
        </is>
      </c>
      <c r="U64" s="69" t="inlineStr">
        <is>
          <t>FULL</t>
        </is>
      </c>
    </row>
    <row r="65" ht="16" customHeight="1">
      <c r="A65" s="81" t="n">
        <v>61</v>
      </c>
      <c r="B65" s="82" t="inlineStr">
        <is>
          <t>Union Equity Savings Fund - Regular Plan - Growth Option</t>
        </is>
      </c>
      <c r="C65" s="82" t="inlineStr">
        <is>
          <t>Union Mutual Fund</t>
        </is>
      </c>
      <c r="D65" s="82" t="inlineStr">
        <is>
          <t>Equity Savings</t>
        </is>
      </c>
      <c r="E65" s="82" t="inlineStr">
        <is>
          <t>Equity Savings</t>
        </is>
      </c>
      <c r="F65" s="83" t="n">
        <v>0.52</v>
      </c>
      <c r="G65" s="83" t="n">
        <v>3.67</v>
      </c>
      <c r="H65" s="83" t="n">
        <v>1.45</v>
      </c>
      <c r="I65" s="83" t="n">
        <v>4.41</v>
      </c>
      <c r="J65" s="83" t="n">
        <v>3.836409799260676</v>
      </c>
      <c r="K65" s="83" t="n">
        <v>22.96</v>
      </c>
      <c r="L65" s="84" t="n">
        <v>57</v>
      </c>
      <c r="M65" s="17" t="n">
        <v>0</v>
      </c>
      <c r="N65" s="23" t="n">
        <v>31.4</v>
      </c>
      <c r="O65" s="103">
        <f>COUNTIFS($E:$E,$E65,$L:$L,"&gt;"&amp;$L65)+1</f>
        <v/>
      </c>
      <c r="P65" s="103">
        <f>COUNTIFS($E:$E,$E65,$M:$M,"&gt;"&amp;$M65)+1</f>
        <v/>
      </c>
      <c r="Q65" s="103">
        <f>COUNTIFS($E:$E,$E65,$N:$N,"&gt;"&amp;$N65)+1</f>
        <v/>
      </c>
      <c r="R65" s="85" t="inlineStr">
        <is>
          <t>➡️ Neutral</t>
        </is>
      </c>
      <c r="S65" s="85" t="inlineStr">
        <is>
          <t>🔴 Not Qualified</t>
        </is>
      </c>
      <c r="T65" s="85" t="inlineStr">
        <is>
          <t>🔴 Avoid</t>
        </is>
      </c>
      <c r="U65" s="69" t="inlineStr">
        <is>
          <t>FULL</t>
        </is>
      </c>
    </row>
    <row r="66" ht="16" customHeight="1">
      <c r="A66" s="77" t="n">
        <v>62</v>
      </c>
      <c r="B66" s="78" t="inlineStr">
        <is>
          <t>Aditya BIRLA SUN LIFE ARBITRAGE FUND - REGULAR PLAN - GROWTH</t>
        </is>
      </c>
      <c r="C66" s="78" t="inlineStr">
        <is>
          <t>Aditya Birla Sun Life Mutual Fund</t>
        </is>
      </c>
      <c r="D66" s="78" t="inlineStr">
        <is>
          <t>Arbitrage Fund</t>
        </is>
      </c>
      <c r="E66" s="78" t="inlineStr">
        <is>
          <t>Arbitrage Fund</t>
        </is>
      </c>
      <c r="F66" s="79" t="n">
        <v>0.4</v>
      </c>
      <c r="G66" s="79" t="n">
        <v>1.45</v>
      </c>
      <c r="H66" s="79" t="n">
        <v>2.79</v>
      </c>
      <c r="I66" s="79" t="n">
        <v>5.86</v>
      </c>
      <c r="J66" s="79" t="n">
        <v>6.315568003938177</v>
      </c>
      <c r="K66" s="79" t="n">
        <v>21.55</v>
      </c>
      <c r="L66" s="84" t="n">
        <v>55.5</v>
      </c>
      <c r="M66" s="17" t="n">
        <v>0</v>
      </c>
      <c r="N66" s="23" t="n">
        <v>30.5</v>
      </c>
      <c r="O66" s="103">
        <f>COUNTIFS($E:$E,$E66,$L:$L,"&gt;"&amp;$L66)+1</f>
        <v/>
      </c>
      <c r="P66" s="103">
        <f>COUNTIFS($E:$E,$E66,$M:$M,"&gt;"&amp;$M66)+1</f>
        <v/>
      </c>
      <c r="Q66" s="103">
        <f>COUNTIFS($E:$E,$E66,$N:$N,"&gt;"&amp;$N66)+1</f>
        <v/>
      </c>
      <c r="R66" s="80" t="inlineStr">
        <is>
          <t>➡️ Neutral</t>
        </is>
      </c>
      <c r="S66" s="80" t="inlineStr">
        <is>
          <t>🔴 Not Qualified</t>
        </is>
      </c>
      <c r="T66" s="80" t="inlineStr">
        <is>
          <t>🔴 Avoid</t>
        </is>
      </c>
      <c r="U66" s="69" t="inlineStr">
        <is>
          <t>FULL</t>
        </is>
      </c>
    </row>
    <row r="67" ht="16" customHeight="1">
      <c r="A67" s="81" t="n">
        <v>63</v>
      </c>
      <c r="B67" s="82" t="inlineStr">
        <is>
          <t>Union Balanced Advantage Fund - Regular Plan - Growth Option</t>
        </is>
      </c>
      <c r="C67" s="82" t="inlineStr">
        <is>
          <t>Union Mutual Fund</t>
        </is>
      </c>
      <c r="D67" s="82" t="inlineStr">
        <is>
          <t>Dynamic Asset Allocation Or Balanced Advantage</t>
        </is>
      </c>
      <c r="E67" s="82" t="inlineStr">
        <is>
          <t>Dynamic Asset Allocation Or Balanced Advantage</t>
        </is>
      </c>
      <c r="F67" s="83" t="n">
        <v>0.92</v>
      </c>
      <c r="G67" s="83" t="n">
        <v>4.8</v>
      </c>
      <c r="H67" s="88" t="n">
        <v>-0.43</v>
      </c>
      <c r="I67" s="83" t="n">
        <v>3.28</v>
      </c>
      <c r="J67" s="83" t="n">
        <v>2.761860629321045</v>
      </c>
      <c r="K67" s="83" t="n">
        <v>27.28</v>
      </c>
      <c r="L67" s="84" t="n">
        <v>55.4</v>
      </c>
      <c r="M67" s="17" t="n">
        <v>0</v>
      </c>
      <c r="N67" s="23" t="n">
        <v>30.5</v>
      </c>
      <c r="O67" s="103">
        <f>COUNTIFS($E:$E,$E67,$L:$L,"&gt;"&amp;$L67)+1</f>
        <v/>
      </c>
      <c r="P67" s="103">
        <f>COUNTIFS($E:$E,$E67,$M:$M,"&gt;"&amp;$M67)+1</f>
        <v/>
      </c>
      <c r="Q67" s="103">
        <f>COUNTIFS($E:$E,$E67,$N:$N,"&gt;"&amp;$N67)+1</f>
        <v/>
      </c>
      <c r="R67" s="85" t="inlineStr">
        <is>
          <t>➡️ Neutral</t>
        </is>
      </c>
      <c r="S67" s="85" t="inlineStr">
        <is>
          <t>🔴 Not Qualified</t>
        </is>
      </c>
      <c r="T67" s="85" t="inlineStr">
        <is>
          <t>🔴 Avoid</t>
        </is>
      </c>
      <c r="U67" s="69" t="inlineStr">
        <is>
          <t>FULL</t>
        </is>
      </c>
    </row>
    <row r="68" ht="16" customHeight="1">
      <c r="A68" s="77" t="n">
        <v>64</v>
      </c>
      <c r="B68" s="78" t="inlineStr">
        <is>
          <t>PGIM India Equity Savings Fund - Growth Option</t>
        </is>
      </c>
      <c r="C68" s="78" t="inlineStr">
        <is>
          <t>PGIM India Mutual Fund</t>
        </is>
      </c>
      <c r="D68" s="78" t="inlineStr">
        <is>
          <t>Equity Savings</t>
        </is>
      </c>
      <c r="E68" s="78" t="inlineStr">
        <is>
          <t>Equity Savings</t>
        </is>
      </c>
      <c r="F68" s="79" t="n">
        <v>0.51</v>
      </c>
      <c r="G68" s="79" t="n">
        <v>2.99</v>
      </c>
      <c r="H68" s="79" t="n">
        <v>1.54</v>
      </c>
      <c r="I68" s="79" t="n">
        <v>4.12</v>
      </c>
      <c r="J68" s="79" t="n">
        <v>4.809350727881156</v>
      </c>
      <c r="K68" s="79" t="n">
        <v>20.35</v>
      </c>
      <c r="L68" s="84" t="n">
        <v>54.1</v>
      </c>
      <c r="M68" s="17" t="n">
        <v>0</v>
      </c>
      <c r="N68" s="23" t="n">
        <v>29.8</v>
      </c>
      <c r="O68" s="103">
        <f>COUNTIFS($E:$E,$E68,$L:$L,"&gt;"&amp;$L68)+1</f>
        <v/>
      </c>
      <c r="P68" s="103">
        <f>COUNTIFS($E:$E,$E68,$M:$M,"&gt;"&amp;$M68)+1</f>
        <v/>
      </c>
      <c r="Q68" s="103">
        <f>COUNTIFS($E:$E,$E68,$N:$N,"&gt;"&amp;$N68)+1</f>
        <v/>
      </c>
      <c r="R68" s="80" t="inlineStr">
        <is>
          <t>➡️ Neutral</t>
        </is>
      </c>
      <c r="S68" s="80" t="inlineStr">
        <is>
          <t>🔴 Not Qualified</t>
        </is>
      </c>
      <c r="T68" s="80" t="inlineStr">
        <is>
          <t>🔴 Avoid</t>
        </is>
      </c>
      <c r="U68" s="69" t="inlineStr">
        <is>
          <t>FULL</t>
        </is>
      </c>
    </row>
    <row r="69" ht="16" customHeight="1">
      <c r="A69" s="81" t="n">
        <v>65</v>
      </c>
      <c r="B69" s="82" t="inlineStr">
        <is>
          <t>Kotak Debt Hybrid - Growth</t>
        </is>
      </c>
      <c r="C69" s="82" t="inlineStr">
        <is>
          <t>Kotak Mahindra Mutual Fund</t>
        </is>
      </c>
      <c r="D69" s="82" t="inlineStr">
        <is>
          <t>Conservative Hybrid Fund</t>
        </is>
      </c>
      <c r="E69" s="82" t="inlineStr">
        <is>
          <t>Conservative Hybrid Fund</t>
        </is>
      </c>
      <c r="F69" s="83" t="n">
        <v>0.55</v>
      </c>
      <c r="G69" s="83" t="n">
        <v>3.36</v>
      </c>
      <c r="H69" s="83" t="n">
        <v>0.97</v>
      </c>
      <c r="I69" s="83" t="n">
        <v>3.65</v>
      </c>
      <c r="J69" s="83" t="n">
        <v>3.754517973917637</v>
      </c>
      <c r="K69" s="83" t="n">
        <v>26.74</v>
      </c>
      <c r="L69" s="84" t="n">
        <v>54</v>
      </c>
      <c r="M69" s="17" t="n">
        <v>0</v>
      </c>
      <c r="N69" s="23" t="n">
        <v>29.7</v>
      </c>
      <c r="O69" s="103">
        <f>COUNTIFS($E:$E,$E69,$L:$L,"&gt;"&amp;$L69)+1</f>
        <v/>
      </c>
      <c r="P69" s="103">
        <f>COUNTIFS($E:$E,$E69,$M:$M,"&gt;"&amp;$M69)+1</f>
        <v/>
      </c>
      <c r="Q69" s="103">
        <f>COUNTIFS($E:$E,$E69,$N:$N,"&gt;"&amp;$N69)+1</f>
        <v/>
      </c>
      <c r="R69" s="85" t="inlineStr">
        <is>
          <t>➡️ Neutral</t>
        </is>
      </c>
      <c r="S69" s="85" t="inlineStr">
        <is>
          <t>🔴 Not Qualified</t>
        </is>
      </c>
      <c r="T69" s="85" t="inlineStr">
        <is>
          <t>🔴 Avoid</t>
        </is>
      </c>
      <c r="U69" s="69" t="inlineStr">
        <is>
          <t>FULL</t>
        </is>
      </c>
    </row>
    <row r="70" ht="16" customHeight="1">
      <c r="A70" s="77" t="n">
        <v>66</v>
      </c>
      <c r="B70" s="78" t="inlineStr">
        <is>
          <t>Nippon India Aggressive Hybrid Fund - Growth Plan</t>
        </is>
      </c>
      <c r="C70" s="78" t="inlineStr">
        <is>
          <t>Nippon India Mutual Fund</t>
        </is>
      </c>
      <c r="D70" s="78" t="inlineStr">
        <is>
          <t>Aggressive Hybrid Fund</t>
        </is>
      </c>
      <c r="E70" s="78" t="inlineStr">
        <is>
          <t>Aggressive Hybrid Fund</t>
        </is>
      </c>
      <c r="F70" s="79" t="n">
        <v>1.22</v>
      </c>
      <c r="G70" s="79" t="n">
        <v>4.95</v>
      </c>
      <c r="H70" s="79" t="n">
        <v>0.14</v>
      </c>
      <c r="I70" s="79" t="n">
        <v>4.4</v>
      </c>
      <c r="J70" s="79" t="n">
        <v>3.730419839119525</v>
      </c>
      <c r="K70" s="79" t="n">
        <v>39.25</v>
      </c>
      <c r="L70" s="84" t="n">
        <v>53.5</v>
      </c>
      <c r="M70" s="17" t="n">
        <v>0</v>
      </c>
      <c r="N70" s="23" t="n">
        <v>29.4</v>
      </c>
      <c r="O70" s="103">
        <f>COUNTIFS($E:$E,$E70,$L:$L,"&gt;"&amp;$L70)+1</f>
        <v/>
      </c>
      <c r="P70" s="103">
        <f>COUNTIFS($E:$E,$E70,$M:$M,"&gt;"&amp;$M70)+1</f>
        <v/>
      </c>
      <c r="Q70" s="103">
        <f>COUNTIFS($E:$E,$E70,$N:$N,"&gt;"&amp;$N70)+1</f>
        <v/>
      </c>
      <c r="R70" s="80" t="inlineStr">
        <is>
          <t>➡️ Neutral</t>
        </is>
      </c>
      <c r="S70" s="80" t="inlineStr">
        <is>
          <t>🔴 Not Qualified</t>
        </is>
      </c>
      <c r="T70" s="80" t="inlineStr">
        <is>
          <t>🔴 Avoid</t>
        </is>
      </c>
      <c r="U70" s="69" t="inlineStr">
        <is>
          <t>FULL</t>
        </is>
      </c>
    </row>
    <row r="71" ht="16" customHeight="1">
      <c r="A71" s="81" t="n">
        <v>67</v>
      </c>
      <c r="B71" s="82" t="inlineStr">
        <is>
          <t>BANDHAN Equity Savings Fund - Regular Plan - Growth</t>
        </is>
      </c>
      <c r="C71" s="82" t="inlineStr">
        <is>
          <t>Bandhan Mutual Fund</t>
        </is>
      </c>
      <c r="D71" s="82" t="inlineStr">
        <is>
          <t>Equity Savings</t>
        </is>
      </c>
      <c r="E71" s="82" t="inlineStr">
        <is>
          <t>Equity Savings</t>
        </is>
      </c>
      <c r="F71" s="83" t="n">
        <v>0.52</v>
      </c>
      <c r="G71" s="83" t="n">
        <v>2.22</v>
      </c>
      <c r="H71" s="83" t="n">
        <v>1.75</v>
      </c>
      <c r="I71" s="83" t="n">
        <v>4.17</v>
      </c>
      <c r="J71" s="83" t="n">
        <v>4.852277037744868</v>
      </c>
      <c r="K71" s="83" t="n">
        <v>21.34</v>
      </c>
      <c r="L71" s="84" t="n">
        <v>52.7</v>
      </c>
      <c r="M71" s="17" t="n">
        <v>0</v>
      </c>
      <c r="N71" s="23" t="n">
        <v>29</v>
      </c>
      <c r="O71" s="103">
        <f>COUNTIFS($E:$E,$E71,$L:$L,"&gt;"&amp;$L71)+1</f>
        <v/>
      </c>
      <c r="P71" s="103">
        <f>COUNTIFS($E:$E,$E71,$M:$M,"&gt;"&amp;$M71)+1</f>
        <v/>
      </c>
      <c r="Q71" s="103">
        <f>COUNTIFS($E:$E,$E71,$N:$N,"&gt;"&amp;$N71)+1</f>
        <v/>
      </c>
      <c r="R71" s="85" t="inlineStr">
        <is>
          <t>➡️ Neutral</t>
        </is>
      </c>
      <c r="S71" s="85" t="inlineStr">
        <is>
          <t>🔴 Not Qualified</t>
        </is>
      </c>
      <c r="T71" s="85" t="inlineStr">
        <is>
          <t>🔴 Avoid</t>
        </is>
      </c>
      <c r="U71" s="69" t="inlineStr">
        <is>
          <t>FULL</t>
        </is>
      </c>
    </row>
    <row r="72" ht="16" customHeight="1">
      <c r="A72" s="77" t="n">
        <v>68</v>
      </c>
      <c r="B72" s="78" t="inlineStr">
        <is>
          <t>Sundaram Balanced Advantage Fund (Formerly Known as Principal Balanced Advantage Fund) - Growth Option</t>
        </is>
      </c>
      <c r="C72" s="78" t="inlineStr">
        <is>
          <t>Sundaram Mutual Fund</t>
        </is>
      </c>
      <c r="D72" s="78" t="inlineStr">
        <is>
          <t>Dynamic Asset Allocation Or Balanced Advantage</t>
        </is>
      </c>
      <c r="E72" s="78" t="inlineStr">
        <is>
          <t>Dynamic Asset Allocation Or Balanced Advantage</t>
        </is>
      </c>
      <c r="F72" s="79" t="n">
        <v>1.62</v>
      </c>
      <c r="G72" s="79" t="n">
        <v>4.22</v>
      </c>
      <c r="H72" s="86" t="n">
        <v>-0.6</v>
      </c>
      <c r="I72" s="79" t="n">
        <v>2.37</v>
      </c>
      <c r="J72" s="79" t="n">
        <v>2.259473888730734</v>
      </c>
      <c r="K72" s="79" t="n">
        <v>27.69</v>
      </c>
      <c r="L72" s="84" t="n">
        <v>52.6</v>
      </c>
      <c r="M72" s="17" t="n">
        <v>0</v>
      </c>
      <c r="N72" s="23" t="n">
        <v>29</v>
      </c>
      <c r="O72" s="103">
        <f>COUNTIFS($E:$E,$E72,$L:$L,"&gt;"&amp;$L72)+1</f>
        <v/>
      </c>
      <c r="P72" s="103">
        <f>COUNTIFS($E:$E,$E72,$M:$M,"&gt;"&amp;$M72)+1</f>
        <v/>
      </c>
      <c r="Q72" s="103">
        <f>COUNTIFS($E:$E,$E72,$N:$N,"&gt;"&amp;$N72)+1</f>
        <v/>
      </c>
      <c r="R72" s="80" t="inlineStr">
        <is>
          <t>➡️ Neutral</t>
        </is>
      </c>
      <c r="S72" s="80" t="inlineStr">
        <is>
          <t>🔴 Not Qualified</t>
        </is>
      </c>
      <c r="T72" s="80" t="inlineStr">
        <is>
          <t>🔴 Avoid</t>
        </is>
      </c>
      <c r="U72" s="69" t="inlineStr">
        <is>
          <t>FULL</t>
        </is>
      </c>
    </row>
    <row r="73" ht="16" customHeight="1">
      <c r="A73" s="81" t="n">
        <v>69</v>
      </c>
      <c r="B73" s="82" t="inlineStr">
        <is>
          <t>TATA Arbitrage Fund Regular Plan - Monthly Payout of Income Distribution cum capital withdrawal option</t>
        </is>
      </c>
      <c r="C73" s="82" t="inlineStr">
        <is>
          <t>Tata Mutual Fund</t>
        </is>
      </c>
      <c r="D73" s="82" t="inlineStr">
        <is>
          <t>Arbitrage Fund</t>
        </is>
      </c>
      <c r="E73" s="82" t="inlineStr">
        <is>
          <t>Arbitrage Fund</t>
        </is>
      </c>
      <c r="F73" s="83" t="n">
        <v>0.42</v>
      </c>
      <c r="G73" s="83" t="n">
        <v>1.43</v>
      </c>
      <c r="H73" s="83" t="n">
        <v>2.82</v>
      </c>
      <c r="I73" s="83" t="n">
        <v>5.85</v>
      </c>
      <c r="J73" s="83" t="n">
        <v>6.324973548080415</v>
      </c>
      <c r="K73" s="83" t="n">
        <v>21.54</v>
      </c>
      <c r="L73" s="84" t="n">
        <v>52.3</v>
      </c>
      <c r="M73" s="17" t="n">
        <v>0</v>
      </c>
      <c r="N73" s="23" t="n">
        <v>28.8</v>
      </c>
      <c r="O73" s="103">
        <f>COUNTIFS($E:$E,$E73,$L:$L,"&gt;"&amp;$L73)+1</f>
        <v/>
      </c>
      <c r="P73" s="103">
        <f>COUNTIFS($E:$E,$E73,$M:$M,"&gt;"&amp;$M73)+1</f>
        <v/>
      </c>
      <c r="Q73" s="103">
        <f>COUNTIFS($E:$E,$E73,$N:$N,"&gt;"&amp;$N73)+1</f>
        <v/>
      </c>
      <c r="R73" s="85" t="inlineStr">
        <is>
          <t>➡️ Neutral</t>
        </is>
      </c>
      <c r="S73" s="85" t="inlineStr">
        <is>
          <t>🔴 Not Qualified</t>
        </is>
      </c>
      <c r="T73" s="85" t="inlineStr">
        <is>
          <t>🔴 Avoid</t>
        </is>
      </c>
      <c r="U73" s="69" t="inlineStr">
        <is>
          <t>FULL</t>
        </is>
      </c>
    </row>
    <row r="74" ht="16" customHeight="1">
      <c r="A74" s="77" t="n">
        <v>70</v>
      </c>
      <c r="B74" s="78" t="inlineStr">
        <is>
          <t>Tata Arbitrage Fund-Regular Plan-Growth</t>
        </is>
      </c>
      <c r="C74" s="78" t="inlineStr">
        <is>
          <t>Tata Mutual Fund</t>
        </is>
      </c>
      <c r="D74" s="78" t="inlineStr">
        <is>
          <t>Arbitrage Fund</t>
        </is>
      </c>
      <c r="E74" s="78" t="inlineStr">
        <is>
          <t>Arbitrage Fund</t>
        </is>
      </c>
      <c r="F74" s="79" t="n">
        <v>0.42</v>
      </c>
      <c r="G74" s="79" t="n">
        <v>1.43</v>
      </c>
      <c r="H74" s="79" t="n">
        <v>2.82</v>
      </c>
      <c r="I74" s="79" t="n">
        <v>5.85</v>
      </c>
      <c r="J74" s="79" t="n">
        <v>6.324973548080415</v>
      </c>
      <c r="K74" s="79" t="n">
        <v>21.53</v>
      </c>
      <c r="L74" s="84" t="n">
        <v>52.3</v>
      </c>
      <c r="M74" s="17" t="n">
        <v>0</v>
      </c>
      <c r="N74" s="23" t="n">
        <v>28.8</v>
      </c>
      <c r="O74" s="103">
        <f>COUNTIFS($E:$E,$E74,$L:$L,"&gt;"&amp;$L74)+1</f>
        <v/>
      </c>
      <c r="P74" s="103">
        <f>COUNTIFS($E:$E,$E74,$M:$M,"&gt;"&amp;$M74)+1</f>
        <v/>
      </c>
      <c r="Q74" s="103">
        <f>COUNTIFS($E:$E,$E74,$N:$N,"&gt;"&amp;$N74)+1</f>
        <v/>
      </c>
      <c r="R74" s="80" t="inlineStr">
        <is>
          <t>➡️ Neutral</t>
        </is>
      </c>
      <c r="S74" s="80" t="inlineStr">
        <is>
          <t>🔴 Not Qualified</t>
        </is>
      </c>
      <c r="T74" s="80" t="inlineStr">
        <is>
          <t>🔴 Avoid</t>
        </is>
      </c>
      <c r="U74" s="69" t="inlineStr">
        <is>
          <t>FULL</t>
        </is>
      </c>
    </row>
    <row r="75" ht="16" customHeight="1">
      <c r="A75" s="81" t="n">
        <v>71</v>
      </c>
      <c r="B75" s="82" t="inlineStr">
        <is>
          <t>TATA Arbitrage Fund Regular Plan - Monthly Reinvestment of Income Distribution cum capital withdrawal option</t>
        </is>
      </c>
      <c r="C75" s="82" t="inlineStr">
        <is>
          <t>Tata Mutual Fund</t>
        </is>
      </c>
      <c r="D75" s="82" t="inlineStr">
        <is>
          <t>Arbitrage Fund</t>
        </is>
      </c>
      <c r="E75" s="82" t="inlineStr">
        <is>
          <t>Arbitrage Fund</t>
        </is>
      </c>
      <c r="F75" s="83" t="n">
        <v>0.42</v>
      </c>
      <c r="G75" s="83" t="n">
        <v>1.43</v>
      </c>
      <c r="H75" s="83" t="n">
        <v>2.82</v>
      </c>
      <c r="I75" s="83" t="n">
        <v>5.85</v>
      </c>
      <c r="J75" s="83" t="n">
        <v>6.324973548080415</v>
      </c>
      <c r="K75" s="83" t="n">
        <v>21.54</v>
      </c>
      <c r="L75" s="84" t="n">
        <v>52.3</v>
      </c>
      <c r="M75" s="17" t="n">
        <v>0</v>
      </c>
      <c r="N75" s="23" t="n">
        <v>28.8</v>
      </c>
      <c r="O75" s="103">
        <f>COUNTIFS($E:$E,$E75,$L:$L,"&gt;"&amp;$L75)+1</f>
        <v/>
      </c>
      <c r="P75" s="103">
        <f>COUNTIFS($E:$E,$E75,$M:$M,"&gt;"&amp;$M75)+1</f>
        <v/>
      </c>
      <c r="Q75" s="103">
        <f>COUNTIFS($E:$E,$E75,$N:$N,"&gt;"&amp;$N75)+1</f>
        <v/>
      </c>
      <c r="R75" s="85" t="inlineStr">
        <is>
          <t>➡️ Neutral</t>
        </is>
      </c>
      <c r="S75" s="85" t="inlineStr">
        <is>
          <t>🔴 Not Qualified</t>
        </is>
      </c>
      <c r="T75" s="85" t="inlineStr">
        <is>
          <t>🔴 Avoid</t>
        </is>
      </c>
      <c r="U75" s="69" t="inlineStr">
        <is>
          <t>FULL</t>
        </is>
      </c>
    </row>
    <row r="76" ht="16" customHeight="1">
      <c r="A76" s="77" t="n">
        <v>72</v>
      </c>
      <c r="B76" s="78" t="inlineStr">
        <is>
          <t>ICICI Prudential Regular Savings Fund - Direct Plan - Growth</t>
        </is>
      </c>
      <c r="C76" s="78" t="inlineStr">
        <is>
          <t>ICICI Prudential Mutual Fund</t>
        </is>
      </c>
      <c r="D76" s="78" t="inlineStr">
        <is>
          <t>Conservative Hybrid Fund</t>
        </is>
      </c>
      <c r="E76" s="78" t="inlineStr">
        <is>
          <t>Conservative Hybrid Fund</t>
        </is>
      </c>
      <c r="F76" s="79" t="n">
        <v>0.12</v>
      </c>
      <c r="G76" s="79" t="n">
        <v>2.31</v>
      </c>
      <c r="H76" s="79" t="n">
        <v>2.02</v>
      </c>
      <c r="I76" s="79" t="n">
        <v>5.06</v>
      </c>
      <c r="J76" s="79" t="n">
        <v>6.545764814937627</v>
      </c>
      <c r="K76" s="79" t="n">
        <v>31.53</v>
      </c>
      <c r="L76" s="84" t="n">
        <v>52.2</v>
      </c>
      <c r="M76" s="17" t="n">
        <v>0</v>
      </c>
      <c r="N76" s="23" t="n">
        <v>28.7</v>
      </c>
      <c r="O76" s="103">
        <f>COUNTIFS($E:$E,$E76,$L:$L,"&gt;"&amp;$L76)+1</f>
        <v/>
      </c>
      <c r="P76" s="103">
        <f>COUNTIFS($E:$E,$E76,$M:$M,"&gt;"&amp;$M76)+1</f>
        <v/>
      </c>
      <c r="Q76" s="103">
        <f>COUNTIFS($E:$E,$E76,$N:$N,"&gt;"&amp;$N76)+1</f>
        <v/>
      </c>
      <c r="R76" s="80" t="inlineStr">
        <is>
          <t>➡️ Neutral</t>
        </is>
      </c>
      <c r="S76" s="80" t="inlineStr">
        <is>
          <t>🔴 Not Qualified</t>
        </is>
      </c>
      <c r="T76" s="80" t="inlineStr">
        <is>
          <t>🔴 Avoid</t>
        </is>
      </c>
      <c r="U76" s="69" t="inlineStr">
        <is>
          <t>FULL</t>
        </is>
      </c>
    </row>
    <row r="77" ht="16" customHeight="1">
      <c r="A77" s="81" t="n">
        <v>73</v>
      </c>
      <c r="B77" s="82" t="inlineStr">
        <is>
          <t>DSP Dynamic Asset Allocation Fund - Regular Plan - Growth</t>
        </is>
      </c>
      <c r="C77" s="82" t="inlineStr">
        <is>
          <t>DSP Mutual Fund</t>
        </is>
      </c>
      <c r="D77" s="82" t="inlineStr">
        <is>
          <t>Dynamic Asset Allocation Or Balanced Advantage</t>
        </is>
      </c>
      <c r="E77" s="82" t="inlineStr">
        <is>
          <t>Dynamic Asset Allocation Or Balanced Advantage</t>
        </is>
      </c>
      <c r="F77" s="83" t="n">
        <v>0.04</v>
      </c>
      <c r="G77" s="83" t="n">
        <v>3.22</v>
      </c>
      <c r="H77" s="83" t="n">
        <v>1.3</v>
      </c>
      <c r="I77" s="83" t="n">
        <v>5.12</v>
      </c>
      <c r="J77" s="83" t="n">
        <v>5.418214744891214</v>
      </c>
      <c r="K77" s="83" t="n">
        <v>34.43</v>
      </c>
      <c r="L77" s="84" t="n">
        <v>52.2</v>
      </c>
      <c r="M77" s="17" t="n">
        <v>0</v>
      </c>
      <c r="N77" s="23" t="n">
        <v>28.7</v>
      </c>
      <c r="O77" s="103">
        <f>COUNTIFS($E:$E,$E77,$L:$L,"&gt;"&amp;$L77)+1</f>
        <v/>
      </c>
      <c r="P77" s="103">
        <f>COUNTIFS($E:$E,$E77,$M:$M,"&gt;"&amp;$M77)+1</f>
        <v/>
      </c>
      <c r="Q77" s="103">
        <f>COUNTIFS($E:$E,$E77,$N:$N,"&gt;"&amp;$N77)+1</f>
        <v/>
      </c>
      <c r="R77" s="85" t="inlineStr">
        <is>
          <t>➡️ Neutral</t>
        </is>
      </c>
      <c r="S77" s="85" t="inlineStr">
        <is>
          <t>🔴 Not Qualified</t>
        </is>
      </c>
      <c r="T77" s="85" t="inlineStr">
        <is>
          <t>🔴 Avoid</t>
        </is>
      </c>
      <c r="U77" s="69" t="inlineStr">
        <is>
          <t>FULL</t>
        </is>
      </c>
    </row>
    <row r="78" ht="16" customHeight="1">
      <c r="A78" s="77" t="n">
        <v>74</v>
      </c>
      <c r="B78" s="78" t="inlineStr">
        <is>
          <t>Baroda BNP Paribas Multi Asset Fund - Regular Plan - Growth Option</t>
        </is>
      </c>
      <c r="C78" s="78" t="inlineStr">
        <is>
          <t>Baroda BNP Paribas Mutual Fund</t>
        </is>
      </c>
      <c r="D78" s="78" t="inlineStr">
        <is>
          <t>Multi Asset Allocation</t>
        </is>
      </c>
      <c r="E78" s="78" t="inlineStr">
        <is>
          <t>Multi Asset Allocation</t>
        </is>
      </c>
      <c r="F78" s="79" t="n">
        <v>2.62</v>
      </c>
      <c r="G78" s="79" t="n">
        <v>2.46</v>
      </c>
      <c r="H78" s="79" t="n">
        <v>1.21</v>
      </c>
      <c r="I78" s="79" t="n">
        <v>11.61</v>
      </c>
      <c r="J78" s="79" t="n">
        <v>8.180404879996651</v>
      </c>
      <c r="K78" s="79" t="n">
        <v>52.62</v>
      </c>
      <c r="L78" s="84" t="n">
        <v>50.9</v>
      </c>
      <c r="M78" s="17" t="n">
        <v>0</v>
      </c>
      <c r="N78" s="23" t="n">
        <v>28</v>
      </c>
      <c r="O78" s="103">
        <f>COUNTIFS($E:$E,$E78,$L:$L,"&gt;"&amp;$L78)+1</f>
        <v/>
      </c>
      <c r="P78" s="103">
        <f>COUNTIFS($E:$E,$E78,$M:$M,"&gt;"&amp;$M78)+1</f>
        <v/>
      </c>
      <c r="Q78" s="103">
        <f>COUNTIFS($E:$E,$E78,$N:$N,"&gt;"&amp;$N78)+1</f>
        <v/>
      </c>
      <c r="R78" s="80" t="inlineStr">
        <is>
          <t>➡️ Neutral</t>
        </is>
      </c>
      <c r="S78" s="80" t="inlineStr">
        <is>
          <t>🔴 Not Qualified</t>
        </is>
      </c>
      <c r="T78" s="80" t="inlineStr">
        <is>
          <t>🔴 Avoid</t>
        </is>
      </c>
      <c r="U78" s="69" t="inlineStr">
        <is>
          <t>FULL</t>
        </is>
      </c>
    </row>
    <row r="79" ht="16" customHeight="1">
      <c r="A79" s="81" t="n">
        <v>75</v>
      </c>
      <c r="B79" s="82" t="inlineStr">
        <is>
          <t>Axis Arbitrage Fund - Regular Plan - Growth</t>
        </is>
      </c>
      <c r="C79" s="82" t="inlineStr">
        <is>
          <t>Axis Mutual Fund</t>
        </is>
      </c>
      <c r="D79" s="82" t="inlineStr">
        <is>
          <t>Arbitrage Fund</t>
        </is>
      </c>
      <c r="E79" s="82" t="inlineStr">
        <is>
          <t>Arbitrage Fund</t>
        </is>
      </c>
      <c r="F79" s="83" t="n">
        <v>0.42</v>
      </c>
      <c r="G79" s="83" t="n">
        <v>1.43</v>
      </c>
      <c r="H79" s="83" t="n">
        <v>2.8</v>
      </c>
      <c r="I79" s="83" t="n">
        <v>5.85</v>
      </c>
      <c r="J79" s="83" t="n">
        <v>6.268527796333001</v>
      </c>
      <c r="K79" s="83" t="n">
        <v>21.49</v>
      </c>
      <c r="L79" s="84" t="n">
        <v>50.5</v>
      </c>
      <c r="M79" s="17" t="n">
        <v>0</v>
      </c>
      <c r="N79" s="23" t="n">
        <v>27.8</v>
      </c>
      <c r="O79" s="103">
        <f>COUNTIFS($E:$E,$E79,$L:$L,"&gt;"&amp;$L79)+1</f>
        <v/>
      </c>
      <c r="P79" s="103">
        <f>COUNTIFS($E:$E,$E79,$M:$M,"&gt;"&amp;$M79)+1</f>
        <v/>
      </c>
      <c r="Q79" s="103">
        <f>COUNTIFS($E:$E,$E79,$N:$N,"&gt;"&amp;$N79)+1</f>
        <v/>
      </c>
      <c r="R79" s="85" t="inlineStr">
        <is>
          <t>➡️ Neutral</t>
        </is>
      </c>
      <c r="S79" s="85" t="inlineStr">
        <is>
          <t>🔴 Not Qualified</t>
        </is>
      </c>
      <c r="T79" s="85" t="inlineStr">
        <is>
          <t>🔴 Avoid</t>
        </is>
      </c>
      <c r="U79" s="69" t="inlineStr">
        <is>
          <t>FULL</t>
        </is>
      </c>
    </row>
    <row r="80" ht="16" customHeight="1">
      <c r="A80" s="77" t="n">
        <v>76</v>
      </c>
      <c r="B80" s="78" t="inlineStr">
        <is>
          <t>Franklin India Balanced Advantage Fund- Growth</t>
        </is>
      </c>
      <c r="C80" s="78" t="inlineStr">
        <is>
          <t>Franklin Templeton Mutual Fund</t>
        </is>
      </c>
      <c r="D80" s="78" t="inlineStr">
        <is>
          <t>Dynamic Asset Allocation Or Balanced Advantage</t>
        </is>
      </c>
      <c r="E80" s="78" t="inlineStr">
        <is>
          <t>Dynamic Asset Allocation Or Balanced Advantage</t>
        </is>
      </c>
      <c r="F80" s="79" t="n">
        <v>0.8100000000000001</v>
      </c>
      <c r="G80" s="79" t="n">
        <v>4.37</v>
      </c>
      <c r="H80" s="86" t="n">
        <v>-0.03</v>
      </c>
      <c r="I80" s="79" t="n">
        <v>2.29</v>
      </c>
      <c r="J80" s="79" t="n">
        <v>3.000000000000003</v>
      </c>
      <c r="K80" s="79" t="n">
        <v>32.34</v>
      </c>
      <c r="L80" s="87" t="n">
        <v>47.8</v>
      </c>
      <c r="M80" s="17" t="n">
        <v>0</v>
      </c>
      <c r="N80" s="23" t="n">
        <v>26.3</v>
      </c>
      <c r="O80" s="103">
        <f>COUNTIFS($E:$E,$E80,$L:$L,"&gt;"&amp;$L80)+1</f>
        <v/>
      </c>
      <c r="P80" s="103">
        <f>COUNTIFS($E:$E,$E80,$M:$M,"&gt;"&amp;$M80)+1</f>
        <v/>
      </c>
      <c r="Q80" s="103">
        <f>COUNTIFS($E:$E,$E80,$N:$N,"&gt;"&amp;$N80)+1</f>
        <v/>
      </c>
      <c r="R80" s="80" t="inlineStr">
        <is>
          <t>➡️ Neutral</t>
        </is>
      </c>
      <c r="S80" s="80" t="inlineStr">
        <is>
          <t>🔴 Not Qualified</t>
        </is>
      </c>
      <c r="T80" s="80" t="inlineStr">
        <is>
          <t>🔴 Avoid</t>
        </is>
      </c>
      <c r="U80" s="69" t="inlineStr">
        <is>
          <t>FULL</t>
        </is>
      </c>
    </row>
    <row r="81" ht="16" customHeight="1">
      <c r="A81" s="81" t="n">
        <v>77</v>
      </c>
      <c r="B81" s="82" t="inlineStr">
        <is>
          <t>DSP Regular Savings Fund - Direct Plan - Growth</t>
        </is>
      </c>
      <c r="C81" s="82" t="inlineStr">
        <is>
          <t>DSP Mutual Fund</t>
        </is>
      </c>
      <c r="D81" s="82" t="inlineStr">
        <is>
          <t>Conservative Hybrid Fund</t>
        </is>
      </c>
      <c r="E81" s="82" t="inlineStr">
        <is>
          <t>Conservative Hybrid Fund</t>
        </is>
      </c>
      <c r="F81" s="83" t="n">
        <v>0.12</v>
      </c>
      <c r="G81" s="83" t="n">
        <v>2.3</v>
      </c>
      <c r="H81" s="83" t="n">
        <v>1.94</v>
      </c>
      <c r="I81" s="83" t="n">
        <v>4.77</v>
      </c>
      <c r="J81" s="83" t="n">
        <v>6.207344378814028</v>
      </c>
      <c r="K81" s="83" t="n">
        <v>30.19</v>
      </c>
      <c r="L81" s="87" t="n">
        <v>47.2</v>
      </c>
      <c r="M81" s="17" t="n">
        <v>0</v>
      </c>
      <c r="N81" s="23" t="n">
        <v>26</v>
      </c>
      <c r="O81" s="103">
        <f>COUNTIFS($E:$E,$E81,$L:$L,"&gt;"&amp;$L81)+1</f>
        <v/>
      </c>
      <c r="P81" s="103">
        <f>COUNTIFS($E:$E,$E81,$M:$M,"&gt;"&amp;$M81)+1</f>
        <v/>
      </c>
      <c r="Q81" s="103">
        <f>COUNTIFS($E:$E,$E81,$N:$N,"&gt;"&amp;$N81)+1</f>
        <v/>
      </c>
      <c r="R81" s="85" t="inlineStr">
        <is>
          <t>➡️ Neutral</t>
        </is>
      </c>
      <c r="S81" s="85" t="inlineStr">
        <is>
          <t>🔴 Not Qualified</t>
        </is>
      </c>
      <c r="T81" s="85" t="inlineStr">
        <is>
          <t>🔴 Avoid</t>
        </is>
      </c>
      <c r="U81" s="69" t="inlineStr">
        <is>
          <t>FULL</t>
        </is>
      </c>
    </row>
    <row r="82" ht="16" customHeight="1">
      <c r="A82" s="77" t="n">
        <v>78</v>
      </c>
      <c r="B82" s="78" t="inlineStr">
        <is>
          <t>Axis Balanced Advantage Fund - Regular Plan - Growth</t>
        </is>
      </c>
      <c r="C82" s="78" t="inlineStr">
        <is>
          <t>Axis Mutual Fund</t>
        </is>
      </c>
      <c r="D82" s="78" t="inlineStr">
        <is>
          <t>Dynamic Asset Allocation Or Balanced Advantage</t>
        </is>
      </c>
      <c r="E82" s="78" t="inlineStr">
        <is>
          <t>Dynamic Asset Allocation Or Balanced Advantage</t>
        </is>
      </c>
      <c r="F82" s="79" t="n">
        <v>0.46</v>
      </c>
      <c r="G82" s="79" t="n">
        <v>3.84</v>
      </c>
      <c r="H82" s="79" t="n">
        <v>0</v>
      </c>
      <c r="I82" s="79" t="n">
        <v>4.24</v>
      </c>
      <c r="J82" s="79" t="n">
        <v>4.225716596241269</v>
      </c>
      <c r="K82" s="79" t="n">
        <v>40.58</v>
      </c>
      <c r="L82" s="87" t="n">
        <v>45.9</v>
      </c>
      <c r="M82" s="17" t="n">
        <v>0</v>
      </c>
      <c r="N82" s="23" t="n">
        <v>25.2</v>
      </c>
      <c r="O82" s="103">
        <f>COUNTIFS($E:$E,$E82,$L:$L,"&gt;"&amp;$L82)+1</f>
        <v/>
      </c>
      <c r="P82" s="103">
        <f>COUNTIFS($E:$E,$E82,$M:$M,"&gt;"&amp;$M82)+1</f>
        <v/>
      </c>
      <c r="Q82" s="103">
        <f>COUNTIFS($E:$E,$E82,$N:$N,"&gt;"&amp;$N82)+1</f>
        <v/>
      </c>
      <c r="R82" s="80" t="inlineStr">
        <is>
          <t>➡️ Neutral</t>
        </is>
      </c>
      <c r="S82" s="80" t="inlineStr">
        <is>
          <t>🔴 Not Qualified</t>
        </is>
      </c>
      <c r="T82" s="80" t="inlineStr">
        <is>
          <t>🔴 Avoid</t>
        </is>
      </c>
      <c r="U82" s="69" t="inlineStr">
        <is>
          <t>FULL</t>
        </is>
      </c>
    </row>
    <row r="83" ht="16" customHeight="1">
      <c r="A83" s="81" t="n">
        <v>79</v>
      </c>
      <c r="B83" s="82" t="inlineStr">
        <is>
          <t>Sundaram Aggressive Hybrid Fund (Formerly Known as Principal Hybrid Equity Fund)-Growth</t>
        </is>
      </c>
      <c r="C83" s="82" t="inlineStr">
        <is>
          <t>Sundaram Mutual Fund</t>
        </is>
      </c>
      <c r="D83" s="82" t="inlineStr">
        <is>
          <t>Aggressive Hybrid Fund</t>
        </is>
      </c>
      <c r="E83" s="82" t="inlineStr">
        <is>
          <t>Aggressive Hybrid Fund</t>
        </is>
      </c>
      <c r="F83" s="83" t="n">
        <v>1.92</v>
      </c>
      <c r="G83" s="83" t="n">
        <v>4.69</v>
      </c>
      <c r="H83" s="88" t="n">
        <v>-1.23</v>
      </c>
      <c r="I83" s="83" t="n">
        <v>1.85</v>
      </c>
      <c r="J83" s="83" t="n">
        <v>1.749692874229347</v>
      </c>
      <c r="K83" s="83" t="n">
        <v>32.47</v>
      </c>
      <c r="L83" s="87" t="n">
        <v>44</v>
      </c>
      <c r="M83" s="17" t="n">
        <v>0</v>
      </c>
      <c r="N83" s="23" t="n">
        <v>24.2</v>
      </c>
      <c r="O83" s="103">
        <f>COUNTIFS($E:$E,$E83,$L:$L,"&gt;"&amp;$L83)+1</f>
        <v/>
      </c>
      <c r="P83" s="103">
        <f>COUNTIFS($E:$E,$E83,$M:$M,"&gt;"&amp;$M83)+1</f>
        <v/>
      </c>
      <c r="Q83" s="103">
        <f>COUNTIFS($E:$E,$E83,$N:$N,"&gt;"&amp;$N83)+1</f>
        <v/>
      </c>
      <c r="R83" s="85" t="inlineStr">
        <is>
          <t>➡️ Neutral</t>
        </is>
      </c>
      <c r="S83" s="85" t="inlineStr">
        <is>
          <t>🔴 Not Qualified</t>
        </is>
      </c>
      <c r="T83" s="85" t="inlineStr">
        <is>
          <t>🔴 Avoid</t>
        </is>
      </c>
      <c r="U83" s="69" t="inlineStr">
        <is>
          <t>FULL</t>
        </is>
      </c>
    </row>
    <row r="84" ht="16" customHeight="1">
      <c r="A84" s="77" t="n">
        <v>80</v>
      </c>
      <c r="B84" s="78" t="inlineStr">
        <is>
          <t>DSP Arbitrage Fund - Regular - Growth</t>
        </is>
      </c>
      <c r="C84" s="78" t="inlineStr">
        <is>
          <t>DSP Mutual Fund</t>
        </is>
      </c>
      <c r="D84" s="78" t="inlineStr">
        <is>
          <t>Arbitrage Fund</t>
        </is>
      </c>
      <c r="E84" s="78" t="inlineStr">
        <is>
          <t>Arbitrage Fund</t>
        </is>
      </c>
      <c r="F84" s="79" t="n">
        <v>0.42</v>
      </c>
      <c r="G84" s="79" t="n">
        <v>1.41</v>
      </c>
      <c r="H84" s="79" t="n">
        <v>2.74</v>
      </c>
      <c r="I84" s="79" t="n">
        <v>5.75</v>
      </c>
      <c r="J84" s="79" t="n">
        <v>6.169675519895979</v>
      </c>
      <c r="K84" s="79" t="n">
        <v>21.12</v>
      </c>
      <c r="L84" s="87" t="n">
        <v>43.8</v>
      </c>
      <c r="M84" s="17" t="n">
        <v>0</v>
      </c>
      <c r="N84" s="23" t="n">
        <v>24.1</v>
      </c>
      <c r="O84" s="103">
        <f>COUNTIFS($E:$E,$E84,$L:$L,"&gt;"&amp;$L84)+1</f>
        <v/>
      </c>
      <c r="P84" s="103">
        <f>COUNTIFS($E:$E,$E84,$M:$M,"&gt;"&amp;$M84)+1</f>
        <v/>
      </c>
      <c r="Q84" s="103">
        <f>COUNTIFS($E:$E,$E84,$N:$N,"&gt;"&amp;$N84)+1</f>
        <v/>
      </c>
      <c r="R84" s="80" t="inlineStr">
        <is>
          <t>➡️ Neutral</t>
        </is>
      </c>
      <c r="S84" s="80" t="inlineStr">
        <is>
          <t>🔴 Not Qualified</t>
        </is>
      </c>
      <c r="T84" s="80" t="inlineStr">
        <is>
          <t>🔴 Avoid</t>
        </is>
      </c>
      <c r="U84" s="69" t="inlineStr">
        <is>
          <t>FULL</t>
        </is>
      </c>
    </row>
    <row r="85" ht="16" customHeight="1">
      <c r="A85" s="81" t="n">
        <v>81</v>
      </c>
      <c r="B85" s="82" t="inlineStr">
        <is>
          <t>SBI MULTI ASSET ALLOCATION FUND - REGULAR PLAN - GROWTH</t>
        </is>
      </c>
      <c r="C85" s="82" t="inlineStr">
        <is>
          <t>SBI Mutual Fund</t>
        </is>
      </c>
      <c r="D85" s="82" t="inlineStr">
        <is>
          <t>Multi Asset Allocation</t>
        </is>
      </c>
      <c r="E85" s="82" t="inlineStr">
        <is>
          <t>Multi Asset Allocation</t>
        </is>
      </c>
      <c r="F85" s="83" t="n">
        <v>1.16</v>
      </c>
      <c r="G85" s="83" t="n">
        <v>1.74</v>
      </c>
      <c r="H85" s="83" t="n">
        <v>0.87</v>
      </c>
      <c r="I85" s="83" t="n">
        <v>14.31</v>
      </c>
      <c r="J85" s="83" t="n">
        <v>10.96846398864859</v>
      </c>
      <c r="K85" s="83" t="n">
        <v>54.73</v>
      </c>
      <c r="L85" s="87" t="n">
        <v>38</v>
      </c>
      <c r="M85" s="17" t="n">
        <v>6.2</v>
      </c>
      <c r="N85" s="23" t="n">
        <v>23.7</v>
      </c>
      <c r="O85" s="103">
        <f>COUNTIFS($E:$E,$E85,$L:$L,"&gt;"&amp;$L85)+1</f>
        <v/>
      </c>
      <c r="P85" s="103">
        <f>COUNTIFS($E:$E,$E85,$M:$M,"&gt;"&amp;$M85)+1</f>
        <v/>
      </c>
      <c r="Q85" s="103">
        <f>COUNTIFS($E:$E,$E85,$N:$N,"&gt;"&amp;$N85)+1</f>
        <v/>
      </c>
      <c r="R85" s="85" t="inlineStr">
        <is>
          <t>📉 Weak</t>
        </is>
      </c>
      <c r="S85" s="85" t="inlineStr">
        <is>
          <t>⚠️ Below Avg</t>
        </is>
      </c>
      <c r="T85" s="85" t="inlineStr">
        <is>
          <t>🔴 Avoid</t>
        </is>
      </c>
      <c r="U85" s="69" t="inlineStr">
        <is>
          <t>FULL</t>
        </is>
      </c>
    </row>
    <row r="86" ht="16" customHeight="1">
      <c r="A86" s="77" t="n">
        <v>82</v>
      </c>
      <c r="B86" s="78" t="inlineStr">
        <is>
          <t>ITI Balanced Advantage Fund - Regular Plan - Growth Option</t>
        </is>
      </c>
      <c r="C86" s="78" t="inlineStr">
        <is>
          <t>ITI Mutual Fund</t>
        </is>
      </c>
      <c r="D86" s="78" t="inlineStr">
        <is>
          <t>Dynamic Asset Allocation Or Balanced Advantage</t>
        </is>
      </c>
      <c r="E86" s="78" t="inlineStr">
        <is>
          <t>Dynamic Asset Allocation Or Balanced Advantage</t>
        </is>
      </c>
      <c r="F86" s="79" t="n">
        <v>1.28</v>
      </c>
      <c r="G86" s="79" t="n">
        <v>3.9</v>
      </c>
      <c r="H86" s="86" t="n">
        <v>-1.61</v>
      </c>
      <c r="I86" s="79" t="n">
        <v>1.23</v>
      </c>
      <c r="J86" s="79" t="n">
        <v>1.631687971813189</v>
      </c>
      <c r="K86" s="79" t="n">
        <v>28.5</v>
      </c>
      <c r="L86" s="87" t="n">
        <v>42.4</v>
      </c>
      <c r="M86" s="17" t="n">
        <v>0</v>
      </c>
      <c r="N86" s="23" t="n">
        <v>23.3</v>
      </c>
      <c r="O86" s="103">
        <f>COUNTIFS($E:$E,$E86,$L:$L,"&gt;"&amp;$L86)+1</f>
        <v/>
      </c>
      <c r="P86" s="103">
        <f>COUNTIFS($E:$E,$E86,$M:$M,"&gt;"&amp;$M86)+1</f>
        <v/>
      </c>
      <c r="Q86" s="103">
        <f>COUNTIFS($E:$E,$E86,$N:$N,"&gt;"&amp;$N86)+1</f>
        <v/>
      </c>
      <c r="R86" s="80" t="inlineStr">
        <is>
          <t>➡️ Neutral</t>
        </is>
      </c>
      <c r="S86" s="80" t="inlineStr">
        <is>
          <t>🔴 Not Qualified</t>
        </is>
      </c>
      <c r="T86" s="80" t="inlineStr">
        <is>
          <t>🔴 Avoid</t>
        </is>
      </c>
      <c r="U86" s="69" t="inlineStr">
        <is>
          <t>FULL</t>
        </is>
      </c>
    </row>
    <row r="87" ht="16" customHeight="1">
      <c r="A87" s="81" t="n">
        <v>83</v>
      </c>
      <c r="B87" s="82" t="inlineStr">
        <is>
          <t>Mirae Asset Aggressive Hybrid Fund - Regular Plan - Growth</t>
        </is>
      </c>
      <c r="C87" s="82" t="inlineStr">
        <is>
          <t>Mirae Asset Mutual Fund</t>
        </is>
      </c>
      <c r="D87" s="82" t="inlineStr">
        <is>
          <t>Aggressive Hybrid Fund</t>
        </is>
      </c>
      <c r="E87" s="82" t="inlineStr">
        <is>
          <t>Aggressive Hybrid Fund</t>
        </is>
      </c>
      <c r="F87" s="83" t="n">
        <v>0.65</v>
      </c>
      <c r="G87" s="83" t="n">
        <v>3.82</v>
      </c>
      <c r="H87" s="88" t="n">
        <v>-0.42</v>
      </c>
      <c r="I87" s="83" t="n">
        <v>5.35</v>
      </c>
      <c r="J87" s="83" t="n">
        <v>3.980767452447664</v>
      </c>
      <c r="K87" s="83" t="n">
        <v>36.73</v>
      </c>
      <c r="L87" s="87" t="n">
        <v>42.1</v>
      </c>
      <c r="M87" s="17" t="n">
        <v>0</v>
      </c>
      <c r="N87" s="23" t="n">
        <v>23.2</v>
      </c>
      <c r="O87" s="103">
        <f>COUNTIFS($E:$E,$E87,$L:$L,"&gt;"&amp;$L87)+1</f>
        <v/>
      </c>
      <c r="P87" s="103">
        <f>COUNTIFS($E:$E,$E87,$M:$M,"&gt;"&amp;$M87)+1</f>
        <v/>
      </c>
      <c r="Q87" s="103">
        <f>COUNTIFS($E:$E,$E87,$N:$N,"&gt;"&amp;$N87)+1</f>
        <v/>
      </c>
      <c r="R87" s="85" t="inlineStr">
        <is>
          <t>➡️ Neutral</t>
        </is>
      </c>
      <c r="S87" s="85" t="inlineStr">
        <is>
          <t>🔴 Not Qualified</t>
        </is>
      </c>
      <c r="T87" s="85" t="inlineStr">
        <is>
          <t>🔴 Avoid</t>
        </is>
      </c>
      <c r="U87" s="69" t="inlineStr">
        <is>
          <t>FULL</t>
        </is>
      </c>
    </row>
    <row r="88" ht="16" customHeight="1">
      <c r="A88" s="77" t="n">
        <v>84</v>
      </c>
      <c r="B88" s="78" t="inlineStr">
        <is>
          <t>Tata Aggressive Hybrid Fund- Regular Plan - Growth Option</t>
        </is>
      </c>
      <c r="C88" s="78" t="inlineStr">
        <is>
          <t>Tata Mutual Fund</t>
        </is>
      </c>
      <c r="D88" s="78" t="inlineStr">
        <is>
          <t>Aggressive Hybrid Fund</t>
        </is>
      </c>
      <c r="E88" s="78" t="inlineStr">
        <is>
          <t>Aggressive Hybrid Fund</t>
        </is>
      </c>
      <c r="F88" s="79" t="n">
        <v>0.64</v>
      </c>
      <c r="G88" s="79" t="n">
        <v>5.52</v>
      </c>
      <c r="H88" s="86" t="n">
        <v>-0.84</v>
      </c>
      <c r="I88" s="79" t="n">
        <v>3.72</v>
      </c>
      <c r="J88" s="79" t="n">
        <v>0.9504829111777857</v>
      </c>
      <c r="K88" s="79" t="n">
        <v>28.72</v>
      </c>
      <c r="L88" s="87" t="n">
        <v>39.6</v>
      </c>
      <c r="M88" s="17" t="n">
        <v>0</v>
      </c>
      <c r="N88" s="23" t="n">
        <v>21.8</v>
      </c>
      <c r="O88" s="103">
        <f>COUNTIFS($E:$E,$E88,$L:$L,"&gt;"&amp;$L88)+1</f>
        <v/>
      </c>
      <c r="P88" s="103">
        <f>COUNTIFS($E:$E,$E88,$M:$M,"&gt;"&amp;$M88)+1</f>
        <v/>
      </c>
      <c r="Q88" s="103">
        <f>COUNTIFS($E:$E,$E88,$N:$N,"&gt;"&amp;$N88)+1</f>
        <v/>
      </c>
      <c r="R88" s="80" t="inlineStr">
        <is>
          <t>📉 Weak</t>
        </is>
      </c>
      <c r="S88" s="80" t="inlineStr">
        <is>
          <t>🔴 Not Qualified</t>
        </is>
      </c>
      <c r="T88" s="80" t="inlineStr">
        <is>
          <t>🔴 Avoid</t>
        </is>
      </c>
      <c r="U88" s="69" t="inlineStr">
        <is>
          <t>FULL</t>
        </is>
      </c>
    </row>
    <row r="89" ht="16" customHeight="1">
      <c r="A89" s="81" t="n">
        <v>85</v>
      </c>
      <c r="B89" s="82" t="inlineStr">
        <is>
          <t>Tata Multi Asset Allocation Fund-Regular Plan-Growth</t>
        </is>
      </c>
      <c r="C89" s="82" t="inlineStr">
        <is>
          <t>Tata Mutual Fund</t>
        </is>
      </c>
      <c r="D89" s="82" t="inlineStr">
        <is>
          <t>Multi Asset Allocation</t>
        </is>
      </c>
      <c r="E89" s="82" t="inlineStr">
        <is>
          <t>Multi Asset Allocation</t>
        </is>
      </c>
      <c r="F89" s="83" t="n">
        <v>1.03</v>
      </c>
      <c r="G89" s="83" t="n">
        <v>3.1</v>
      </c>
      <c r="H89" s="83" t="n">
        <v>1.06</v>
      </c>
      <c r="I89" s="83" t="n">
        <v>9.859999999999999</v>
      </c>
      <c r="J89" s="83" t="n">
        <v>7.4476616776745</v>
      </c>
      <c r="K89" s="83" t="n">
        <v>45.45</v>
      </c>
      <c r="L89" s="87" t="n">
        <v>39.6</v>
      </c>
      <c r="M89" s="17" t="n">
        <v>0</v>
      </c>
      <c r="N89" s="23" t="n">
        <v>21.8</v>
      </c>
      <c r="O89" s="103">
        <f>COUNTIFS($E:$E,$E89,$L:$L,"&gt;"&amp;$L89)+1</f>
        <v/>
      </c>
      <c r="P89" s="103">
        <f>COUNTIFS($E:$E,$E89,$M:$M,"&gt;"&amp;$M89)+1</f>
        <v/>
      </c>
      <c r="Q89" s="103">
        <f>COUNTIFS($E:$E,$E89,$N:$N,"&gt;"&amp;$N89)+1</f>
        <v/>
      </c>
      <c r="R89" s="85" t="inlineStr">
        <is>
          <t>📉 Weak</t>
        </is>
      </c>
      <c r="S89" s="85" t="inlineStr">
        <is>
          <t>🔴 Not Qualified</t>
        </is>
      </c>
      <c r="T89" s="85" t="inlineStr">
        <is>
          <t>🔴 Avoid</t>
        </is>
      </c>
      <c r="U89" s="69" t="inlineStr">
        <is>
          <t>FULL</t>
        </is>
      </c>
    </row>
    <row r="90" ht="16" customHeight="1">
      <c r="A90" s="77" t="n">
        <v>86</v>
      </c>
      <c r="B90" s="78" t="inlineStr">
        <is>
          <t>BANDHAN Arbitrage Fund - Regular Plan - Growth</t>
        </is>
      </c>
      <c r="C90" s="78" t="inlineStr">
        <is>
          <t>Bandhan Mutual Fund</t>
        </is>
      </c>
      <c r="D90" s="78" t="inlineStr">
        <is>
          <t>Arbitrage Fund</t>
        </is>
      </c>
      <c r="E90" s="78" t="inlineStr">
        <is>
          <t>Arbitrage Fund</t>
        </is>
      </c>
      <c r="F90" s="79" t="n">
        <v>0.42</v>
      </c>
      <c r="G90" s="79" t="n">
        <v>1.39</v>
      </c>
      <c r="H90" s="79" t="n">
        <v>2.71</v>
      </c>
      <c r="I90" s="79" t="n">
        <v>5.61</v>
      </c>
      <c r="J90" s="79" t="n">
        <v>6.146125694723303</v>
      </c>
      <c r="K90" s="79" t="n">
        <v>21.15</v>
      </c>
      <c r="L90" s="87" t="n">
        <v>39.4</v>
      </c>
      <c r="M90" s="17" t="n">
        <v>0</v>
      </c>
      <c r="N90" s="23" t="n">
        <v>21.7</v>
      </c>
      <c r="O90" s="103">
        <f>COUNTIFS($E:$E,$E90,$L:$L,"&gt;"&amp;$L90)+1</f>
        <v/>
      </c>
      <c r="P90" s="103">
        <f>COUNTIFS($E:$E,$E90,$M:$M,"&gt;"&amp;$M90)+1</f>
        <v/>
      </c>
      <c r="Q90" s="103">
        <f>COUNTIFS($E:$E,$E90,$N:$N,"&gt;"&amp;$N90)+1</f>
        <v/>
      </c>
      <c r="R90" s="80" t="inlineStr">
        <is>
          <t>📉 Weak</t>
        </is>
      </c>
      <c r="S90" s="80" t="inlineStr">
        <is>
          <t>🔴 Not Qualified</t>
        </is>
      </c>
      <c r="T90" s="80" t="inlineStr">
        <is>
          <t>🔴 Avoid</t>
        </is>
      </c>
      <c r="U90" s="69" t="inlineStr">
        <is>
          <t>FULL</t>
        </is>
      </c>
    </row>
    <row r="91" ht="16" customHeight="1">
      <c r="A91" s="81" t="n">
        <v>87</v>
      </c>
      <c r="B91" s="82" t="inlineStr">
        <is>
          <t>Sundaram Equity Savings Fund (Formerly Known as Principal Equity Savings Fund) - Growth Option</t>
        </is>
      </c>
      <c r="C91" s="82" t="inlineStr">
        <is>
          <t>Sundaram Mutual Fund</t>
        </is>
      </c>
      <c r="D91" s="82" t="inlineStr">
        <is>
          <t>Equity Savings</t>
        </is>
      </c>
      <c r="E91" s="82" t="inlineStr">
        <is>
          <t>Equity Savings</t>
        </is>
      </c>
      <c r="F91" s="83" t="n">
        <v>1.05</v>
      </c>
      <c r="G91" s="83" t="n">
        <v>2.72</v>
      </c>
      <c r="H91" s="88" t="n">
        <v>-0.39</v>
      </c>
      <c r="I91" s="83" t="n">
        <v>2.1</v>
      </c>
      <c r="J91" s="83" t="n">
        <v>3.624321469431102</v>
      </c>
      <c r="K91" s="83" t="n">
        <v>27.09</v>
      </c>
      <c r="L91" s="87" t="n">
        <v>39.3</v>
      </c>
      <c r="M91" s="17" t="n">
        <v>0</v>
      </c>
      <c r="N91" s="23" t="n">
        <v>21.6</v>
      </c>
      <c r="O91" s="103">
        <f>COUNTIFS($E:$E,$E91,$L:$L,"&gt;"&amp;$L91)+1</f>
        <v/>
      </c>
      <c r="P91" s="103">
        <f>COUNTIFS($E:$E,$E91,$M:$M,"&gt;"&amp;$M91)+1</f>
        <v/>
      </c>
      <c r="Q91" s="103">
        <f>COUNTIFS($E:$E,$E91,$N:$N,"&gt;"&amp;$N91)+1</f>
        <v/>
      </c>
      <c r="R91" s="85" t="inlineStr">
        <is>
          <t>📉 Weak</t>
        </is>
      </c>
      <c r="S91" s="85" t="inlineStr">
        <is>
          <t>🔴 Not Qualified</t>
        </is>
      </c>
      <c r="T91" s="85" t="inlineStr">
        <is>
          <t>🔴 Avoid</t>
        </is>
      </c>
      <c r="U91" s="69" t="inlineStr">
        <is>
          <t>FULL</t>
        </is>
      </c>
    </row>
    <row r="92" ht="16" customHeight="1">
      <c r="A92" s="77" t="n">
        <v>88</v>
      </c>
      <c r="B92" s="78" t="inlineStr">
        <is>
          <t>Baroda BNP Paribas Aggressive Hybrid Fund- REGULAT PLAN -GROWTH OPTION</t>
        </is>
      </c>
      <c r="C92" s="78" t="inlineStr">
        <is>
          <t>Baroda BNP Paribas Mutual Fund</t>
        </is>
      </c>
      <c r="D92" s="78" t="inlineStr">
        <is>
          <t>Aggressive Hybrid Fund</t>
        </is>
      </c>
      <c r="E92" s="78" t="inlineStr">
        <is>
          <t>Aggressive Hybrid Fund</t>
        </is>
      </c>
      <c r="F92" s="79" t="n">
        <v>1.24</v>
      </c>
      <c r="G92" s="79" t="n">
        <v>3.4</v>
      </c>
      <c r="H92" s="79" t="n">
        <v>0.35</v>
      </c>
      <c r="I92" s="79" t="n">
        <v>3.07</v>
      </c>
      <c r="J92" s="79" t="n">
        <v>1.700540804855111</v>
      </c>
      <c r="K92" s="79" t="n">
        <v>36.84</v>
      </c>
      <c r="L92" s="87" t="n">
        <v>38.8</v>
      </c>
      <c r="M92" s="17" t="n">
        <v>0</v>
      </c>
      <c r="N92" s="23" t="n">
        <v>21.4</v>
      </c>
      <c r="O92" s="103">
        <f>COUNTIFS($E:$E,$E92,$L:$L,"&gt;"&amp;$L92)+1</f>
        <v/>
      </c>
      <c r="P92" s="103">
        <f>COUNTIFS($E:$E,$E92,$M:$M,"&gt;"&amp;$M92)+1</f>
        <v/>
      </c>
      <c r="Q92" s="103">
        <f>COUNTIFS($E:$E,$E92,$N:$N,"&gt;"&amp;$N92)+1</f>
        <v/>
      </c>
      <c r="R92" s="80" t="inlineStr">
        <is>
          <t>📉 Weak</t>
        </is>
      </c>
      <c r="S92" s="80" t="inlineStr">
        <is>
          <t>🔴 Not Qualified</t>
        </is>
      </c>
      <c r="T92" s="80" t="inlineStr">
        <is>
          <t>🔴 Avoid</t>
        </is>
      </c>
      <c r="U92" s="69" t="inlineStr">
        <is>
          <t>FULL</t>
        </is>
      </c>
    </row>
    <row r="93" ht="16" customHeight="1">
      <c r="A93" s="81" t="n">
        <v>89</v>
      </c>
      <c r="B93" s="82" t="inlineStr">
        <is>
          <t>Edelweiss Multi Asset Allocation Fund - Regular Plan - Growth</t>
        </is>
      </c>
      <c r="C93" s="82" t="inlineStr">
        <is>
          <t>Edelweiss Mutual Fund</t>
        </is>
      </c>
      <c r="D93" s="82" t="inlineStr">
        <is>
          <t>Multi Asset Allocation</t>
        </is>
      </c>
      <c r="E93" s="82" t="inlineStr">
        <is>
          <t>Multi Asset Allocation</t>
        </is>
      </c>
      <c r="F93" s="83" t="n">
        <v>0.33</v>
      </c>
      <c r="G93" s="83" t="n">
        <v>2.18</v>
      </c>
      <c r="H93" s="83" t="n">
        <v>3.1</v>
      </c>
      <c r="I93" s="83" t="n">
        <v>6.31</v>
      </c>
      <c r="J93" s="83" t="n">
        <v>7.065400573668068</v>
      </c>
      <c r="K93" s="83" t="n">
        <v>23.61</v>
      </c>
      <c r="L93" s="87" t="n">
        <v>38.6</v>
      </c>
      <c r="M93" s="17" t="n">
        <v>0</v>
      </c>
      <c r="N93" s="23" t="n">
        <v>21.2</v>
      </c>
      <c r="O93" s="103">
        <f>COUNTIFS($E:$E,$E93,$L:$L,"&gt;"&amp;$L93)+1</f>
        <v/>
      </c>
      <c r="P93" s="103">
        <f>COUNTIFS($E:$E,$E93,$M:$M,"&gt;"&amp;$M93)+1</f>
        <v/>
      </c>
      <c r="Q93" s="103">
        <f>COUNTIFS($E:$E,$E93,$N:$N,"&gt;"&amp;$N93)+1</f>
        <v/>
      </c>
      <c r="R93" s="85" t="inlineStr">
        <is>
          <t>📉 Weak</t>
        </is>
      </c>
      <c r="S93" s="85" t="inlineStr">
        <is>
          <t>🔴 Not Qualified</t>
        </is>
      </c>
      <c r="T93" s="85" t="inlineStr">
        <is>
          <t>🔴 Avoid</t>
        </is>
      </c>
      <c r="U93" s="69" t="inlineStr">
        <is>
          <t>FULL</t>
        </is>
      </c>
    </row>
    <row r="94" ht="16" customHeight="1">
      <c r="A94" s="77" t="n">
        <v>90</v>
      </c>
      <c r="B94" s="78" t="inlineStr">
        <is>
          <t>BANK OF INDIA Arbitrage Fund Regular Growth</t>
        </is>
      </c>
      <c r="C94" s="78" t="inlineStr">
        <is>
          <t>Bank of India Mutual Fund</t>
        </is>
      </c>
      <c r="D94" s="78" t="inlineStr">
        <is>
          <t>Arbitrage Fund</t>
        </is>
      </c>
      <c r="E94" s="78" t="inlineStr">
        <is>
          <t>Arbitrage Fund</t>
        </is>
      </c>
      <c r="F94" s="79" t="n">
        <v>0.43</v>
      </c>
      <c r="G94" s="79" t="n">
        <v>1.2</v>
      </c>
      <c r="H94" s="79" t="n">
        <v>2.6</v>
      </c>
      <c r="I94" s="79" t="n">
        <v>5.46</v>
      </c>
      <c r="J94" s="79" t="n">
        <v>5.8772874605314</v>
      </c>
      <c r="K94" s="79" t="n">
        <v>19.7</v>
      </c>
      <c r="L94" s="87" t="n">
        <v>38.6</v>
      </c>
      <c r="M94" s="17" t="n">
        <v>0</v>
      </c>
      <c r="N94" s="23" t="n">
        <v>21.2</v>
      </c>
      <c r="O94" s="103">
        <f>COUNTIFS($E:$E,$E94,$L:$L,"&gt;"&amp;$L94)+1</f>
        <v/>
      </c>
      <c r="P94" s="103">
        <f>COUNTIFS($E:$E,$E94,$M:$M,"&gt;"&amp;$M94)+1</f>
        <v/>
      </c>
      <c r="Q94" s="103">
        <f>COUNTIFS($E:$E,$E94,$N:$N,"&gt;"&amp;$N94)+1</f>
        <v/>
      </c>
      <c r="R94" s="80" t="inlineStr">
        <is>
          <t>📉 Weak</t>
        </is>
      </c>
      <c r="S94" s="80" t="inlineStr">
        <is>
          <t>🔴 Not Qualified</t>
        </is>
      </c>
      <c r="T94" s="80" t="inlineStr">
        <is>
          <t>🔴 Avoid</t>
        </is>
      </c>
      <c r="U94" s="69" t="inlineStr">
        <is>
          <t>FULL</t>
        </is>
      </c>
    </row>
    <row r="95" ht="16" customHeight="1">
      <c r="A95" s="81" t="n">
        <v>91</v>
      </c>
      <c r="B95" s="82" t="inlineStr">
        <is>
          <t>Tata Balanced Advantage Fund-Regular Plan-Growth</t>
        </is>
      </c>
      <c r="C95" s="82" t="inlineStr">
        <is>
          <t>Tata Mutual Fund</t>
        </is>
      </c>
      <c r="D95" s="82" t="inlineStr">
        <is>
          <t>Dynamic Asset Allocation Or Balanced Advantage</t>
        </is>
      </c>
      <c r="E95" s="82" t="inlineStr">
        <is>
          <t>Dynamic Asset Allocation Or Balanced Advantage</t>
        </is>
      </c>
      <c r="F95" s="88" t="n">
        <v>-0.17</v>
      </c>
      <c r="G95" s="83" t="n">
        <v>3.62</v>
      </c>
      <c r="H95" s="83" t="n">
        <v>0.59</v>
      </c>
      <c r="I95" s="83" t="n">
        <v>4.5</v>
      </c>
      <c r="J95" s="83" t="n">
        <v>2.825094213426316</v>
      </c>
      <c r="K95" s="83" t="n">
        <v>28.06</v>
      </c>
      <c r="L95" s="87" t="n">
        <v>38.2</v>
      </c>
      <c r="M95" s="17" t="n">
        <v>0</v>
      </c>
      <c r="N95" s="23" t="n">
        <v>21</v>
      </c>
      <c r="O95" s="103">
        <f>COUNTIFS($E:$E,$E95,$L:$L,"&gt;"&amp;$L95)+1</f>
        <v/>
      </c>
      <c r="P95" s="103">
        <f>COUNTIFS($E:$E,$E95,$M:$M,"&gt;"&amp;$M95)+1</f>
        <v/>
      </c>
      <c r="Q95" s="103">
        <f>COUNTIFS($E:$E,$E95,$N:$N,"&gt;"&amp;$N95)+1</f>
        <v/>
      </c>
      <c r="R95" s="85" t="inlineStr">
        <is>
          <t>📉 Weak</t>
        </is>
      </c>
      <c r="S95" s="85" t="inlineStr">
        <is>
          <t>🔴 Not Qualified</t>
        </is>
      </c>
      <c r="T95" s="85" t="inlineStr">
        <is>
          <t>🔴 Avoid</t>
        </is>
      </c>
      <c r="U95" s="69" t="inlineStr">
        <is>
          <t>FULL</t>
        </is>
      </c>
    </row>
    <row r="96" ht="16" customHeight="1">
      <c r="A96" s="77" t="n">
        <v>92</v>
      </c>
      <c r="B96" s="78" t="inlineStr">
        <is>
          <t>Franklin India Equity Savings Fund- Growth</t>
        </is>
      </c>
      <c r="C96" s="78" t="inlineStr">
        <is>
          <t>Franklin Templeton Mutual Fund</t>
        </is>
      </c>
      <c r="D96" s="78" t="inlineStr">
        <is>
          <t>Equity Savings</t>
        </is>
      </c>
      <c r="E96" s="78" t="inlineStr">
        <is>
          <t>Equity Savings</t>
        </is>
      </c>
      <c r="F96" s="79" t="n">
        <v>0.44</v>
      </c>
      <c r="G96" s="79" t="n">
        <v>2.03</v>
      </c>
      <c r="H96" s="79" t="n">
        <v>1.11</v>
      </c>
      <c r="I96" s="79" t="n">
        <v>3.91</v>
      </c>
      <c r="J96" s="79" t="n">
        <v>4.537074762975846</v>
      </c>
      <c r="K96" s="79" t="n">
        <v>22.31</v>
      </c>
      <c r="L96" s="87" t="n">
        <v>36.8</v>
      </c>
      <c r="M96" s="17" t="n">
        <v>0</v>
      </c>
      <c r="N96" s="23" t="n">
        <v>20.3</v>
      </c>
      <c r="O96" s="103">
        <f>COUNTIFS($E:$E,$E96,$L:$L,"&gt;"&amp;$L96)+1</f>
        <v/>
      </c>
      <c r="P96" s="103">
        <f>COUNTIFS($E:$E,$E96,$M:$M,"&gt;"&amp;$M96)+1</f>
        <v/>
      </c>
      <c r="Q96" s="103">
        <f>COUNTIFS($E:$E,$E96,$N:$N,"&gt;"&amp;$N96)+1</f>
        <v/>
      </c>
      <c r="R96" s="80" t="inlineStr">
        <is>
          <t>📉 Weak</t>
        </is>
      </c>
      <c r="S96" s="80" t="inlineStr">
        <is>
          <t>🔴 Not Qualified</t>
        </is>
      </c>
      <c r="T96" s="80" t="inlineStr">
        <is>
          <t>🔴 Avoid</t>
        </is>
      </c>
      <c r="U96" s="69" t="inlineStr">
        <is>
          <t>FULL</t>
        </is>
      </c>
    </row>
    <row r="97" ht="16" customHeight="1">
      <c r="A97" s="81" t="n">
        <v>93</v>
      </c>
      <c r="B97" s="82" t="inlineStr">
        <is>
          <t>ICICI Prudential Regular Savings Fund - Plan - Growth</t>
        </is>
      </c>
      <c r="C97" s="82" t="inlineStr">
        <is>
          <t>ICICI Prudential Mutual Fund</t>
        </is>
      </c>
      <c r="D97" s="82" t="inlineStr">
        <is>
          <t>Conservative Hybrid Fund</t>
        </is>
      </c>
      <c r="E97" s="82" t="inlineStr">
        <is>
          <t>Conservative Hybrid Fund</t>
        </is>
      </c>
      <c r="F97" s="83" t="n">
        <v>0.06</v>
      </c>
      <c r="G97" s="83" t="n">
        <v>2.14</v>
      </c>
      <c r="H97" s="83" t="n">
        <v>1.65</v>
      </c>
      <c r="I97" s="83" t="n">
        <v>4.28</v>
      </c>
      <c r="J97" s="83" t="n">
        <v>5.763887976946092</v>
      </c>
      <c r="K97" s="83" t="n">
        <v>28.61</v>
      </c>
      <c r="L97" s="87" t="n">
        <v>36</v>
      </c>
      <c r="M97" s="17" t="n">
        <v>0</v>
      </c>
      <c r="N97" s="23" t="n">
        <v>19.8</v>
      </c>
      <c r="O97" s="103">
        <f>COUNTIFS($E:$E,$E97,$L:$L,"&gt;"&amp;$L97)+1</f>
        <v/>
      </c>
      <c r="P97" s="103">
        <f>COUNTIFS($E:$E,$E97,$M:$M,"&gt;"&amp;$M97)+1</f>
        <v/>
      </c>
      <c r="Q97" s="103">
        <f>COUNTIFS($E:$E,$E97,$N:$N,"&gt;"&amp;$N97)+1</f>
        <v/>
      </c>
      <c r="R97" s="85" t="inlineStr">
        <is>
          <t>📉 Weak</t>
        </is>
      </c>
      <c r="S97" s="85" t="inlineStr">
        <is>
          <t>🔴 Not Qualified</t>
        </is>
      </c>
      <c r="T97" s="85" t="inlineStr">
        <is>
          <t>🔴 Avoid</t>
        </is>
      </c>
      <c r="U97" s="69" t="inlineStr">
        <is>
          <t>FULL</t>
        </is>
      </c>
    </row>
    <row r="98" ht="16" customHeight="1">
      <c r="A98" s="77" t="n">
        <v>94</v>
      </c>
      <c r="B98" s="78" t="inlineStr">
        <is>
          <t>Shriram Aggressive Hybrid Fund- Regular Growth</t>
        </is>
      </c>
      <c r="C98" s="78" t="inlineStr">
        <is>
          <t>Shriram Mutual Fund</t>
        </is>
      </c>
      <c r="D98" s="78" t="inlineStr">
        <is>
          <t>Aggressive Hybrid Fund</t>
        </is>
      </c>
      <c r="E98" s="78" t="inlineStr">
        <is>
          <t>Aggressive Hybrid Fund</t>
        </is>
      </c>
      <c r="F98" s="79" t="n">
        <v>0.87</v>
      </c>
      <c r="G98" s="79" t="n">
        <v>3.59</v>
      </c>
      <c r="H98" s="86" t="n">
        <v>-0.3</v>
      </c>
      <c r="I98" s="79" t="n">
        <v>3.31</v>
      </c>
      <c r="J98" s="86" t="n">
        <v>-0.9697016060236208</v>
      </c>
      <c r="K98" s="79" t="n">
        <v>30.19</v>
      </c>
      <c r="L98" s="87" t="n">
        <v>35.8</v>
      </c>
      <c r="M98" s="17" t="n">
        <v>0</v>
      </c>
      <c r="N98" s="23" t="n">
        <v>19.7</v>
      </c>
      <c r="O98" s="103">
        <f>COUNTIFS($E:$E,$E98,$L:$L,"&gt;"&amp;$L98)+1</f>
        <v/>
      </c>
      <c r="P98" s="103">
        <f>COUNTIFS($E:$E,$E98,$M:$M,"&gt;"&amp;$M98)+1</f>
        <v/>
      </c>
      <c r="Q98" s="103">
        <f>COUNTIFS($E:$E,$E98,$N:$N,"&gt;"&amp;$N98)+1</f>
        <v/>
      </c>
      <c r="R98" s="80" t="inlineStr">
        <is>
          <t>📉 Weak</t>
        </is>
      </c>
      <c r="S98" s="80" t="inlineStr">
        <is>
          <t>🔴 Not Qualified</t>
        </is>
      </c>
      <c r="T98" s="80" t="inlineStr">
        <is>
          <t>🔴 Avoid</t>
        </is>
      </c>
      <c r="U98" s="69" t="inlineStr">
        <is>
          <t>FULL</t>
        </is>
      </c>
    </row>
    <row r="99" ht="16" customHeight="1">
      <c r="A99" s="81" t="n">
        <v>95</v>
      </c>
      <c r="B99" s="82" t="inlineStr">
        <is>
          <t>DSP Regular Savings Fund- Regular Plan - Growth</t>
        </is>
      </c>
      <c r="C99" s="82" t="inlineStr">
        <is>
          <t>DSP Mutual Fund</t>
        </is>
      </c>
      <c r="D99" s="82" t="inlineStr">
        <is>
          <t>Conservative Hybrid Fund</t>
        </is>
      </c>
      <c r="E99" s="82" t="inlineStr">
        <is>
          <t>Conservative Hybrid Fund</t>
        </is>
      </c>
      <c r="F99" s="83" t="n">
        <v>0.07000000000000001</v>
      </c>
      <c r="G99" s="83" t="n">
        <v>2.15</v>
      </c>
      <c r="H99" s="83" t="n">
        <v>1.61</v>
      </c>
      <c r="I99" s="83" t="n">
        <v>4.05</v>
      </c>
      <c r="J99" s="83" t="n">
        <v>5.508293512879825</v>
      </c>
      <c r="K99" s="83" t="n">
        <v>27.69</v>
      </c>
      <c r="L99" s="87" t="n">
        <v>35.5</v>
      </c>
      <c r="M99" s="17" t="n">
        <v>0</v>
      </c>
      <c r="N99" s="23" t="n">
        <v>19.5</v>
      </c>
      <c r="O99" s="103">
        <f>COUNTIFS($E:$E,$E99,$L:$L,"&gt;"&amp;$L99)+1</f>
        <v/>
      </c>
      <c r="P99" s="103">
        <f>COUNTIFS($E:$E,$E99,$M:$M,"&gt;"&amp;$M99)+1</f>
        <v/>
      </c>
      <c r="Q99" s="103">
        <f>COUNTIFS($E:$E,$E99,$N:$N,"&gt;"&amp;$N99)+1</f>
        <v/>
      </c>
      <c r="R99" s="85" t="inlineStr">
        <is>
          <t>📉 Weak</t>
        </is>
      </c>
      <c r="S99" s="85" t="inlineStr">
        <is>
          <t>🔴 Not Qualified</t>
        </is>
      </c>
      <c r="T99" s="85" t="inlineStr">
        <is>
          <t>🔴 Avoid</t>
        </is>
      </c>
      <c r="U99" s="69" t="inlineStr">
        <is>
          <t>FULL</t>
        </is>
      </c>
    </row>
    <row r="100" ht="16" customHeight="1">
      <c r="A100" s="77" t="n">
        <v>96</v>
      </c>
      <c r="B100" s="78" t="inlineStr">
        <is>
          <t>UTI Conservative Hybrd Fund - Regular Plan - Monthly Payment Option</t>
        </is>
      </c>
      <c r="C100" s="78" t="inlineStr">
        <is>
          <t>UTI Mutual Fund</t>
        </is>
      </c>
      <c r="D100" s="78" t="inlineStr">
        <is>
          <t>Conservative Hybrid Fund</t>
        </is>
      </c>
      <c r="E100" s="78" t="inlineStr">
        <is>
          <t>Conservative Hybrid Fund</t>
        </is>
      </c>
      <c r="F100" s="79" t="n">
        <v>0.18</v>
      </c>
      <c r="G100" s="79" t="n">
        <v>3.07</v>
      </c>
      <c r="H100" s="79" t="n">
        <v>0.88</v>
      </c>
      <c r="I100" s="79" t="n">
        <v>2.81</v>
      </c>
      <c r="J100" s="79" t="n">
        <v>4.192130221048851</v>
      </c>
      <c r="K100" s="79" t="n">
        <v>25.95</v>
      </c>
      <c r="L100" s="87" t="n">
        <v>35.5</v>
      </c>
      <c r="M100" s="17" t="n">
        <v>0</v>
      </c>
      <c r="N100" s="23" t="n">
        <v>19.5</v>
      </c>
      <c r="O100" s="103">
        <f>COUNTIFS($E:$E,$E100,$L:$L,"&gt;"&amp;$L100)+1</f>
        <v/>
      </c>
      <c r="P100" s="103">
        <f>COUNTIFS($E:$E,$E100,$M:$M,"&gt;"&amp;$M100)+1</f>
        <v/>
      </c>
      <c r="Q100" s="103">
        <f>COUNTIFS($E:$E,$E100,$N:$N,"&gt;"&amp;$N100)+1</f>
        <v/>
      </c>
      <c r="R100" s="80" t="inlineStr">
        <is>
          <t>📉 Weak</t>
        </is>
      </c>
      <c r="S100" s="80" t="inlineStr">
        <is>
          <t>🔴 Not Qualified</t>
        </is>
      </c>
      <c r="T100" s="80" t="inlineStr">
        <is>
          <t>🔴 Avoid</t>
        </is>
      </c>
      <c r="U100" s="69" t="inlineStr">
        <is>
          <t>FULL</t>
        </is>
      </c>
    </row>
    <row r="101" ht="16" customHeight="1">
      <c r="A101" s="81" t="n">
        <v>97</v>
      </c>
      <c r="B101" s="82" t="inlineStr">
        <is>
          <t>UTI Conservative Hybrid Fund - Regular Plan - Growth Option</t>
        </is>
      </c>
      <c r="C101" s="82" t="inlineStr">
        <is>
          <t>UTI Mutual Fund</t>
        </is>
      </c>
      <c r="D101" s="82" t="inlineStr">
        <is>
          <t>Conservative Hybrid Fund</t>
        </is>
      </c>
      <c r="E101" s="82" t="inlineStr">
        <is>
          <t>Conservative Hybrid Fund</t>
        </is>
      </c>
      <c r="F101" s="83" t="n">
        <v>0.18</v>
      </c>
      <c r="G101" s="83" t="n">
        <v>3.07</v>
      </c>
      <c r="H101" s="83" t="n">
        <v>0.88</v>
      </c>
      <c r="I101" s="83" t="n">
        <v>2.81</v>
      </c>
      <c r="J101" s="83" t="n">
        <v>4.192130221048851</v>
      </c>
      <c r="K101" s="83" t="n">
        <v>25.95</v>
      </c>
      <c r="L101" s="87" t="n">
        <v>35.5</v>
      </c>
      <c r="M101" s="17" t="n">
        <v>0</v>
      </c>
      <c r="N101" s="23" t="n">
        <v>19.5</v>
      </c>
      <c r="O101" s="103">
        <f>COUNTIFS($E:$E,$E101,$L:$L,"&gt;"&amp;$L101)+1</f>
        <v/>
      </c>
      <c r="P101" s="103">
        <f>COUNTIFS($E:$E,$E101,$M:$M,"&gt;"&amp;$M101)+1</f>
        <v/>
      </c>
      <c r="Q101" s="103">
        <f>COUNTIFS($E:$E,$E101,$N:$N,"&gt;"&amp;$N101)+1</f>
        <v/>
      </c>
      <c r="R101" s="85" t="inlineStr">
        <is>
          <t>📉 Weak</t>
        </is>
      </c>
      <c r="S101" s="85" t="inlineStr">
        <is>
          <t>🔴 Not Qualified</t>
        </is>
      </c>
      <c r="T101" s="85" t="inlineStr">
        <is>
          <t>🔴 Avoid</t>
        </is>
      </c>
      <c r="U101" s="69" t="inlineStr">
        <is>
          <t>FULL</t>
        </is>
      </c>
    </row>
    <row r="102" ht="16" customHeight="1">
      <c r="A102" s="77" t="n">
        <v>98</v>
      </c>
      <c r="B102" s="78" t="inlineStr">
        <is>
          <t>Franklin India Conservative Hybrid Fund - Growth</t>
        </is>
      </c>
      <c r="C102" s="78" t="inlineStr">
        <is>
          <t>Franklin Templeton Mutual Fund</t>
        </is>
      </c>
      <c r="D102" s="78" t="inlineStr">
        <is>
          <t>Conservative Hybrid Fund</t>
        </is>
      </c>
      <c r="E102" s="78" t="inlineStr">
        <is>
          <t>Conservative Hybrid Fund</t>
        </is>
      </c>
      <c r="F102" s="79" t="n">
        <v>0.52</v>
      </c>
      <c r="G102" s="79" t="n">
        <v>2.76</v>
      </c>
      <c r="H102" s="79" t="n">
        <v>0.6</v>
      </c>
      <c r="I102" s="79" t="n">
        <v>2.55</v>
      </c>
      <c r="J102" s="79" t="n">
        <v>4.297650980259382</v>
      </c>
      <c r="K102" s="79" t="n">
        <v>24.97</v>
      </c>
      <c r="L102" s="87" t="n">
        <v>34</v>
      </c>
      <c r="M102" s="17" t="n">
        <v>0</v>
      </c>
      <c r="N102" s="23" t="n">
        <v>18.7</v>
      </c>
      <c r="O102" s="103">
        <f>COUNTIFS($E:$E,$E102,$L:$L,"&gt;"&amp;$L102)+1</f>
        <v/>
      </c>
      <c r="P102" s="103">
        <f>COUNTIFS($E:$E,$E102,$M:$M,"&gt;"&amp;$M102)+1</f>
        <v/>
      </c>
      <c r="Q102" s="103">
        <f>COUNTIFS($E:$E,$E102,$N:$N,"&gt;"&amp;$N102)+1</f>
        <v/>
      </c>
      <c r="R102" s="80" t="inlineStr">
        <is>
          <t>📉 Weak</t>
        </is>
      </c>
      <c r="S102" s="80" t="inlineStr">
        <is>
          <t>🔴 Not Qualified</t>
        </is>
      </c>
      <c r="T102" s="80" t="inlineStr">
        <is>
          <t>🔴 Avoid</t>
        </is>
      </c>
      <c r="U102" s="69" t="inlineStr">
        <is>
          <t>FULL</t>
        </is>
      </c>
    </row>
    <row r="103" ht="16" customHeight="1">
      <c r="A103" s="81" t="n">
        <v>99</v>
      </c>
      <c r="B103" s="82" t="inlineStr">
        <is>
          <t>PGIM India Aggressive Hybrid Equity Fund - Growth Option</t>
        </is>
      </c>
      <c r="C103" s="82" t="inlineStr">
        <is>
          <t>PGIM India Mutual Fund</t>
        </is>
      </c>
      <c r="D103" s="82" t="inlineStr">
        <is>
          <t>Aggressive Hybrid Fund</t>
        </is>
      </c>
      <c r="E103" s="82" t="inlineStr">
        <is>
          <t>Aggressive Hybrid Fund</t>
        </is>
      </c>
      <c r="F103" s="83" t="n">
        <v>0.42</v>
      </c>
      <c r="G103" s="83" t="n">
        <v>4.18</v>
      </c>
      <c r="H103" s="83" t="n">
        <v>0.78</v>
      </c>
      <c r="I103" s="83" t="n">
        <v>0.37</v>
      </c>
      <c r="J103" s="83" t="n">
        <v>2.664502141684788</v>
      </c>
      <c r="K103" s="83" t="n">
        <v>28.22</v>
      </c>
      <c r="L103" s="87" t="n">
        <v>33.7</v>
      </c>
      <c r="M103" s="17" t="n">
        <v>0</v>
      </c>
      <c r="N103" s="23" t="n">
        <v>18.5</v>
      </c>
      <c r="O103" s="103">
        <f>COUNTIFS($E:$E,$E103,$L:$L,"&gt;"&amp;$L103)+1</f>
        <v/>
      </c>
      <c r="P103" s="103">
        <f>COUNTIFS($E:$E,$E103,$M:$M,"&gt;"&amp;$M103)+1</f>
        <v/>
      </c>
      <c r="Q103" s="103">
        <f>COUNTIFS($E:$E,$E103,$N:$N,"&gt;"&amp;$N103)+1</f>
        <v/>
      </c>
      <c r="R103" s="85" t="inlineStr">
        <is>
          <t>📉 Weak</t>
        </is>
      </c>
      <c r="S103" s="85" t="inlineStr">
        <is>
          <t>🔴 Not Qualified</t>
        </is>
      </c>
      <c r="T103" s="85" t="inlineStr">
        <is>
          <t>🔴 Avoid</t>
        </is>
      </c>
      <c r="U103" s="69" t="inlineStr">
        <is>
          <t>FULL</t>
        </is>
      </c>
    </row>
    <row r="104" ht="16" customHeight="1">
      <c r="A104" s="77" t="n">
        <v>100</v>
      </c>
      <c r="B104" s="78" t="inlineStr">
        <is>
          <t>HDFC Balanced Advantage Fund - Growth Plan</t>
        </is>
      </c>
      <c r="C104" s="78" t="inlineStr">
        <is>
          <t>HDFC Mutual Fund</t>
        </is>
      </c>
      <c r="D104" s="78" t="inlineStr">
        <is>
          <t>Dynamic Asset Allocation Or Balanced Advantage</t>
        </is>
      </c>
      <c r="E104" s="78" t="inlineStr">
        <is>
          <t>Dynamic Asset Allocation Or Balanced Advantage</t>
        </is>
      </c>
      <c r="F104" s="79" t="n">
        <v>0.22</v>
      </c>
      <c r="G104" s="79" t="n">
        <v>4.07</v>
      </c>
      <c r="H104" s="86" t="n">
        <v>-1.69</v>
      </c>
      <c r="I104" s="79" t="n">
        <v>2.57</v>
      </c>
      <c r="J104" s="79" t="n">
        <v>2.112682855754988</v>
      </c>
      <c r="K104" s="79" t="n">
        <v>43.17</v>
      </c>
      <c r="L104" s="87" t="n">
        <v>32.5</v>
      </c>
      <c r="M104" s="17" t="n">
        <v>0</v>
      </c>
      <c r="N104" s="23" t="n">
        <v>17.9</v>
      </c>
      <c r="O104" s="103">
        <f>COUNTIFS($E:$E,$E104,$L:$L,"&gt;"&amp;$L104)+1</f>
        <v/>
      </c>
      <c r="P104" s="103">
        <f>COUNTIFS($E:$E,$E104,$M:$M,"&gt;"&amp;$M104)+1</f>
        <v/>
      </c>
      <c r="Q104" s="103">
        <f>COUNTIFS($E:$E,$E104,$N:$N,"&gt;"&amp;$N104)+1</f>
        <v/>
      </c>
      <c r="R104" s="80" t="inlineStr">
        <is>
          <t>📉 Weak</t>
        </is>
      </c>
      <c r="S104" s="80" t="inlineStr">
        <is>
          <t>🔴 Not Qualified</t>
        </is>
      </c>
      <c r="T104" s="80" t="inlineStr">
        <is>
          <t>🔴 Avoid</t>
        </is>
      </c>
      <c r="U104" s="69" t="inlineStr">
        <is>
          <t>FULL</t>
        </is>
      </c>
    </row>
    <row r="105" ht="16" customHeight="1">
      <c r="A105" s="81" t="n">
        <v>101</v>
      </c>
      <c r="B105" s="82" t="inlineStr">
        <is>
          <t>HDFC Equity Savings Fund - GROWTH PLAN</t>
        </is>
      </c>
      <c r="C105" s="82" t="inlineStr">
        <is>
          <t>HDFC Mutual Fund</t>
        </is>
      </c>
      <c r="D105" s="82" t="inlineStr">
        <is>
          <t>Equity Savings</t>
        </is>
      </c>
      <c r="E105" s="82" t="inlineStr">
        <is>
          <t>Equity Savings</t>
        </is>
      </c>
      <c r="F105" s="83" t="n">
        <v>0.26</v>
      </c>
      <c r="G105" s="83" t="n">
        <v>2.58</v>
      </c>
      <c r="H105" s="88" t="n">
        <v>-0.26</v>
      </c>
      <c r="I105" s="83" t="n">
        <v>3.61</v>
      </c>
      <c r="J105" s="83" t="n">
        <v>3.561575886039892</v>
      </c>
      <c r="K105" s="83" t="n">
        <v>26.41</v>
      </c>
      <c r="L105" s="87" t="n">
        <v>32.5</v>
      </c>
      <c r="M105" s="17" t="n">
        <v>0</v>
      </c>
      <c r="N105" s="23" t="n">
        <v>17.9</v>
      </c>
      <c r="O105" s="103">
        <f>COUNTIFS($E:$E,$E105,$L:$L,"&gt;"&amp;$L105)+1</f>
        <v/>
      </c>
      <c r="P105" s="103">
        <f>COUNTIFS($E:$E,$E105,$M:$M,"&gt;"&amp;$M105)+1</f>
        <v/>
      </c>
      <c r="Q105" s="103">
        <f>COUNTIFS($E:$E,$E105,$N:$N,"&gt;"&amp;$N105)+1</f>
        <v/>
      </c>
      <c r="R105" s="85" t="inlineStr">
        <is>
          <t>📉 Weak</t>
        </is>
      </c>
      <c r="S105" s="85" t="inlineStr">
        <is>
          <t>🔴 Not Qualified</t>
        </is>
      </c>
      <c r="T105" s="85" t="inlineStr">
        <is>
          <t>🔴 Avoid</t>
        </is>
      </c>
      <c r="U105" s="69" t="inlineStr">
        <is>
          <t>FULL</t>
        </is>
      </c>
    </row>
    <row r="106" ht="16" customHeight="1">
      <c r="A106" s="77" t="n">
        <v>102</v>
      </c>
      <c r="B106" s="78" t="inlineStr">
        <is>
          <t>ICICI Prudential Equity &amp; Debt Fund - Growth</t>
        </is>
      </c>
      <c r="C106" s="78" t="inlineStr">
        <is>
          <t>ICICI Prudential Mutual Fund</t>
        </is>
      </c>
      <c r="D106" s="78" t="inlineStr">
        <is>
          <t>Aggressive Hybrid Fund</t>
        </is>
      </c>
      <c r="E106" s="78" t="inlineStr">
        <is>
          <t>Aggressive Hybrid Fund</t>
        </is>
      </c>
      <c r="F106" s="79" t="n">
        <v>0.02</v>
      </c>
      <c r="G106" s="79" t="n">
        <v>3.41</v>
      </c>
      <c r="H106" s="86" t="n">
        <v>-0.79</v>
      </c>
      <c r="I106" s="79" t="n">
        <v>4.57</v>
      </c>
      <c r="J106" s="79" t="n">
        <v>4.866581902911271</v>
      </c>
      <c r="K106" s="79" t="n">
        <v>50.6</v>
      </c>
      <c r="L106" s="87" t="n">
        <v>31.9</v>
      </c>
      <c r="M106" s="17" t="n">
        <v>0</v>
      </c>
      <c r="N106" s="23" t="n">
        <v>17.6</v>
      </c>
      <c r="O106" s="103">
        <f>COUNTIFS($E:$E,$E106,$L:$L,"&gt;"&amp;$L106)+1</f>
        <v/>
      </c>
      <c r="P106" s="103">
        <f>COUNTIFS($E:$E,$E106,$M:$M,"&gt;"&amp;$M106)+1</f>
        <v/>
      </c>
      <c r="Q106" s="103">
        <f>COUNTIFS($E:$E,$E106,$N:$N,"&gt;"&amp;$N106)+1</f>
        <v/>
      </c>
      <c r="R106" s="80" t="inlineStr">
        <is>
          <t>📉 Weak</t>
        </is>
      </c>
      <c r="S106" s="80" t="inlineStr">
        <is>
          <t>🔴 Not Qualified</t>
        </is>
      </c>
      <c r="T106" s="80" t="inlineStr">
        <is>
          <t>🔴 Avoid</t>
        </is>
      </c>
      <c r="U106" s="69" t="inlineStr">
        <is>
          <t>FULL</t>
        </is>
      </c>
    </row>
    <row r="107" ht="16" customHeight="1">
      <c r="A107" s="81" t="n">
        <v>103</v>
      </c>
      <c r="B107" s="82" t="inlineStr">
        <is>
          <t>SBI Equity Savings Fund - Regular Plan - Growth</t>
        </is>
      </c>
      <c r="C107" s="82" t="inlineStr">
        <is>
          <t>SBI Mutual Fund</t>
        </is>
      </c>
      <c r="D107" s="82" t="inlineStr">
        <is>
          <t>Equity Savings</t>
        </is>
      </c>
      <c r="E107" s="82" t="inlineStr">
        <is>
          <t>Equity Savings</t>
        </is>
      </c>
      <c r="F107" s="83" t="n">
        <v>0.25</v>
      </c>
      <c r="G107" s="83" t="n">
        <v>1.89</v>
      </c>
      <c r="H107" s="83" t="n">
        <v>1.01</v>
      </c>
      <c r="I107" s="83" t="n">
        <v>3.99</v>
      </c>
      <c r="J107" s="83" t="n">
        <v>4.560986988455684</v>
      </c>
      <c r="K107" s="83" t="n">
        <v>27.57</v>
      </c>
      <c r="L107" s="87" t="n">
        <v>31.4</v>
      </c>
      <c r="M107" s="17" t="n">
        <v>0</v>
      </c>
      <c r="N107" s="23" t="n">
        <v>17.2</v>
      </c>
      <c r="O107" s="103">
        <f>COUNTIFS($E:$E,$E107,$L:$L,"&gt;"&amp;$L107)+1</f>
        <v/>
      </c>
      <c r="P107" s="103">
        <f>COUNTIFS($E:$E,$E107,$M:$M,"&gt;"&amp;$M107)+1</f>
        <v/>
      </c>
      <c r="Q107" s="103">
        <f>COUNTIFS($E:$E,$E107,$N:$N,"&gt;"&amp;$N107)+1</f>
        <v/>
      </c>
      <c r="R107" s="85" t="inlineStr">
        <is>
          <t>📉 Weak</t>
        </is>
      </c>
      <c r="S107" s="85" t="inlineStr">
        <is>
          <t>🔴 Not Qualified</t>
        </is>
      </c>
      <c r="T107" s="85" t="inlineStr">
        <is>
          <t>🔴 Avoid</t>
        </is>
      </c>
      <c r="U107" s="69" t="inlineStr">
        <is>
          <t>FULL</t>
        </is>
      </c>
    </row>
    <row r="108" ht="16" customHeight="1">
      <c r="A108" s="77" t="n">
        <v>104</v>
      </c>
      <c r="B108" s="78" t="inlineStr">
        <is>
          <t>ICICI Prudential Multi-Asset Fund - Growth</t>
        </is>
      </c>
      <c r="C108" s="78" t="inlineStr">
        <is>
          <t>ICICI Prudential Mutual Fund</t>
        </is>
      </c>
      <c r="D108" s="78" t="inlineStr">
        <is>
          <t>Multi Asset Allocation</t>
        </is>
      </c>
      <c r="E108" s="78" t="inlineStr">
        <is>
          <t>Multi Asset Allocation</t>
        </is>
      </c>
      <c r="F108" s="79" t="n">
        <v>1.18</v>
      </c>
      <c r="G108" s="79" t="n">
        <v>2.86</v>
      </c>
      <c r="H108" s="86" t="n">
        <v>-0.4</v>
      </c>
      <c r="I108" s="79" t="n">
        <v>9.220000000000001</v>
      </c>
      <c r="J108" s="79" t="n">
        <v>8.853112036358436</v>
      </c>
      <c r="K108" s="79" t="n">
        <v>54.02</v>
      </c>
      <c r="L108" s="87" t="n">
        <v>30.9</v>
      </c>
      <c r="M108" s="17" t="n">
        <v>0</v>
      </c>
      <c r="N108" s="23" t="n">
        <v>17</v>
      </c>
      <c r="O108" s="103">
        <f>COUNTIFS($E:$E,$E108,$L:$L,"&gt;"&amp;$L108)+1</f>
        <v/>
      </c>
      <c r="P108" s="103">
        <f>COUNTIFS($E:$E,$E108,$M:$M,"&gt;"&amp;$M108)+1</f>
        <v/>
      </c>
      <c r="Q108" s="103">
        <f>COUNTIFS($E:$E,$E108,$N:$N,"&gt;"&amp;$N108)+1</f>
        <v/>
      </c>
      <c r="R108" s="80" t="inlineStr">
        <is>
          <t>📉 Weak</t>
        </is>
      </c>
      <c r="S108" s="80" t="inlineStr">
        <is>
          <t>🔴 Not Qualified</t>
        </is>
      </c>
      <c r="T108" s="80" t="inlineStr">
        <is>
          <t>🔴 Avoid</t>
        </is>
      </c>
      <c r="U108" s="69" t="inlineStr">
        <is>
          <t>FULL</t>
        </is>
      </c>
    </row>
    <row r="109" ht="16" customHeight="1">
      <c r="A109" s="81" t="n">
        <v>105</v>
      </c>
      <c r="B109" s="82" t="inlineStr">
        <is>
          <t>UTI Multi Asset Allocation Fund - Regular Plan - Growth Option</t>
        </is>
      </c>
      <c r="C109" s="82" t="inlineStr">
        <is>
          <t>UTI Mutual Fund</t>
        </is>
      </c>
      <c r="D109" s="82" t="inlineStr">
        <is>
          <t>Multi Asset Allocation</t>
        </is>
      </c>
      <c r="E109" s="82" t="inlineStr">
        <is>
          <t>Multi Asset Allocation</t>
        </is>
      </c>
      <c r="F109" s="83" t="n">
        <v>1.74</v>
      </c>
      <c r="G109" s="83" t="n">
        <v>2.28</v>
      </c>
      <c r="H109" s="88" t="n">
        <v>-0.32</v>
      </c>
      <c r="I109" s="83" t="n">
        <v>8.27</v>
      </c>
      <c r="J109" s="83" t="n">
        <v>5.574618161753264</v>
      </c>
      <c r="K109" s="83" t="n">
        <v>56.6</v>
      </c>
      <c r="L109" s="87" t="n">
        <v>30.9</v>
      </c>
      <c r="M109" s="17" t="n">
        <v>0</v>
      </c>
      <c r="N109" s="23" t="n">
        <v>17</v>
      </c>
      <c r="O109" s="103">
        <f>COUNTIFS($E:$E,$E109,$L:$L,"&gt;"&amp;$L109)+1</f>
        <v/>
      </c>
      <c r="P109" s="103">
        <f>COUNTIFS($E:$E,$E109,$M:$M,"&gt;"&amp;$M109)+1</f>
        <v/>
      </c>
      <c r="Q109" s="103">
        <f>COUNTIFS($E:$E,$E109,$N:$N,"&gt;"&amp;$N109)+1</f>
        <v/>
      </c>
      <c r="R109" s="85" t="inlineStr">
        <is>
          <t>📉 Weak</t>
        </is>
      </c>
      <c r="S109" s="85" t="inlineStr">
        <is>
          <t>🔴 Not Qualified</t>
        </is>
      </c>
      <c r="T109" s="85" t="inlineStr">
        <is>
          <t>🔴 Avoid</t>
        </is>
      </c>
      <c r="U109" s="69" t="inlineStr">
        <is>
          <t>FULL</t>
        </is>
      </c>
    </row>
    <row r="110" ht="16" customHeight="1">
      <c r="A110" s="77" t="n">
        <v>106</v>
      </c>
      <c r="B110" s="78" t="inlineStr">
        <is>
          <t>UTI Equity Savings Fund - Regular Plan - Growth Option</t>
        </is>
      </c>
      <c r="C110" s="78" t="inlineStr">
        <is>
          <t>UTI Mutual Fund</t>
        </is>
      </c>
      <c r="D110" s="78" t="inlineStr">
        <is>
          <t>Equity Savings</t>
        </is>
      </c>
      <c r="E110" s="78" t="inlineStr">
        <is>
          <t>Equity Savings</t>
        </is>
      </c>
      <c r="F110" s="79" t="n">
        <v>0.33</v>
      </c>
      <c r="G110" s="79" t="n">
        <v>1.92</v>
      </c>
      <c r="H110" s="86" t="n">
        <v>-0.64</v>
      </c>
      <c r="I110" s="79" t="n">
        <v>4.43</v>
      </c>
      <c r="J110" s="79" t="n">
        <v>4.22091920531118</v>
      </c>
      <c r="K110" s="79" t="n">
        <v>26.45</v>
      </c>
      <c r="L110" s="87" t="n">
        <v>30.7</v>
      </c>
      <c r="M110" s="17" t="n">
        <v>0</v>
      </c>
      <c r="N110" s="23" t="n">
        <v>16.9</v>
      </c>
      <c r="O110" s="103">
        <f>COUNTIFS($E:$E,$E110,$L:$L,"&gt;"&amp;$L110)+1</f>
        <v/>
      </c>
      <c r="P110" s="103">
        <f>COUNTIFS($E:$E,$E110,$M:$M,"&gt;"&amp;$M110)+1</f>
        <v/>
      </c>
      <c r="Q110" s="103">
        <f>COUNTIFS($E:$E,$E110,$N:$N,"&gt;"&amp;$N110)+1</f>
        <v/>
      </c>
      <c r="R110" s="80" t="inlineStr">
        <is>
          <t>📉 Weak</t>
        </is>
      </c>
      <c r="S110" s="80" t="inlineStr">
        <is>
          <t>🔴 Not Qualified</t>
        </is>
      </c>
      <c r="T110" s="80" t="inlineStr">
        <is>
          <t>🔴 Avoid</t>
        </is>
      </c>
      <c r="U110" s="69" t="inlineStr">
        <is>
          <t>FULL</t>
        </is>
      </c>
    </row>
    <row r="111" ht="16" customHeight="1">
      <c r="A111" s="81" t="n">
        <v>107</v>
      </c>
      <c r="B111" s="82" t="inlineStr">
        <is>
          <t>SBI Balanced Advantage Fund - Regular Plan - Growth</t>
        </is>
      </c>
      <c r="C111" s="82" t="inlineStr">
        <is>
          <t>SBI Mutual Fund</t>
        </is>
      </c>
      <c r="D111" s="82" t="inlineStr">
        <is>
          <t>Dynamic Asset Allocation Or Balanced Advantage</t>
        </is>
      </c>
      <c r="E111" s="82" t="inlineStr">
        <is>
          <t>Dynamic Asset Allocation Or Balanced Advantage</t>
        </is>
      </c>
      <c r="F111" s="88" t="n">
        <v>-0.3</v>
      </c>
      <c r="G111" s="83" t="n">
        <v>1.82</v>
      </c>
      <c r="H111" s="88" t="n">
        <v>-1.27</v>
      </c>
      <c r="I111" s="83" t="n">
        <v>4.64</v>
      </c>
      <c r="J111" s="83" t="n">
        <v>4.076894650061491</v>
      </c>
      <c r="K111" s="83" t="n">
        <v>33.73</v>
      </c>
      <c r="L111" s="87" t="n">
        <v>28.7</v>
      </c>
      <c r="M111" s="17" t="n">
        <v>0</v>
      </c>
      <c r="N111" s="23" t="n">
        <v>15.8</v>
      </c>
      <c r="O111" s="103">
        <f>COUNTIFS($E:$E,$E111,$L:$L,"&gt;"&amp;$L111)+1</f>
        <v/>
      </c>
      <c r="P111" s="103">
        <f>COUNTIFS($E:$E,$E111,$M:$M,"&gt;"&amp;$M111)+1</f>
        <v/>
      </c>
      <c r="Q111" s="103">
        <f>COUNTIFS($E:$E,$E111,$N:$N,"&gt;"&amp;$N111)+1</f>
        <v/>
      </c>
      <c r="R111" s="85" t="inlineStr">
        <is>
          <t>📉 Weak</t>
        </is>
      </c>
      <c r="S111" s="85" t="inlineStr">
        <is>
          <t>🔴 Not Qualified</t>
        </is>
      </c>
      <c r="T111" s="85" t="inlineStr">
        <is>
          <t>🔴 Avoid</t>
        </is>
      </c>
      <c r="U111" s="69" t="inlineStr">
        <is>
          <t>FULL</t>
        </is>
      </c>
    </row>
    <row r="112" ht="16" customHeight="1">
      <c r="A112" s="77" t="n">
        <v>108</v>
      </c>
      <c r="B112" s="78" t="inlineStr">
        <is>
          <t>PGIM India Balanced Advantage Fund - Regular Plan - Growth Option</t>
        </is>
      </c>
      <c r="C112" s="78" t="inlineStr">
        <is>
          <t>PGIM India Mutual Fund</t>
        </is>
      </c>
      <c r="D112" s="78" t="inlineStr">
        <is>
          <t>Dynamic Asset Allocation Or Balanced Advantage</t>
        </is>
      </c>
      <c r="E112" s="78" t="inlineStr">
        <is>
          <t>Dynamic Asset Allocation Or Balanced Advantage</t>
        </is>
      </c>
      <c r="F112" s="79" t="n">
        <v>0.33</v>
      </c>
      <c r="G112" s="79" t="n">
        <v>3.68</v>
      </c>
      <c r="H112" s="86" t="n">
        <v>-1.11</v>
      </c>
      <c r="I112" s="86" t="n">
        <v>-0.2</v>
      </c>
      <c r="J112" s="79" t="n">
        <v>1.444566143288317</v>
      </c>
      <c r="K112" s="79" t="n">
        <v>21.78</v>
      </c>
      <c r="L112" s="87" t="n">
        <v>28.4</v>
      </c>
      <c r="M112" s="17" t="n">
        <v>0</v>
      </c>
      <c r="N112" s="23" t="n">
        <v>15.6</v>
      </c>
      <c r="O112" s="103">
        <f>COUNTIFS($E:$E,$E112,$L:$L,"&gt;"&amp;$L112)+1</f>
        <v/>
      </c>
      <c r="P112" s="103">
        <f>COUNTIFS($E:$E,$E112,$M:$M,"&gt;"&amp;$M112)+1</f>
        <v/>
      </c>
      <c r="Q112" s="103">
        <f>COUNTIFS($E:$E,$E112,$N:$N,"&gt;"&amp;$N112)+1</f>
        <v/>
      </c>
      <c r="R112" s="80" t="inlineStr">
        <is>
          <t>📉 Weak</t>
        </is>
      </c>
      <c r="S112" s="80" t="inlineStr">
        <is>
          <t>🔴 Not Qualified</t>
        </is>
      </c>
      <c r="T112" s="80" t="inlineStr">
        <is>
          <t>🔴 Avoid</t>
        </is>
      </c>
      <c r="U112" s="69" t="inlineStr">
        <is>
          <t>FULL</t>
        </is>
      </c>
    </row>
    <row r="113" ht="16" customHeight="1">
      <c r="A113" s="81" t="n">
        <v>109</v>
      </c>
      <c r="B113" s="82" t="inlineStr">
        <is>
          <t>Franklin India Aggressive Hybrid Fund - Growth Plan</t>
        </is>
      </c>
      <c r="C113" s="82" t="inlineStr">
        <is>
          <t>Franklin Templeton Mutual Fund</t>
        </is>
      </c>
      <c r="D113" s="82" t="inlineStr">
        <is>
          <t>Aggressive Hybrid Fund</t>
        </is>
      </c>
      <c r="E113" s="82" t="inlineStr">
        <is>
          <t>Aggressive Hybrid Fund</t>
        </is>
      </c>
      <c r="F113" s="83" t="n">
        <v>0.58</v>
      </c>
      <c r="G113" s="83" t="n">
        <v>4.52</v>
      </c>
      <c r="H113" s="88" t="n">
        <v>-1.4</v>
      </c>
      <c r="I113" s="83" t="n">
        <v>0.77</v>
      </c>
      <c r="J113" s="83" t="n">
        <v>1.405128075457807</v>
      </c>
      <c r="K113" s="83" t="n">
        <v>35.16</v>
      </c>
      <c r="L113" s="87" t="n">
        <v>26</v>
      </c>
      <c r="M113" s="17" t="n">
        <v>0</v>
      </c>
      <c r="N113" s="23" t="n">
        <v>14.3</v>
      </c>
      <c r="O113" s="103">
        <f>COUNTIFS($E:$E,$E113,$L:$L,"&gt;"&amp;$L113)+1</f>
        <v/>
      </c>
      <c r="P113" s="103">
        <f>COUNTIFS($E:$E,$E113,$M:$M,"&gt;"&amp;$M113)+1</f>
        <v/>
      </c>
      <c r="Q113" s="103">
        <f>COUNTIFS($E:$E,$E113,$N:$N,"&gt;"&amp;$N113)+1</f>
        <v/>
      </c>
      <c r="R113" s="85" t="inlineStr">
        <is>
          <t>📉 Weak</t>
        </is>
      </c>
      <c r="S113" s="85" t="inlineStr">
        <is>
          <t>🔴 Not Qualified</t>
        </is>
      </c>
      <c r="T113" s="85" t="inlineStr">
        <is>
          <t>🔴 Avoid</t>
        </is>
      </c>
      <c r="U113" s="69" t="inlineStr">
        <is>
          <t>FULL</t>
        </is>
      </c>
    </row>
    <row r="114" ht="16" customHeight="1">
      <c r="A114" s="77" t="n">
        <v>110</v>
      </c>
      <c r="B114" s="78" t="inlineStr">
        <is>
          <t>quant Dynamic Asset Allocation Fund - Growth Option - Regular Plan</t>
        </is>
      </c>
      <c r="C114" s="78" t="inlineStr">
        <is>
          <t>quant Mutual Fund</t>
        </is>
      </c>
      <c r="D114" s="78" t="inlineStr">
        <is>
          <t>Dynamic Asset Allocation Or Balanced Advantage</t>
        </is>
      </c>
      <c r="E114" s="78" t="inlineStr">
        <is>
          <t>Dynamic Asset Allocation Or Balanced Advantage</t>
        </is>
      </c>
      <c r="F114" s="86" t="n">
        <v>-1.79</v>
      </c>
      <c r="G114" s="86" t="n">
        <v>-0.08</v>
      </c>
      <c r="H114" s="79" t="n">
        <v>1</v>
      </c>
      <c r="I114" s="79" t="n">
        <v>0.08</v>
      </c>
      <c r="J114" s="86" t="n">
        <v>-2.204294572818788</v>
      </c>
      <c r="K114" s="79" t="n">
        <v>47.92</v>
      </c>
      <c r="L114" s="87" t="n">
        <v>25.9</v>
      </c>
      <c r="M114" s="17" t="n">
        <v>0</v>
      </c>
      <c r="N114" s="23" t="n">
        <v>14.2</v>
      </c>
      <c r="O114" s="103">
        <f>COUNTIFS($E:$E,$E114,$L:$L,"&gt;"&amp;$L114)+1</f>
        <v/>
      </c>
      <c r="P114" s="103">
        <f>COUNTIFS($E:$E,$E114,$M:$M,"&gt;"&amp;$M114)+1</f>
        <v/>
      </c>
      <c r="Q114" s="103">
        <f>COUNTIFS($E:$E,$E114,$N:$N,"&gt;"&amp;$N114)+1</f>
        <v/>
      </c>
      <c r="R114" s="80" t="inlineStr">
        <is>
          <t>📉 Weak</t>
        </is>
      </c>
      <c r="S114" s="80" t="inlineStr">
        <is>
          <t>🔴 Not Qualified</t>
        </is>
      </c>
      <c r="T114" s="80" t="inlineStr">
        <is>
          <t>🔴 Avoid</t>
        </is>
      </c>
      <c r="U114" s="69" t="inlineStr">
        <is>
          <t>FULL</t>
        </is>
      </c>
    </row>
    <row r="115" ht="16" customHeight="1">
      <c r="A115" s="81" t="n">
        <v>111</v>
      </c>
      <c r="B115" s="82" t="inlineStr">
        <is>
          <t>HDFC Hybrid Debt Fund - Growth Plan</t>
        </is>
      </c>
      <c r="C115" s="82" t="inlineStr">
        <is>
          <t>HDFC Mutual Fund</t>
        </is>
      </c>
      <c r="D115" s="82" t="inlineStr">
        <is>
          <t>Conservative Hybrid Fund</t>
        </is>
      </c>
      <c r="E115" s="82" t="inlineStr">
        <is>
          <t>Conservative Hybrid Fund</t>
        </is>
      </c>
      <c r="F115" s="88" t="n">
        <v>-0.05</v>
      </c>
      <c r="G115" s="83" t="n">
        <v>2.78</v>
      </c>
      <c r="H115" s="83" t="n">
        <v>0.29</v>
      </c>
      <c r="I115" s="83" t="n">
        <v>2.87</v>
      </c>
      <c r="J115" s="83" t="n">
        <v>3.590540108641194</v>
      </c>
      <c r="K115" s="83" t="n">
        <v>24.57</v>
      </c>
      <c r="L115" s="87" t="n">
        <v>25.8</v>
      </c>
      <c r="M115" s="17" t="n">
        <v>0</v>
      </c>
      <c r="N115" s="23" t="n">
        <v>14.2</v>
      </c>
      <c r="O115" s="103">
        <f>COUNTIFS($E:$E,$E115,$L:$L,"&gt;"&amp;$L115)+1</f>
        <v/>
      </c>
      <c r="P115" s="103">
        <f>COUNTIFS($E:$E,$E115,$M:$M,"&gt;"&amp;$M115)+1</f>
        <v/>
      </c>
      <c r="Q115" s="103">
        <f>COUNTIFS($E:$E,$E115,$N:$N,"&gt;"&amp;$N115)+1</f>
        <v/>
      </c>
      <c r="R115" s="85" t="inlineStr">
        <is>
          <t>📉 Weak</t>
        </is>
      </c>
      <c r="S115" s="85" t="inlineStr">
        <is>
          <t>🔴 Not Qualified</t>
        </is>
      </c>
      <c r="T115" s="85" t="inlineStr">
        <is>
          <t>🔴 Avoid</t>
        </is>
      </c>
      <c r="U115" s="69" t="inlineStr">
        <is>
          <t>FULL</t>
        </is>
      </c>
    </row>
    <row r="116" ht="16" customHeight="1">
      <c r="A116" s="77" t="n">
        <v>112</v>
      </c>
      <c r="B116" s="78" t="inlineStr">
        <is>
          <t>UTI Balanced Advantage Fund - Regular Plan - Growth Option</t>
        </is>
      </c>
      <c r="C116" s="78" t="inlineStr">
        <is>
          <t>UTI Mutual Fund</t>
        </is>
      </c>
      <c r="D116" s="78" t="inlineStr">
        <is>
          <t>Dynamic Asset Allocation Or Balanced Advantage</t>
        </is>
      </c>
      <c r="E116" s="78" t="inlineStr">
        <is>
          <t>Dynamic Asset Allocation Or Balanced Advantage</t>
        </is>
      </c>
      <c r="F116" s="79" t="n">
        <v>0.31</v>
      </c>
      <c r="G116" s="79" t="n">
        <v>3.44</v>
      </c>
      <c r="H116" s="86" t="n">
        <v>-2.17</v>
      </c>
      <c r="I116" s="79" t="n">
        <v>1.06</v>
      </c>
      <c r="J116" s="79" t="n">
        <v>2.956301409869999</v>
      </c>
      <c r="K116" s="79" t="n">
        <v>27.3</v>
      </c>
      <c r="L116" s="87" t="n">
        <v>25.7</v>
      </c>
      <c r="M116" s="17" t="n">
        <v>0</v>
      </c>
      <c r="N116" s="23" t="n">
        <v>14.2</v>
      </c>
      <c r="O116" s="103">
        <f>COUNTIFS($E:$E,$E116,$L:$L,"&gt;"&amp;$L116)+1</f>
        <v/>
      </c>
      <c r="P116" s="103">
        <f>COUNTIFS($E:$E,$E116,$M:$M,"&gt;"&amp;$M116)+1</f>
        <v/>
      </c>
      <c r="Q116" s="103">
        <f>COUNTIFS($E:$E,$E116,$N:$N,"&gt;"&amp;$N116)+1</f>
        <v/>
      </c>
      <c r="R116" s="80" t="inlineStr">
        <is>
          <t>📉 Weak</t>
        </is>
      </c>
      <c r="S116" s="80" t="inlineStr">
        <is>
          <t>🔴 Not Qualified</t>
        </is>
      </c>
      <c r="T116" s="80" t="inlineStr">
        <is>
          <t>🔴 Avoid</t>
        </is>
      </c>
      <c r="U116" s="69" t="inlineStr">
        <is>
          <t>FULL</t>
        </is>
      </c>
    </row>
    <row r="117" ht="16" customHeight="1">
      <c r="A117" s="81" t="n">
        <v>113</v>
      </c>
      <c r="B117" s="82" t="inlineStr">
        <is>
          <t>Axis Conservative Hybrid Fund - Regular Plan - Growth Option</t>
        </is>
      </c>
      <c r="C117" s="82" t="inlineStr">
        <is>
          <t>Axis Mutual Fund</t>
        </is>
      </c>
      <c r="D117" s="82" t="inlineStr">
        <is>
          <t>Conservative Hybrid Fund</t>
        </is>
      </c>
      <c r="E117" s="82" t="inlineStr">
        <is>
          <t>Conservative Hybrid Fund</t>
        </is>
      </c>
      <c r="F117" s="83" t="n">
        <v>0.28</v>
      </c>
      <c r="G117" s="83" t="n">
        <v>2.49</v>
      </c>
      <c r="H117" s="83" t="n">
        <v>0.25</v>
      </c>
      <c r="I117" s="83" t="n">
        <v>2.53</v>
      </c>
      <c r="J117" s="83" t="n">
        <v>3.821962994349137</v>
      </c>
      <c r="K117" s="83" t="n">
        <v>19.54</v>
      </c>
      <c r="L117" s="87" t="n">
        <v>25.2</v>
      </c>
      <c r="M117" s="17" t="n">
        <v>0</v>
      </c>
      <c r="N117" s="23" t="n">
        <v>13.9</v>
      </c>
      <c r="O117" s="103">
        <f>COUNTIFS($E:$E,$E117,$L:$L,"&gt;"&amp;$L117)+1</f>
        <v/>
      </c>
      <c r="P117" s="103">
        <f>COUNTIFS($E:$E,$E117,$M:$M,"&gt;"&amp;$M117)+1</f>
        <v/>
      </c>
      <c r="Q117" s="103">
        <f>COUNTIFS($E:$E,$E117,$N:$N,"&gt;"&amp;$N117)+1</f>
        <v/>
      </c>
      <c r="R117" s="85" t="inlineStr">
        <is>
          <t>📉 Weak</t>
        </is>
      </c>
      <c r="S117" s="85" t="inlineStr">
        <is>
          <t>🔴 Not Qualified</t>
        </is>
      </c>
      <c r="T117" s="85" t="inlineStr">
        <is>
          <t>🔴 Avoid</t>
        </is>
      </c>
      <c r="U117" s="69" t="inlineStr">
        <is>
          <t>FULL</t>
        </is>
      </c>
    </row>
    <row r="118" ht="16" customHeight="1">
      <c r="A118" s="77" t="n">
        <v>114</v>
      </c>
      <c r="B118" s="78" t="inlineStr">
        <is>
          <t>Shriram Balanced Advantage Fund - Regular Growth</t>
        </is>
      </c>
      <c r="C118" s="78" t="inlineStr">
        <is>
          <t>Shriram Mutual Fund</t>
        </is>
      </c>
      <c r="D118" s="78" t="inlineStr">
        <is>
          <t>Dynamic Asset Allocation Or Balanced Advantage</t>
        </is>
      </c>
      <c r="E118" s="78" t="inlineStr">
        <is>
          <t>Dynamic Asset Allocation Or Balanced Advantage</t>
        </is>
      </c>
      <c r="F118" s="79" t="n">
        <v>0.42</v>
      </c>
      <c r="G118" s="79" t="n">
        <v>2.77</v>
      </c>
      <c r="H118" s="86" t="n">
        <v>-2.5</v>
      </c>
      <c r="I118" s="79" t="n">
        <v>0.48</v>
      </c>
      <c r="J118" s="86" t="n">
        <v>-3.139275245329698</v>
      </c>
      <c r="K118" s="79" t="n">
        <v>19.35</v>
      </c>
      <c r="L118" s="87" t="n">
        <v>24.4</v>
      </c>
      <c r="M118" s="17" t="n">
        <v>0</v>
      </c>
      <c r="N118" s="23" t="n">
        <v>13.4</v>
      </c>
      <c r="O118" s="103">
        <f>COUNTIFS($E:$E,$E118,$L:$L,"&gt;"&amp;$L118)+1</f>
        <v/>
      </c>
      <c r="P118" s="103">
        <f>COUNTIFS($E:$E,$E118,$M:$M,"&gt;"&amp;$M118)+1</f>
        <v/>
      </c>
      <c r="Q118" s="103">
        <f>COUNTIFS($E:$E,$E118,$N:$N,"&gt;"&amp;$N118)+1</f>
        <v/>
      </c>
      <c r="R118" s="80" t="inlineStr">
        <is>
          <t>📉 Weak</t>
        </is>
      </c>
      <c r="S118" s="80" t="inlineStr">
        <is>
          <t>🔴 Not Qualified</t>
        </is>
      </c>
      <c r="T118" s="80" t="inlineStr">
        <is>
          <t>🔴 Avoid</t>
        </is>
      </c>
      <c r="U118" s="69" t="inlineStr">
        <is>
          <t>FULL</t>
        </is>
      </c>
    </row>
    <row r="119" ht="16" customHeight="1">
      <c r="A119" s="81" t="n">
        <v>115</v>
      </c>
      <c r="B119" s="82" t="inlineStr">
        <is>
          <t>UTI Aggressive Hybrid Fund - Regular Plan - Growth</t>
        </is>
      </c>
      <c r="C119" s="82" t="inlineStr">
        <is>
          <t>UTI Mutual Fund</t>
        </is>
      </c>
      <c r="D119" s="82" t="inlineStr">
        <is>
          <t>Aggressive Hybrid Fund</t>
        </is>
      </c>
      <c r="E119" s="82" t="inlineStr">
        <is>
          <t>Aggressive Hybrid Fund</t>
        </is>
      </c>
      <c r="F119" s="83" t="n">
        <v>0.65</v>
      </c>
      <c r="G119" s="83" t="n">
        <v>3.5</v>
      </c>
      <c r="H119" s="88" t="n">
        <v>-1.45</v>
      </c>
      <c r="I119" s="83" t="n">
        <v>3.21</v>
      </c>
      <c r="J119" s="83" t="n">
        <v>2.269252466222715</v>
      </c>
      <c r="K119" s="83" t="n">
        <v>39.93</v>
      </c>
      <c r="L119" s="87" t="n">
        <v>24.2</v>
      </c>
      <c r="M119" s="17" t="n">
        <v>0</v>
      </c>
      <c r="N119" s="23" t="n">
        <v>13.3</v>
      </c>
      <c r="O119" s="103">
        <f>COUNTIFS($E:$E,$E119,$L:$L,"&gt;"&amp;$L119)+1</f>
        <v/>
      </c>
      <c r="P119" s="103">
        <f>COUNTIFS($E:$E,$E119,$M:$M,"&gt;"&amp;$M119)+1</f>
        <v/>
      </c>
      <c r="Q119" s="103">
        <f>COUNTIFS($E:$E,$E119,$N:$N,"&gt;"&amp;$N119)+1</f>
        <v/>
      </c>
      <c r="R119" s="85" t="inlineStr">
        <is>
          <t>📉 Weak</t>
        </is>
      </c>
      <c r="S119" s="85" t="inlineStr">
        <is>
          <t>🔴 Not Qualified</t>
        </is>
      </c>
      <c r="T119" s="85" t="inlineStr">
        <is>
          <t>🔴 Avoid</t>
        </is>
      </c>
      <c r="U119" s="69" t="inlineStr">
        <is>
          <t>FULL</t>
        </is>
      </c>
    </row>
    <row r="120" ht="16" customHeight="1">
      <c r="A120" s="77" t="n">
        <v>116</v>
      </c>
      <c r="B120" s="78" t="inlineStr">
        <is>
          <t>BARODA BNP PARIBAS ARBITRAGE FUND- REGULAR PLAN- GROWTH OPTION</t>
        </is>
      </c>
      <c r="C120" s="78" t="inlineStr">
        <is>
          <t>Baroda BNP Paribas Mutual Fund</t>
        </is>
      </c>
      <c r="D120" s="78" t="inlineStr">
        <is>
          <t>Arbitrage Fund</t>
        </is>
      </c>
      <c r="E120" s="78" t="inlineStr">
        <is>
          <t>Arbitrage Fund</t>
        </is>
      </c>
      <c r="F120" s="79" t="n">
        <v>0.38</v>
      </c>
      <c r="G120" s="79" t="n">
        <v>1.26</v>
      </c>
      <c r="H120" s="79" t="n">
        <v>2.59</v>
      </c>
      <c r="I120" s="79" t="n">
        <v>5.48</v>
      </c>
      <c r="J120" s="79" t="n">
        <v>5.971694333911648</v>
      </c>
      <c r="K120" s="79" t="n">
        <v>20.77</v>
      </c>
      <c r="L120" s="87" t="n">
        <v>23</v>
      </c>
      <c r="M120" s="17" t="n">
        <v>0</v>
      </c>
      <c r="N120" s="23" t="n">
        <v>12.6</v>
      </c>
      <c r="O120" s="103">
        <f>COUNTIFS($E:$E,$E120,$L:$L,"&gt;"&amp;$L120)+1</f>
        <v/>
      </c>
      <c r="P120" s="103">
        <f>COUNTIFS($E:$E,$E120,$M:$M,"&gt;"&amp;$M120)+1</f>
        <v/>
      </c>
      <c r="Q120" s="103">
        <f>COUNTIFS($E:$E,$E120,$N:$N,"&gt;"&amp;$N120)+1</f>
        <v/>
      </c>
      <c r="R120" s="80" t="inlineStr">
        <is>
          <t>📉 Weak</t>
        </is>
      </c>
      <c r="S120" s="80" t="inlineStr">
        <is>
          <t>🔴 Not Qualified</t>
        </is>
      </c>
      <c r="T120" s="80" t="inlineStr">
        <is>
          <t>🔴 Avoid</t>
        </is>
      </c>
      <c r="U120" s="69" t="inlineStr">
        <is>
          <t>FULL</t>
        </is>
      </c>
    </row>
    <row r="121" ht="16" customHeight="1">
      <c r="A121" s="81" t="n">
        <v>117</v>
      </c>
      <c r="B121" s="82" t="inlineStr">
        <is>
          <t>ICICI Prudential Equity Savings Fund - Cumulative option</t>
        </is>
      </c>
      <c r="C121" s="82" t="inlineStr">
        <is>
          <t>ICICI Prudential Mutual Fund</t>
        </is>
      </c>
      <c r="D121" s="82" t="inlineStr">
        <is>
          <t>Equity Savings</t>
        </is>
      </c>
      <c r="E121" s="82" t="inlineStr">
        <is>
          <t>Equity Savings</t>
        </is>
      </c>
      <c r="F121" s="83" t="n">
        <v>0.09</v>
      </c>
      <c r="G121" s="83" t="n">
        <v>1.52</v>
      </c>
      <c r="H121" s="83" t="n">
        <v>0.47</v>
      </c>
      <c r="I121" s="83" t="n">
        <v>3.19</v>
      </c>
      <c r="J121" s="83" t="n">
        <v>4.928547116597404</v>
      </c>
      <c r="K121" s="83" t="n">
        <v>21.08</v>
      </c>
      <c r="L121" s="87" t="n">
        <v>22.7</v>
      </c>
      <c r="M121" s="17" t="n">
        <v>0</v>
      </c>
      <c r="N121" s="23" t="n">
        <v>12.5</v>
      </c>
      <c r="O121" s="103">
        <f>COUNTIFS($E:$E,$E121,$L:$L,"&gt;"&amp;$L121)+1</f>
        <v/>
      </c>
      <c r="P121" s="103">
        <f>COUNTIFS($E:$E,$E121,$M:$M,"&gt;"&amp;$M121)+1</f>
        <v/>
      </c>
      <c r="Q121" s="103">
        <f>COUNTIFS($E:$E,$E121,$N:$N,"&gt;"&amp;$N121)+1</f>
        <v/>
      </c>
      <c r="R121" s="85" t="inlineStr">
        <is>
          <t>📉 Weak</t>
        </is>
      </c>
      <c r="S121" s="85" t="inlineStr">
        <is>
          <t>🔴 Not Qualified</t>
        </is>
      </c>
      <c r="T121" s="85" t="inlineStr">
        <is>
          <t>🔴 Avoid</t>
        </is>
      </c>
      <c r="U121" s="69" t="inlineStr">
        <is>
          <t>FULL</t>
        </is>
      </c>
    </row>
    <row r="122" ht="16" customHeight="1">
      <c r="A122" s="77" t="n">
        <v>118</v>
      </c>
      <c r="B122" s="78" t="inlineStr">
        <is>
          <t>Mahindra Manulife Arbitrage Fund - Regular Plan - Growth</t>
        </is>
      </c>
      <c r="C122" s="78" t="inlineStr">
        <is>
          <t>Mahindra Manulife Mutual Fund</t>
        </is>
      </c>
      <c r="D122" s="78" t="inlineStr">
        <is>
          <t>Arbitrage Fund</t>
        </is>
      </c>
      <c r="E122" s="78" t="inlineStr">
        <is>
          <t>Arbitrage Fund</t>
        </is>
      </c>
      <c r="F122" s="79" t="n">
        <v>0.39</v>
      </c>
      <c r="G122" s="79" t="n">
        <v>1.29</v>
      </c>
      <c r="H122" s="79" t="n">
        <v>2.45</v>
      </c>
      <c r="I122" s="79" t="n">
        <v>5.38</v>
      </c>
      <c r="J122" s="79" t="n">
        <v>5.375518978555927</v>
      </c>
      <c r="K122" s="79" t="n">
        <v>17.88</v>
      </c>
      <c r="L122" s="87" t="n">
        <v>21.2</v>
      </c>
      <c r="M122" s="17" t="n">
        <v>0</v>
      </c>
      <c r="N122" s="23" t="n">
        <v>11.7</v>
      </c>
      <c r="O122" s="103">
        <f>COUNTIFS($E:$E,$E122,$L:$L,"&gt;"&amp;$L122)+1</f>
        <v/>
      </c>
      <c r="P122" s="103">
        <f>COUNTIFS($E:$E,$E122,$M:$M,"&gt;"&amp;$M122)+1</f>
        <v/>
      </c>
      <c r="Q122" s="103">
        <f>COUNTIFS($E:$E,$E122,$N:$N,"&gt;"&amp;$N122)+1</f>
        <v/>
      </c>
      <c r="R122" s="80" t="inlineStr">
        <is>
          <t>📉 Weak</t>
        </is>
      </c>
      <c r="S122" s="80" t="inlineStr">
        <is>
          <t>🔴 Not Qualified</t>
        </is>
      </c>
      <c r="T122" s="80" t="inlineStr">
        <is>
          <t>🔴 Avoid</t>
        </is>
      </c>
      <c r="U122" s="69" t="inlineStr">
        <is>
          <t>FULL</t>
        </is>
      </c>
    </row>
    <row r="123" ht="16" customHeight="1">
      <c r="A123" s="81" t="n">
        <v>119</v>
      </c>
      <c r="B123" s="82" t="inlineStr">
        <is>
          <t>JM Arbitrage Fund (Regular) - Growth Option</t>
        </is>
      </c>
      <c r="C123" s="82" t="inlineStr">
        <is>
          <t>JM Financial Mutual Fund</t>
        </is>
      </c>
      <c r="D123" s="82" t="inlineStr">
        <is>
          <t>Arbitrage Fund</t>
        </is>
      </c>
      <c r="E123" s="82" t="inlineStr">
        <is>
          <t>Arbitrage Fund</t>
        </is>
      </c>
      <c r="F123" s="83" t="n">
        <v>0.35</v>
      </c>
      <c r="G123" s="83" t="n">
        <v>1.22</v>
      </c>
      <c r="H123" s="83" t="n">
        <v>2.58</v>
      </c>
      <c r="I123" s="83" t="n">
        <v>5.55</v>
      </c>
      <c r="J123" s="83" t="n">
        <v>5.858395982557751</v>
      </c>
      <c r="K123" s="83" t="n">
        <v>20.08</v>
      </c>
      <c r="L123" s="87" t="n">
        <v>20.8</v>
      </c>
      <c r="M123" s="17" t="n">
        <v>0</v>
      </c>
      <c r="N123" s="23" t="n">
        <v>11.4</v>
      </c>
      <c r="O123" s="103">
        <f>COUNTIFS($E:$E,$E123,$L:$L,"&gt;"&amp;$L123)+1</f>
        <v/>
      </c>
      <c r="P123" s="103">
        <f>COUNTIFS($E:$E,$E123,$M:$M,"&gt;"&amp;$M123)+1</f>
        <v/>
      </c>
      <c r="Q123" s="103">
        <f>COUNTIFS($E:$E,$E123,$N:$N,"&gt;"&amp;$N123)+1</f>
        <v/>
      </c>
      <c r="R123" s="85" t="inlineStr">
        <is>
          <t>📉 Weak</t>
        </is>
      </c>
      <c r="S123" s="85" t="inlineStr">
        <is>
          <t>🔴 Not Qualified</t>
        </is>
      </c>
      <c r="T123" s="85" t="inlineStr">
        <is>
          <t>🔴 Avoid</t>
        </is>
      </c>
      <c r="U123" s="69" t="inlineStr">
        <is>
          <t>FULL</t>
        </is>
      </c>
    </row>
    <row r="124" ht="16" customHeight="1">
      <c r="A124" s="77" t="n">
        <v>120</v>
      </c>
      <c r="B124" s="78" t="inlineStr">
        <is>
          <t>HDFC Multi-Asset Fund - Growth Option</t>
        </is>
      </c>
      <c r="C124" s="78" t="inlineStr">
        <is>
          <t>HDFC Mutual Fund</t>
        </is>
      </c>
      <c r="D124" s="78" t="inlineStr">
        <is>
          <t>Multi Asset Allocation</t>
        </is>
      </c>
      <c r="E124" s="78" t="inlineStr">
        <is>
          <t>Multi Asset Allocation</t>
        </is>
      </c>
      <c r="F124" s="79" t="n">
        <v>1.37</v>
      </c>
      <c r="G124" s="79" t="n">
        <v>2.54</v>
      </c>
      <c r="H124" s="86" t="n">
        <v>-1.52</v>
      </c>
      <c r="I124" s="79" t="n">
        <v>6.18</v>
      </c>
      <c r="J124" s="79" t="n">
        <v>6.484740690861446</v>
      </c>
      <c r="K124" s="79" t="n">
        <v>40.47</v>
      </c>
      <c r="L124" s="87" t="n">
        <v>20.6</v>
      </c>
      <c r="M124" s="17" t="n">
        <v>0</v>
      </c>
      <c r="N124" s="23" t="n">
        <v>11.3</v>
      </c>
      <c r="O124" s="103">
        <f>COUNTIFS($E:$E,$E124,$L:$L,"&gt;"&amp;$L124)+1</f>
        <v/>
      </c>
      <c r="P124" s="103">
        <f>COUNTIFS($E:$E,$E124,$M:$M,"&gt;"&amp;$M124)+1</f>
        <v/>
      </c>
      <c r="Q124" s="103">
        <f>COUNTIFS($E:$E,$E124,$N:$N,"&gt;"&amp;$N124)+1</f>
        <v/>
      </c>
      <c r="R124" s="80" t="inlineStr">
        <is>
          <t>📉 Weak</t>
        </is>
      </c>
      <c r="S124" s="80" t="inlineStr">
        <is>
          <t>🔴 Not Qualified</t>
        </is>
      </c>
      <c r="T124" s="80" t="inlineStr">
        <is>
          <t>🔴 Avoid</t>
        </is>
      </c>
      <c r="U124" s="69" t="inlineStr">
        <is>
          <t>FULL</t>
        </is>
      </c>
    </row>
    <row r="125" ht="16" customHeight="1">
      <c r="A125" s="81" t="n">
        <v>121</v>
      </c>
      <c r="B125" s="82" t="inlineStr">
        <is>
          <t>Sundaram Conservative Hybrid Fund (Formerly Known as Sundaram Debt Oriented Hybrid Fund) Regular Plan - Growth</t>
        </is>
      </c>
      <c r="C125" s="82" t="inlineStr">
        <is>
          <t>Sundaram Mutual Fund</t>
        </is>
      </c>
      <c r="D125" s="82" t="inlineStr">
        <is>
          <t>Conservative Hybrid Fund</t>
        </is>
      </c>
      <c r="E125" s="82" t="inlineStr">
        <is>
          <t>Conservative Hybrid Fund</t>
        </is>
      </c>
      <c r="F125" s="83" t="n">
        <v>0.39</v>
      </c>
      <c r="G125" s="83" t="n">
        <v>1.97</v>
      </c>
      <c r="H125" s="88" t="n">
        <v>-0.64</v>
      </c>
      <c r="I125" s="83" t="n">
        <v>0.78</v>
      </c>
      <c r="J125" s="83" t="n">
        <v>2.254584249313729</v>
      </c>
      <c r="K125" s="83" t="n">
        <v>15.71</v>
      </c>
      <c r="L125" s="87" t="n">
        <v>18.8</v>
      </c>
      <c r="M125" s="17" t="n">
        <v>0</v>
      </c>
      <c r="N125" s="23" t="n">
        <v>10.3</v>
      </c>
      <c r="O125" s="103">
        <f>COUNTIFS($E:$E,$E125,$L:$L,"&gt;"&amp;$L125)+1</f>
        <v/>
      </c>
      <c r="P125" s="103">
        <f>COUNTIFS($E:$E,$E125,$M:$M,"&gt;"&amp;$M125)+1</f>
        <v/>
      </c>
      <c r="Q125" s="103">
        <f>COUNTIFS($E:$E,$E125,$N:$N,"&gt;"&amp;$N125)+1</f>
        <v/>
      </c>
      <c r="R125" s="85" t="inlineStr">
        <is>
          <t>📉 Weak</t>
        </is>
      </c>
      <c r="S125" s="85" t="inlineStr">
        <is>
          <t>🔴 Not Qualified</t>
        </is>
      </c>
      <c r="T125" s="85" t="inlineStr">
        <is>
          <t>🔴 Avoid</t>
        </is>
      </c>
      <c r="U125" s="69" t="inlineStr">
        <is>
          <t>FULL</t>
        </is>
      </c>
    </row>
    <row r="126" ht="16" customHeight="1">
      <c r="A126" s="77" t="n">
        <v>122</v>
      </c>
      <c r="B126" s="78" t="inlineStr">
        <is>
          <t>HDFC Hybrid Equity Fund - Growth Plan</t>
        </is>
      </c>
      <c r="C126" s="78" t="inlineStr">
        <is>
          <t>HDFC Mutual Fund</t>
        </is>
      </c>
      <c r="D126" s="78" t="inlineStr">
        <is>
          <t>Aggressive Hybrid Fund</t>
        </is>
      </c>
      <c r="E126" s="78" t="inlineStr">
        <is>
          <t>Aggressive Hybrid Fund</t>
        </is>
      </c>
      <c r="F126" s="79" t="n">
        <v>0.11</v>
      </c>
      <c r="G126" s="79" t="n">
        <v>4.59</v>
      </c>
      <c r="H126" s="86" t="n">
        <v>-4.01</v>
      </c>
      <c r="I126" s="86" t="n">
        <v>-2.03</v>
      </c>
      <c r="J126" s="79" t="n">
        <v>0.3942229413625098</v>
      </c>
      <c r="K126" s="79" t="n">
        <v>23.34</v>
      </c>
      <c r="L126" s="87" t="n">
        <v>17.5</v>
      </c>
      <c r="M126" s="17" t="n">
        <v>0</v>
      </c>
      <c r="N126" s="23" t="n">
        <v>9.6</v>
      </c>
      <c r="O126" s="103">
        <f>COUNTIFS($E:$E,$E126,$L:$L,"&gt;"&amp;$L126)+1</f>
        <v/>
      </c>
      <c r="P126" s="103">
        <f>COUNTIFS($E:$E,$E126,$M:$M,"&gt;"&amp;$M126)+1</f>
        <v/>
      </c>
      <c r="Q126" s="103">
        <f>COUNTIFS($E:$E,$E126,$N:$N,"&gt;"&amp;$N126)+1</f>
        <v/>
      </c>
      <c r="R126" s="80" t="inlineStr">
        <is>
          <t>📉 Weak</t>
        </is>
      </c>
      <c r="S126" s="80" t="inlineStr">
        <is>
          <t>🔴 Not Qualified</t>
        </is>
      </c>
      <c r="T126" s="80" t="inlineStr">
        <is>
          <t>🔴 Avoid</t>
        </is>
      </c>
      <c r="U126" s="69" t="inlineStr">
        <is>
          <t>FULL</t>
        </is>
      </c>
    </row>
    <row r="127" ht="16" customHeight="1">
      <c r="A127" s="81" t="n">
        <v>123</v>
      </c>
      <c r="B127" s="82" t="inlineStr">
        <is>
          <t>ITI Arbitrage Fund - Regular Plan - Growth Option</t>
        </is>
      </c>
      <c r="C127" s="82" t="inlineStr">
        <is>
          <t>ITI Mutual Fund</t>
        </is>
      </c>
      <c r="D127" s="82" t="inlineStr">
        <is>
          <t>Arbitrage Fund</t>
        </is>
      </c>
      <c r="E127" s="82" t="inlineStr">
        <is>
          <t>Arbitrage Fund</t>
        </is>
      </c>
      <c r="F127" s="83" t="n">
        <v>0.29</v>
      </c>
      <c r="G127" s="83" t="n">
        <v>1.09</v>
      </c>
      <c r="H127" s="83" t="n">
        <v>2.54</v>
      </c>
      <c r="I127" s="83" t="n">
        <v>5.6</v>
      </c>
      <c r="J127" s="83" t="n">
        <v>6.150836077724797</v>
      </c>
      <c r="K127" s="83" t="n">
        <v>20.91</v>
      </c>
      <c r="L127" s="87" t="n">
        <v>16.9</v>
      </c>
      <c r="M127" s="17" t="n">
        <v>0</v>
      </c>
      <c r="N127" s="23" t="n">
        <v>9.300000000000001</v>
      </c>
      <c r="O127" s="103">
        <f>COUNTIFS($E:$E,$E127,$L:$L,"&gt;"&amp;$L127)+1</f>
        <v/>
      </c>
      <c r="P127" s="103">
        <f>COUNTIFS($E:$E,$E127,$M:$M,"&gt;"&amp;$M127)+1</f>
        <v/>
      </c>
      <c r="Q127" s="103">
        <f>COUNTIFS($E:$E,$E127,$N:$N,"&gt;"&amp;$N127)+1</f>
        <v/>
      </c>
      <c r="R127" s="85" t="inlineStr">
        <is>
          <t>📉 Weak</t>
        </is>
      </c>
      <c r="S127" s="85" t="inlineStr">
        <is>
          <t>🔴 Not Qualified</t>
        </is>
      </c>
      <c r="T127" s="85" t="inlineStr">
        <is>
          <t>🔴 Avoid</t>
        </is>
      </c>
      <c r="U127" s="69" t="inlineStr">
        <is>
          <t>FULL</t>
        </is>
      </c>
    </row>
    <row r="128" ht="16" customHeight="1">
      <c r="A128" s="77" t="n">
        <v>124</v>
      </c>
      <c r="B128" s="78" t="inlineStr">
        <is>
          <t>DSP Equity Savings Fund - Regular Plan - Growth</t>
        </is>
      </c>
      <c r="C128" s="78" t="inlineStr">
        <is>
          <t>DSP Mutual Fund</t>
        </is>
      </c>
      <c r="D128" s="78" t="inlineStr">
        <is>
          <t>Equity Savings</t>
        </is>
      </c>
      <c r="E128" s="78" t="inlineStr">
        <is>
          <t>Equity Savings</t>
        </is>
      </c>
      <c r="F128" s="86" t="n">
        <v>-0.43</v>
      </c>
      <c r="G128" s="79" t="n">
        <v>1</v>
      </c>
      <c r="H128" s="79" t="n">
        <v>0.07000000000000001</v>
      </c>
      <c r="I128" s="79" t="n">
        <v>2.43</v>
      </c>
      <c r="J128" s="79" t="n">
        <v>4.13932974625868</v>
      </c>
      <c r="K128" s="79" t="n">
        <v>25.78</v>
      </c>
      <c r="L128" s="87" t="n">
        <v>13.6</v>
      </c>
      <c r="M128" s="17" t="n">
        <v>0</v>
      </c>
      <c r="N128" s="23" t="n">
        <v>7.5</v>
      </c>
      <c r="O128" s="103">
        <f>COUNTIFS($E:$E,$E128,$L:$L,"&gt;"&amp;$L128)+1</f>
        <v/>
      </c>
      <c r="P128" s="103">
        <f>COUNTIFS($E:$E,$E128,$M:$M,"&gt;"&amp;$M128)+1</f>
        <v/>
      </c>
      <c r="Q128" s="103">
        <f>COUNTIFS($E:$E,$E128,$N:$N,"&gt;"&amp;$N128)+1</f>
        <v/>
      </c>
      <c r="R128" s="80" t="inlineStr">
        <is>
          <t>📉 Weak</t>
        </is>
      </c>
      <c r="S128" s="80" t="inlineStr">
        <is>
          <t>🔴 Not Qualified</t>
        </is>
      </c>
      <c r="T128" s="80" t="inlineStr">
        <is>
          <t>🔴 Avoid</t>
        </is>
      </c>
      <c r="U128" s="69" t="inlineStr">
        <is>
          <t>FULL</t>
        </is>
      </c>
    </row>
    <row r="129" ht="16" customHeight="1">
      <c r="A129" s="81" t="n">
        <v>125</v>
      </c>
      <c r="B129" s="82" t="inlineStr">
        <is>
          <t>Nippon India Equity Savings Fund- Growth Plan- Growth Option</t>
        </is>
      </c>
      <c r="C129" s="82" t="inlineStr">
        <is>
          <t>Nippon India Mutual Fund</t>
        </is>
      </c>
      <c r="D129" s="82" t="inlineStr">
        <is>
          <t>Equity Savings</t>
        </is>
      </c>
      <c r="E129" s="82" t="inlineStr">
        <is>
          <t>Equity Savings</t>
        </is>
      </c>
      <c r="F129" s="83" t="n">
        <v>0.08</v>
      </c>
      <c r="G129" s="83" t="n">
        <v>1.6</v>
      </c>
      <c r="H129" s="88" t="n">
        <v>-0.3</v>
      </c>
      <c r="I129" s="83" t="n">
        <v>3.04</v>
      </c>
      <c r="J129" s="83" t="n">
        <v>3.45047124107265</v>
      </c>
      <c r="K129" s="83" t="n">
        <v>20.57</v>
      </c>
      <c r="L129" s="87" t="n">
        <v>13.6</v>
      </c>
      <c r="M129" s="17" t="n">
        <v>0</v>
      </c>
      <c r="N129" s="23" t="n">
        <v>7.5</v>
      </c>
      <c r="O129" s="103">
        <f>COUNTIFS($E:$E,$E129,$L:$L,"&gt;"&amp;$L129)+1</f>
        <v/>
      </c>
      <c r="P129" s="103">
        <f>COUNTIFS($E:$E,$E129,$M:$M,"&gt;"&amp;$M129)+1</f>
        <v/>
      </c>
      <c r="Q129" s="103">
        <f>COUNTIFS($E:$E,$E129,$N:$N,"&gt;"&amp;$N129)+1</f>
        <v/>
      </c>
      <c r="R129" s="85" t="inlineStr">
        <is>
          <t>📉 Weak</t>
        </is>
      </c>
      <c r="S129" s="85" t="inlineStr">
        <is>
          <t>🔴 Not Qualified</t>
        </is>
      </c>
      <c r="T129" s="85" t="inlineStr">
        <is>
          <t>🔴 Avoid</t>
        </is>
      </c>
      <c r="U129" s="69" t="inlineStr">
        <is>
          <t>FULL</t>
        </is>
      </c>
    </row>
    <row r="130" ht="16" customHeight="1">
      <c r="A130" s="77" t="n">
        <v>126</v>
      </c>
      <c r="B130" s="78" t="inlineStr">
        <is>
          <t>Nippon India Equity Savings Fund- Growth Plan- Bonus Option</t>
        </is>
      </c>
      <c r="C130" s="78" t="inlineStr">
        <is>
          <t>Nippon India Mutual Fund</t>
        </is>
      </c>
      <c r="D130" s="78" t="inlineStr">
        <is>
          <t>Equity Savings</t>
        </is>
      </c>
      <c r="E130" s="78" t="inlineStr">
        <is>
          <t>Equity Savings</t>
        </is>
      </c>
      <c r="F130" s="79" t="n">
        <v>0.08</v>
      </c>
      <c r="G130" s="79" t="n">
        <v>1.6</v>
      </c>
      <c r="H130" s="86" t="n">
        <v>-0.3</v>
      </c>
      <c r="I130" s="79" t="n">
        <v>3.04</v>
      </c>
      <c r="J130" s="79" t="n">
        <v>3.45047124107265</v>
      </c>
      <c r="K130" s="79" t="n">
        <v>20.57</v>
      </c>
      <c r="L130" s="87" t="n">
        <v>13.6</v>
      </c>
      <c r="M130" s="17" t="n">
        <v>0</v>
      </c>
      <c r="N130" s="23" t="n">
        <v>7.5</v>
      </c>
      <c r="O130" s="103">
        <f>COUNTIFS($E:$E,$E130,$L:$L,"&gt;"&amp;$L130)+1</f>
        <v/>
      </c>
      <c r="P130" s="103">
        <f>COUNTIFS($E:$E,$E130,$M:$M,"&gt;"&amp;$M130)+1</f>
        <v/>
      </c>
      <c r="Q130" s="103">
        <f>COUNTIFS($E:$E,$E130,$N:$N,"&gt;"&amp;$N130)+1</f>
        <v/>
      </c>
      <c r="R130" s="80" t="inlineStr">
        <is>
          <t>📉 Weak</t>
        </is>
      </c>
      <c r="S130" s="80" t="inlineStr">
        <is>
          <t>🔴 Not Qualified</t>
        </is>
      </c>
      <c r="T130" s="80" t="inlineStr">
        <is>
          <t>🔴 Avoid</t>
        </is>
      </c>
      <c r="U130" s="69" t="inlineStr">
        <is>
          <t>FULL</t>
        </is>
      </c>
    </row>
    <row r="131" ht="16" customHeight="1">
      <c r="A131" s="81" t="n">
        <v>127</v>
      </c>
      <c r="B131" s="82" t="inlineStr">
        <is>
          <t>Sundaram Arbitrage Fund (Formerly Known as Principal Arbitrage Fund)- Regular Plan - Monthly Income Distribution CUM Capital Withdrawal</t>
        </is>
      </c>
      <c r="C131" s="82" t="inlineStr">
        <is>
          <t>Sundaram Mutual Fund</t>
        </is>
      </c>
      <c r="D131" s="82" t="inlineStr">
        <is>
          <t>Arbitrage Fund</t>
        </is>
      </c>
      <c r="E131" s="82" t="inlineStr">
        <is>
          <t>Arbitrage Fund</t>
        </is>
      </c>
      <c r="F131" s="83" t="n">
        <v>0.42</v>
      </c>
      <c r="G131" s="88" t="n">
        <v>-4.6</v>
      </c>
      <c r="H131" s="88" t="n">
        <v>-3.24</v>
      </c>
      <c r="I131" s="88" t="n">
        <v>-0.39</v>
      </c>
      <c r="J131" s="83" t="n">
        <v>2.985435863523933</v>
      </c>
      <c r="K131" s="83" t="n">
        <v>13.7</v>
      </c>
      <c r="L131" s="87" t="n">
        <v>13.4</v>
      </c>
      <c r="M131" s="17" t="n">
        <v>0</v>
      </c>
      <c r="N131" s="23" t="n">
        <v>7.4</v>
      </c>
      <c r="O131" s="103">
        <f>COUNTIFS($E:$E,$E131,$L:$L,"&gt;"&amp;$L131)+1</f>
        <v/>
      </c>
      <c r="P131" s="103">
        <f>COUNTIFS($E:$E,$E131,$M:$M,"&gt;"&amp;$M131)+1</f>
        <v/>
      </c>
      <c r="Q131" s="103">
        <f>COUNTIFS($E:$E,$E131,$N:$N,"&gt;"&amp;$N131)+1</f>
        <v/>
      </c>
      <c r="R131" s="85" t="inlineStr">
        <is>
          <t>📉 Weak</t>
        </is>
      </c>
      <c r="S131" s="85" t="inlineStr">
        <is>
          <t>🔴 Not Qualified</t>
        </is>
      </c>
      <c r="T131" s="85" t="inlineStr">
        <is>
          <t>🔴 Avoid</t>
        </is>
      </c>
      <c r="U131" s="69" t="inlineStr">
        <is>
          <t>FULL</t>
        </is>
      </c>
    </row>
    <row r="132" ht="16" customHeight="1">
      <c r="A132" s="77" t="n">
        <v>128</v>
      </c>
      <c r="B132" s="78" t="inlineStr">
        <is>
          <t>Sundaram Balanced Advantage Fund (Formerly Known as Principal Balanced Advantage Fund) - Monthly Income Distribution CUM Capital Withdrawal Option</t>
        </is>
      </c>
      <c r="C132" s="78" t="inlineStr">
        <is>
          <t>Sundaram Mutual Fund</t>
        </is>
      </c>
      <c r="D132" s="78" t="inlineStr">
        <is>
          <t>Dynamic Asset Allocation Or Balanced Advantage</t>
        </is>
      </c>
      <c r="E132" s="78" t="inlineStr">
        <is>
          <t>Dynamic Asset Allocation Or Balanced Advantage</t>
        </is>
      </c>
      <c r="F132" s="79" t="n">
        <v>0.01</v>
      </c>
      <c r="G132" s="79" t="n">
        <v>1.74</v>
      </c>
      <c r="H132" s="86" t="n">
        <v>-5.27</v>
      </c>
      <c r="I132" s="86" t="n">
        <v>-7.4</v>
      </c>
      <c r="J132" s="86" t="n">
        <v>-6.688693075276242</v>
      </c>
      <c r="K132" s="79" t="n">
        <v>0.35</v>
      </c>
      <c r="L132" s="87" t="n">
        <v>10</v>
      </c>
      <c r="M132" s="17" t="n">
        <v>0</v>
      </c>
      <c r="N132" s="23" t="n">
        <v>5.5</v>
      </c>
      <c r="O132" s="103">
        <f>COUNTIFS($E:$E,$E132,$L:$L,"&gt;"&amp;$L132)+1</f>
        <v/>
      </c>
      <c r="P132" s="103">
        <f>COUNTIFS($E:$E,$E132,$M:$M,"&gt;"&amp;$M132)+1</f>
        <v/>
      </c>
      <c r="Q132" s="103">
        <f>COUNTIFS($E:$E,$E132,$N:$N,"&gt;"&amp;$N132)+1</f>
        <v/>
      </c>
      <c r="R132" s="80" t="inlineStr">
        <is>
          <t>📉 Weak</t>
        </is>
      </c>
      <c r="S132" s="80" t="inlineStr">
        <is>
          <t>🔴 Not Qualified</t>
        </is>
      </c>
      <c r="T132" s="80" t="inlineStr">
        <is>
          <t>🔴 Avoid</t>
        </is>
      </c>
      <c r="U132" s="69" t="inlineStr">
        <is>
          <t>FULL</t>
        </is>
      </c>
    </row>
    <row r="133" ht="16" customHeight="1">
      <c r="A133" s="81" t="n">
        <v>129</v>
      </c>
      <c r="B133" s="82" t="inlineStr">
        <is>
          <t>DSP Aggressive Hybrid Fund- Regular Plan - Growth</t>
        </is>
      </c>
      <c r="C133" s="82" t="inlineStr">
        <is>
          <t>DSP Mutual Fund</t>
        </is>
      </c>
      <c r="D133" s="82" t="inlineStr">
        <is>
          <t>Aggressive Hybrid Fund</t>
        </is>
      </c>
      <c r="E133" s="82" t="inlineStr">
        <is>
          <t>Aggressive Hybrid Fund</t>
        </is>
      </c>
      <c r="F133" s="88" t="n">
        <v>-0.92</v>
      </c>
      <c r="G133" s="83" t="n">
        <v>1.97</v>
      </c>
      <c r="H133" s="88" t="n">
        <v>-3.04</v>
      </c>
      <c r="I133" s="88" t="n">
        <v>-1.2</v>
      </c>
      <c r="J133" s="83" t="n">
        <v>1.843016451792123</v>
      </c>
      <c r="K133" s="83" t="n">
        <v>34.97</v>
      </c>
      <c r="L133" s="87" t="n">
        <v>7.7</v>
      </c>
      <c r="M133" s="17" t="n">
        <v>0</v>
      </c>
      <c r="N133" s="23" t="n">
        <v>4.2</v>
      </c>
      <c r="O133" s="103">
        <f>COUNTIFS($E:$E,$E133,$L:$L,"&gt;"&amp;$L133)+1</f>
        <v/>
      </c>
      <c r="P133" s="103">
        <f>COUNTIFS($E:$E,$E133,$M:$M,"&gt;"&amp;$M133)+1</f>
        <v/>
      </c>
      <c r="Q133" s="103">
        <f>COUNTIFS($E:$E,$E133,$N:$N,"&gt;"&amp;$N133)+1</f>
        <v/>
      </c>
      <c r="R133" s="85" t="inlineStr">
        <is>
          <t>📉 Weak</t>
        </is>
      </c>
      <c r="S133" s="85" t="inlineStr">
        <is>
          <t>🔴 Not Qualified</t>
        </is>
      </c>
      <c r="T133" s="85" t="inlineStr">
        <is>
          <t>🔴 Avoid</t>
        </is>
      </c>
      <c r="U133" s="69" t="inlineStr">
        <is>
          <t>FULL</t>
        </is>
      </c>
    </row>
    <row r="134" ht="16" customHeight="1">
      <c r="A134" s="77" t="n">
        <v>130</v>
      </c>
      <c r="B134" s="78" t="inlineStr">
        <is>
          <t>Sundaram Aggressive Hybrid Fund (Formerly Known as Principal Hybrid Equity Fund)- Monthly Income Distribution CUM Capital Withdrawal</t>
        </is>
      </c>
      <c r="C134" s="78" t="inlineStr">
        <is>
          <t>Sundaram Mutual Fund</t>
        </is>
      </c>
      <c r="D134" s="78" t="inlineStr">
        <is>
          <t>Aggressive Hybrid Fund</t>
        </is>
      </c>
      <c r="E134" s="78" t="inlineStr">
        <is>
          <t>Aggressive Hybrid Fund</t>
        </is>
      </c>
      <c r="F134" s="79" t="n">
        <v>0.22</v>
      </c>
      <c r="G134" s="79" t="n">
        <v>2.08</v>
      </c>
      <c r="H134" s="86" t="n">
        <v>-6.55</v>
      </c>
      <c r="I134" s="86" t="n">
        <v>-9.59</v>
      </c>
      <c r="J134" s="86" t="n">
        <v>-9.04396666520686</v>
      </c>
      <c r="K134" s="86" t="n">
        <v>-4.13</v>
      </c>
      <c r="L134" s="87" t="n">
        <v>7.1</v>
      </c>
      <c r="M134" s="17" t="n">
        <v>0</v>
      </c>
      <c r="N134" s="23" t="n">
        <v>3.9</v>
      </c>
      <c r="O134" s="103">
        <f>COUNTIFS($E:$E,$E134,$L:$L,"&gt;"&amp;$L134)+1</f>
        <v/>
      </c>
      <c r="P134" s="103">
        <f>COUNTIFS($E:$E,$E134,$M:$M,"&gt;"&amp;$M134)+1</f>
        <v/>
      </c>
      <c r="Q134" s="103">
        <f>COUNTIFS($E:$E,$E134,$N:$N,"&gt;"&amp;$N134)+1</f>
        <v/>
      </c>
      <c r="R134" s="80" t="inlineStr">
        <is>
          <t>📉 Weak</t>
        </is>
      </c>
      <c r="S134" s="80" t="inlineStr">
        <is>
          <t>🔴 Not Qualified</t>
        </is>
      </c>
      <c r="T134" s="80" t="inlineStr">
        <is>
          <t>🔴 Avoid</t>
        </is>
      </c>
      <c r="U134" s="69" t="inlineStr">
        <is>
          <t>FULL</t>
        </is>
      </c>
    </row>
    <row r="135" ht="16" customHeight="1">
      <c r="A135" s="81" t="n">
        <v>131</v>
      </c>
      <c r="B135" s="82" t="inlineStr">
        <is>
          <t>TATA Balanced Advantage Fund Regular Plan - Payout of Income Distribution cum capital withdrawal option</t>
        </is>
      </c>
      <c r="C135" s="82" t="inlineStr">
        <is>
          <t>Tata Mutual Fund</t>
        </is>
      </c>
      <c r="D135" s="82" t="inlineStr">
        <is>
          <t>Dynamic Asset Allocation Or Balanced Advantage</t>
        </is>
      </c>
      <c r="E135" s="82" t="inlineStr">
        <is>
          <t>Dynamic Asset Allocation Or Balanced Advantage</t>
        </is>
      </c>
      <c r="F135" s="88" t="n">
        <v>-0.17</v>
      </c>
      <c r="G135" s="88" t="n">
        <v>-0.59</v>
      </c>
      <c r="H135" s="88" t="n">
        <v>-3.5</v>
      </c>
      <c r="I135" s="83" t="n">
        <v>0.26</v>
      </c>
      <c r="J135" s="83" t="n">
        <v>0.7174264961133714</v>
      </c>
      <c r="K135" s="83" t="n">
        <v>22.86</v>
      </c>
      <c r="L135" s="87" t="n">
        <v>3.5</v>
      </c>
      <c r="M135" s="17" t="n">
        <v>0</v>
      </c>
      <c r="N135" s="23" t="n">
        <v>1.9</v>
      </c>
      <c r="O135" s="103">
        <f>COUNTIFS($E:$E,$E135,$L:$L,"&gt;"&amp;$L135)+1</f>
        <v/>
      </c>
      <c r="P135" s="103">
        <f>COUNTIFS($E:$E,$E135,$M:$M,"&gt;"&amp;$M135)+1</f>
        <v/>
      </c>
      <c r="Q135" s="103">
        <f>COUNTIFS($E:$E,$E135,$N:$N,"&gt;"&amp;$N135)+1</f>
        <v/>
      </c>
      <c r="R135" s="85" t="inlineStr">
        <is>
          <t>📉 Weak</t>
        </is>
      </c>
      <c r="S135" s="85" t="inlineStr">
        <is>
          <t>🔴 Not Qualified</t>
        </is>
      </c>
      <c r="T135" s="85" t="inlineStr">
        <is>
          <t>🔴 Avoid</t>
        </is>
      </c>
      <c r="U135" s="69" t="inlineStr">
        <is>
          <t>FULL</t>
        </is>
      </c>
    </row>
    <row r="136" ht="16" customHeight="1">
      <c r="A136" s="77" t="n">
        <v>132</v>
      </c>
      <c r="B136" s="78" t="inlineStr">
        <is>
          <t>TATA Balanced Advantage Fund Regular Plan - Reinvestment of Income Distribution cum capital withdrawal option</t>
        </is>
      </c>
      <c r="C136" s="78" t="inlineStr">
        <is>
          <t>Tata Mutual Fund</t>
        </is>
      </c>
      <c r="D136" s="78" t="inlineStr">
        <is>
          <t>Dynamic Asset Allocation Or Balanced Advantage</t>
        </is>
      </c>
      <c r="E136" s="78" t="inlineStr">
        <is>
          <t>Dynamic Asset Allocation Or Balanced Advantage</t>
        </is>
      </c>
      <c r="F136" s="86" t="n">
        <v>-0.17</v>
      </c>
      <c r="G136" s="86" t="n">
        <v>-0.59</v>
      </c>
      <c r="H136" s="86" t="n">
        <v>-3.5</v>
      </c>
      <c r="I136" s="79" t="n">
        <v>0.26</v>
      </c>
      <c r="J136" s="79" t="n">
        <v>0.7174264961133714</v>
      </c>
      <c r="K136" s="79" t="n">
        <v>22.86</v>
      </c>
      <c r="L136" s="87" t="n">
        <v>3.5</v>
      </c>
      <c r="M136" s="17" t="n">
        <v>0</v>
      </c>
      <c r="N136" s="23" t="n">
        <v>1.9</v>
      </c>
      <c r="O136" s="103">
        <f>COUNTIFS($E:$E,$E136,$L:$L,"&gt;"&amp;$L136)+1</f>
        <v/>
      </c>
      <c r="P136" s="103">
        <f>COUNTIFS($E:$E,$E136,$M:$M,"&gt;"&amp;$M136)+1</f>
        <v/>
      </c>
      <c r="Q136" s="103">
        <f>COUNTIFS($E:$E,$E136,$N:$N,"&gt;"&amp;$N136)+1</f>
        <v/>
      </c>
      <c r="R136" s="80" t="inlineStr">
        <is>
          <t>📉 Weak</t>
        </is>
      </c>
      <c r="S136" s="80" t="inlineStr">
        <is>
          <t>🔴 Not Qualified</t>
        </is>
      </c>
      <c r="T136" s="80" t="inlineStr">
        <is>
          <t>🔴 Avoid</t>
        </is>
      </c>
      <c r="U136" s="69" t="inlineStr">
        <is>
          <t>FULL</t>
        </is>
      </c>
    </row>
    <row r="137" ht="16" customHeight="1">
      <c r="A137" s="81" t="n">
        <v>133</v>
      </c>
      <c r="B137" s="82" t="inlineStr">
        <is>
          <t>Kotak Debt Hybrid - Monthly Payout of Income Distribution cum capital withdrawal option</t>
        </is>
      </c>
      <c r="C137" s="82" t="inlineStr">
        <is>
          <t>Kotak Mahindra Mutual Fund</t>
        </is>
      </c>
      <c r="D137" s="82" t="inlineStr">
        <is>
          <t>Conservative Hybrid Fund</t>
        </is>
      </c>
      <c r="E137" s="82" t="inlineStr">
        <is>
          <t>Conservative Hybrid Fund</t>
        </is>
      </c>
      <c r="F137" s="88" t="n">
        <v>-0.07000000000000001</v>
      </c>
      <c r="G137" s="83" t="n">
        <v>1.44</v>
      </c>
      <c r="H137" s="88" t="n">
        <v>-2.73</v>
      </c>
      <c r="I137" s="88" t="n">
        <v>-3.84</v>
      </c>
      <c r="J137" s="88" t="n">
        <v>-3.719160784712727</v>
      </c>
      <c r="K137" s="83" t="n">
        <v>0.22</v>
      </c>
      <c r="L137" s="87" t="n">
        <v>2.5</v>
      </c>
      <c r="M137" s="17" t="n">
        <v>0</v>
      </c>
      <c r="N137" s="23" t="n">
        <v>1.4</v>
      </c>
      <c r="O137" s="103">
        <f>COUNTIFS($E:$E,$E137,$L:$L,"&gt;"&amp;$L137)+1</f>
        <v/>
      </c>
      <c r="P137" s="103">
        <f>COUNTIFS($E:$E,$E137,$M:$M,"&gt;"&amp;$M137)+1</f>
        <v/>
      </c>
      <c r="Q137" s="103">
        <f>COUNTIFS($E:$E,$E137,$N:$N,"&gt;"&amp;$N137)+1</f>
        <v/>
      </c>
      <c r="R137" s="85" t="inlineStr">
        <is>
          <t>📉 Weak</t>
        </is>
      </c>
      <c r="S137" s="85" t="inlineStr">
        <is>
          <t>🔴 Not Qualified</t>
        </is>
      </c>
      <c r="T137" s="85" t="inlineStr">
        <is>
          <t>🔴 Avoid</t>
        </is>
      </c>
      <c r="U137" s="69" t="inlineStr">
        <is>
          <t>FULL</t>
        </is>
      </c>
    </row>
    <row r="138" ht="16" customHeight="1">
      <c r="A138" s="25" t="n">
        <v>134</v>
      </c>
      <c r="B138" s="26" t="inlineStr">
        <is>
          <t>quant Arbitrage Fund - Growth Option - Regular Plan</t>
        </is>
      </c>
      <c r="C138" s="26" t="inlineStr">
        <is>
          <t>quant Mutual Fund</t>
        </is>
      </c>
      <c r="D138" s="26" t="inlineStr">
        <is>
          <t>Arbitrage Fund</t>
        </is>
      </c>
      <c r="E138" s="26" t="inlineStr">
        <is>
          <t>Arbitrage Fund</t>
        </is>
      </c>
      <c r="F138" s="27" t="n">
        <v>0.44</v>
      </c>
      <c r="G138" s="27" t="n">
        <v>1.63</v>
      </c>
      <c r="H138" s="27" t="n">
        <v>3.35</v>
      </c>
      <c r="I138" s="27" t="n">
        <v>6.85</v>
      </c>
      <c r="J138" s="27" t="n">
        <v>0</v>
      </c>
      <c r="K138" s="27" t="n">
        <v>0</v>
      </c>
      <c r="L138" s="16" t="n">
        <v>100</v>
      </c>
      <c r="M138" s="17" t="n">
        <v>0</v>
      </c>
      <c r="N138" s="18" t="n">
        <v>55</v>
      </c>
      <c r="O138" s="103">
        <f>COUNTIFS($E:$E,$E138,$L:$L,"&gt;"&amp;$L138)+1</f>
        <v/>
      </c>
      <c r="P138" s="103">
        <f>COUNTIFS($E:$E,$E138,$M:$M,"&gt;"&amp;$M138)+1</f>
        <v/>
      </c>
      <c r="Q138" s="103">
        <f>COUNTIFS($E:$E,$E138,$N:$N,"&gt;"&amp;$N138)+1</f>
        <v/>
      </c>
      <c r="R138" s="94" t="inlineStr">
        <is>
          <t>🔥 Hot</t>
        </is>
      </c>
      <c r="S138" s="94" t="inlineStr">
        <is>
          <t>⏳ New Fund</t>
        </is>
      </c>
      <c r="T138" s="94" t="inlineStr">
        <is>
          <t>🔥 Hot Momentum</t>
        </is>
      </c>
      <c r="U138" s="95" t="inlineStr">
        <is>
          <t>MOMENTUM_ONLY</t>
        </is>
      </c>
    </row>
    <row r="139" ht="16" customHeight="1">
      <c r="A139" s="25" t="n">
        <v>135</v>
      </c>
      <c r="B139" s="26" t="inlineStr">
        <is>
          <t>Franklin India Arbitrage Fund - Growth</t>
        </is>
      </c>
      <c r="C139" s="26" t="inlineStr">
        <is>
          <t>Franklin Templeton Mutual Fund</t>
        </is>
      </c>
      <c r="D139" s="26" t="inlineStr">
        <is>
          <t>Arbitrage Fund</t>
        </is>
      </c>
      <c r="E139" s="26" t="inlineStr">
        <is>
          <t>Arbitrage Fund</t>
        </is>
      </c>
      <c r="F139" s="27" t="n">
        <v>0.44</v>
      </c>
      <c r="G139" s="27" t="n">
        <v>1.5</v>
      </c>
      <c r="H139" s="27" t="n">
        <v>2.99</v>
      </c>
      <c r="I139" s="27" t="n">
        <v>6.13</v>
      </c>
      <c r="J139" s="27" t="n">
        <v>0</v>
      </c>
      <c r="K139" s="27" t="n">
        <v>0</v>
      </c>
      <c r="L139" s="16" t="n">
        <v>95.8</v>
      </c>
      <c r="M139" s="17" t="n">
        <v>0</v>
      </c>
      <c r="N139" s="18" t="n">
        <v>52.7</v>
      </c>
      <c r="O139" s="103">
        <f>COUNTIFS($E:$E,$E139,$L:$L,"&gt;"&amp;$L139)+1</f>
        <v/>
      </c>
      <c r="P139" s="103">
        <f>COUNTIFS($E:$E,$E139,$M:$M,"&gt;"&amp;$M139)+1</f>
        <v/>
      </c>
      <c r="Q139" s="103">
        <f>COUNTIFS($E:$E,$E139,$N:$N,"&gt;"&amp;$N139)+1</f>
        <v/>
      </c>
      <c r="R139" s="94" t="inlineStr">
        <is>
          <t>🔥 Hot</t>
        </is>
      </c>
      <c r="S139" s="94" t="inlineStr">
        <is>
          <t>⏳ New Fund</t>
        </is>
      </c>
      <c r="T139" s="94" t="inlineStr">
        <is>
          <t>🔥 Hot Momentum</t>
        </is>
      </c>
      <c r="U139" s="95" t="inlineStr">
        <is>
          <t>MOMENTUM_ONLY</t>
        </is>
      </c>
    </row>
    <row r="140" ht="16" customHeight="1">
      <c r="A140" s="25" t="n">
        <v>136</v>
      </c>
      <c r="B140" s="26" t="inlineStr">
        <is>
          <t>WhiteOak Capital Arbitrage Fund Regular Plan Growth</t>
        </is>
      </c>
      <c r="C140" s="26" t="inlineStr">
        <is>
          <t>WhiteOak Capital Mutual Fund</t>
        </is>
      </c>
      <c r="D140" s="26" t="inlineStr">
        <is>
          <t>Arbitrage Fund</t>
        </is>
      </c>
      <c r="E140" s="26" t="inlineStr">
        <is>
          <t>Arbitrage Fund</t>
        </is>
      </c>
      <c r="F140" s="27" t="n">
        <v>0.39</v>
      </c>
      <c r="G140" s="27" t="n">
        <v>1.54</v>
      </c>
      <c r="H140" s="27" t="n">
        <v>3.08</v>
      </c>
      <c r="I140" s="27" t="n">
        <v>6.22</v>
      </c>
      <c r="J140" s="27" t="n">
        <v>0</v>
      </c>
      <c r="K140" s="27" t="n">
        <v>0</v>
      </c>
      <c r="L140" s="16" t="n">
        <v>83.09999999999999</v>
      </c>
      <c r="M140" s="17" t="n">
        <v>0</v>
      </c>
      <c r="N140" s="23" t="n">
        <v>45.7</v>
      </c>
      <c r="O140" s="103">
        <f>COUNTIFS($E:$E,$E140,$L:$L,"&gt;"&amp;$L140)+1</f>
        <v/>
      </c>
      <c r="P140" s="103">
        <f>COUNTIFS($E:$E,$E140,$M:$M,"&gt;"&amp;$M140)+1</f>
        <v/>
      </c>
      <c r="Q140" s="103">
        <f>COUNTIFS($E:$E,$E140,$N:$N,"&gt;"&amp;$N140)+1</f>
        <v/>
      </c>
      <c r="R140" s="94" t="inlineStr">
        <is>
          <t>⭐ Strong</t>
        </is>
      </c>
      <c r="S140" s="94" t="inlineStr">
        <is>
          <t>⏳ New Fund</t>
        </is>
      </c>
      <c r="T140" s="94" t="inlineStr">
        <is>
          <t>🔥 Hot Momentum</t>
        </is>
      </c>
      <c r="U140" s="95" t="inlineStr">
        <is>
          <t>MOMENTUM_ONLY</t>
        </is>
      </c>
    </row>
    <row r="141" ht="16" customHeight="1">
      <c r="A141" s="25" t="n">
        <v>137</v>
      </c>
      <c r="B141" s="26" t="inlineStr">
        <is>
          <t>WhiteOak Capital Equity Savings Fund Regular Plan Growth</t>
        </is>
      </c>
      <c r="C141" s="26" t="inlineStr">
        <is>
          <t>WhiteOak Capital Mutual Fund</t>
        </is>
      </c>
      <c r="D141" s="26" t="inlineStr">
        <is>
          <t>Equity Savings</t>
        </is>
      </c>
      <c r="E141" s="26" t="inlineStr">
        <is>
          <t>Equity Savings</t>
        </is>
      </c>
      <c r="F141" s="27" t="n">
        <v>0.73</v>
      </c>
      <c r="G141" s="27" t="n">
        <v>3.39</v>
      </c>
      <c r="H141" s="27" t="n">
        <v>2.15</v>
      </c>
      <c r="I141" s="27" t="n">
        <v>6.81</v>
      </c>
      <c r="J141" s="27" t="n">
        <v>0</v>
      </c>
      <c r="K141" s="27" t="n">
        <v>0</v>
      </c>
      <c r="L141" s="16" t="n">
        <v>82.3</v>
      </c>
      <c r="M141" s="17" t="n">
        <v>0</v>
      </c>
      <c r="N141" s="23" t="n">
        <v>45.2</v>
      </c>
      <c r="O141" s="103">
        <f>COUNTIFS($E:$E,$E141,$L:$L,"&gt;"&amp;$L141)+1</f>
        <v/>
      </c>
      <c r="P141" s="103">
        <f>COUNTIFS($E:$E,$E141,$M:$M,"&gt;"&amp;$M141)+1</f>
        <v/>
      </c>
      <c r="Q141" s="103">
        <f>COUNTIFS($E:$E,$E141,$N:$N,"&gt;"&amp;$N141)+1</f>
        <v/>
      </c>
      <c r="R141" s="94" t="inlineStr">
        <is>
          <t>⭐ Strong</t>
        </is>
      </c>
      <c r="S141" s="94" t="inlineStr">
        <is>
          <t>⏳ New Fund</t>
        </is>
      </c>
      <c r="T141" s="94" t="inlineStr">
        <is>
          <t>🔥 Hot Momentum</t>
        </is>
      </c>
      <c r="U141" s="95" t="inlineStr">
        <is>
          <t>MOMENTUM_ONLY</t>
        </is>
      </c>
    </row>
    <row r="142" ht="16" customHeight="1">
      <c r="A142" s="25" t="n">
        <v>138</v>
      </c>
      <c r="B142" s="26" t="inlineStr">
        <is>
          <t>Bandhan Multi Asset Allocation Fund - Regular Plan - Growth</t>
        </is>
      </c>
      <c r="C142" s="26" t="inlineStr">
        <is>
          <t>Bandhan Mutual Fund</t>
        </is>
      </c>
      <c r="D142" s="26" t="inlineStr">
        <is>
          <t>Multi Asset Allocation</t>
        </is>
      </c>
      <c r="E142" s="26" t="inlineStr">
        <is>
          <t>Multi Asset Allocation</t>
        </is>
      </c>
      <c r="F142" s="27" t="n">
        <v>2.33</v>
      </c>
      <c r="G142" s="27" t="n">
        <v>3.03</v>
      </c>
      <c r="H142" s="27" t="n">
        <v>3.57</v>
      </c>
      <c r="I142" s="27" t="n">
        <v>16.86</v>
      </c>
      <c r="J142" s="27" t="n">
        <v>12.38772174930856</v>
      </c>
      <c r="K142" s="27" t="n">
        <v>0</v>
      </c>
      <c r="L142" s="16" t="n">
        <v>80.5</v>
      </c>
      <c r="M142" s="17" t="n">
        <v>0</v>
      </c>
      <c r="N142" s="23" t="n">
        <v>44.3</v>
      </c>
      <c r="O142" s="103">
        <f>COUNTIFS($E:$E,$E142,$L:$L,"&gt;"&amp;$L142)+1</f>
        <v/>
      </c>
      <c r="P142" s="103">
        <f>COUNTIFS($E:$E,$E142,$M:$M,"&gt;"&amp;$M142)+1</f>
        <v/>
      </c>
      <c r="Q142" s="103">
        <f>COUNTIFS($E:$E,$E142,$N:$N,"&gt;"&amp;$N142)+1</f>
        <v/>
      </c>
      <c r="R142" s="94" t="inlineStr">
        <is>
          <t>⭐ Strong</t>
        </is>
      </c>
      <c r="S142" s="94" t="inlineStr">
        <is>
          <t>⏳ New Fund</t>
        </is>
      </c>
      <c r="T142" s="94" t="inlineStr">
        <is>
          <t>🔥 Hot Momentum</t>
        </is>
      </c>
      <c r="U142" s="95" t="inlineStr">
        <is>
          <t>MOMENTUM_ONLY</t>
        </is>
      </c>
    </row>
    <row r="143" ht="16" customHeight="1">
      <c r="A143" s="25" t="n">
        <v>139</v>
      </c>
      <c r="B143" s="26" t="inlineStr">
        <is>
          <t>360 ONE Balanced Hybrid Fund - Regular Plan - Growth</t>
        </is>
      </c>
      <c r="C143" s="26" t="inlineStr">
        <is>
          <t>360 ONE Mutual Fund</t>
        </is>
      </c>
      <c r="D143" s="26" t="inlineStr">
        <is>
          <t>Balanced Hybrid Fund</t>
        </is>
      </c>
      <c r="E143" s="26" t="inlineStr">
        <is>
          <t>Balanced Hybrid Fund</t>
        </is>
      </c>
      <c r="F143" s="27" t="n">
        <v>0.39</v>
      </c>
      <c r="G143" s="27" t="n">
        <v>5.11</v>
      </c>
      <c r="H143" s="27" t="n">
        <v>3.89</v>
      </c>
      <c r="I143" s="27" t="n">
        <v>5.5</v>
      </c>
      <c r="J143" s="27" t="n">
        <v>4.086502487114041</v>
      </c>
      <c r="K143" s="27" t="n">
        <v>0</v>
      </c>
      <c r="L143" s="16" t="n">
        <v>77.5</v>
      </c>
      <c r="M143" s="17" t="n">
        <v>0</v>
      </c>
      <c r="N143" s="23" t="n">
        <v>42.6</v>
      </c>
      <c r="O143" s="103">
        <f>COUNTIFS($E:$E,$E143,$L:$L,"&gt;"&amp;$L143)+1</f>
        <v/>
      </c>
      <c r="P143" s="103">
        <f>COUNTIFS($E:$E,$E143,$M:$M,"&gt;"&amp;$M143)+1</f>
        <v/>
      </c>
      <c r="Q143" s="103">
        <f>COUNTIFS($E:$E,$E143,$N:$N,"&gt;"&amp;$N143)+1</f>
        <v/>
      </c>
      <c r="R143" s="94" t="inlineStr">
        <is>
          <t>⭐ Strong</t>
        </is>
      </c>
      <c r="S143" s="94" t="inlineStr">
        <is>
          <t>⏳ New Fund</t>
        </is>
      </c>
      <c r="T143" s="94" t="inlineStr">
        <is>
          <t>📈 Momentum Only</t>
        </is>
      </c>
      <c r="U143" s="95" t="inlineStr">
        <is>
          <t>MOMENTUM_ONLY</t>
        </is>
      </c>
    </row>
    <row r="144" ht="16" customHeight="1">
      <c r="A144" s="25" t="n">
        <v>140</v>
      </c>
      <c r="B144" s="26" t="inlineStr">
        <is>
          <t>Bank of India Multi Asset Allocation Fund-Regular Plan-Growth</t>
        </is>
      </c>
      <c r="C144" s="26" t="inlineStr">
        <is>
          <t>Bank of India Mutual Fund</t>
        </is>
      </c>
      <c r="D144" s="26" t="inlineStr">
        <is>
          <t>Multi Asset Allocation</t>
        </is>
      </c>
      <c r="E144" s="26" t="inlineStr">
        <is>
          <t>Multi Asset Allocation</t>
        </is>
      </c>
      <c r="F144" s="27" t="n">
        <v>2.27</v>
      </c>
      <c r="G144" s="27" t="n">
        <v>3.85</v>
      </c>
      <c r="H144" s="27" t="n">
        <v>3.74</v>
      </c>
      <c r="I144" s="27" t="n">
        <v>14.18</v>
      </c>
      <c r="J144" s="27" t="n">
        <v>8.733619455989782</v>
      </c>
      <c r="K144" s="27" t="n">
        <v>0</v>
      </c>
      <c r="L144" s="16" t="n">
        <v>76.5</v>
      </c>
      <c r="M144" s="17" t="n">
        <v>0</v>
      </c>
      <c r="N144" s="23" t="n">
        <v>42.1</v>
      </c>
      <c r="O144" s="103">
        <f>COUNTIFS($E:$E,$E144,$L:$L,"&gt;"&amp;$L144)+1</f>
        <v/>
      </c>
      <c r="P144" s="103">
        <f>COUNTIFS($E:$E,$E144,$M:$M,"&gt;"&amp;$M144)+1</f>
        <v/>
      </c>
      <c r="Q144" s="103">
        <f>COUNTIFS($E:$E,$E144,$N:$N,"&gt;"&amp;$N144)+1</f>
        <v/>
      </c>
      <c r="R144" s="94" t="inlineStr">
        <is>
          <t>⭐ Strong</t>
        </is>
      </c>
      <c r="S144" s="94" t="inlineStr">
        <is>
          <t>⏳ New Fund</t>
        </is>
      </c>
      <c r="T144" s="94" t="inlineStr">
        <is>
          <t>📈 Momentum Only</t>
        </is>
      </c>
      <c r="U144" s="95" t="inlineStr">
        <is>
          <t>MOMENTUM_ONLY</t>
        </is>
      </c>
    </row>
    <row r="145" ht="16" customHeight="1">
      <c r="A145" s="25" t="n">
        <v>141</v>
      </c>
      <c r="B145" s="26" t="inlineStr">
        <is>
          <t>quant Equity Savings Fund - Growth Option - Regular Plan</t>
        </is>
      </c>
      <c r="C145" s="26" t="inlineStr">
        <is>
          <t>quant Mutual Fund</t>
        </is>
      </c>
      <c r="D145" s="26" t="inlineStr">
        <is>
          <t>Equity Savings</t>
        </is>
      </c>
      <c r="E145" s="26" t="inlineStr">
        <is>
          <t>Equity Savings</t>
        </is>
      </c>
      <c r="F145" s="96" t="n">
        <v>-0.8</v>
      </c>
      <c r="G145" s="27" t="n">
        <v>3.88</v>
      </c>
      <c r="H145" s="27" t="n">
        <v>4.58</v>
      </c>
      <c r="I145" s="27" t="n">
        <v>6.49</v>
      </c>
      <c r="J145" s="27" t="n">
        <v>0</v>
      </c>
      <c r="K145" s="27" t="n">
        <v>0</v>
      </c>
      <c r="L145" s="16" t="n">
        <v>75.7</v>
      </c>
      <c r="M145" s="17" t="n">
        <v>0</v>
      </c>
      <c r="N145" s="23" t="n">
        <v>41.6</v>
      </c>
      <c r="O145" s="103">
        <f>COUNTIFS($E:$E,$E145,$L:$L,"&gt;"&amp;$L145)+1</f>
        <v/>
      </c>
      <c r="P145" s="103">
        <f>COUNTIFS($E:$E,$E145,$M:$M,"&gt;"&amp;$M145)+1</f>
        <v/>
      </c>
      <c r="Q145" s="103">
        <f>COUNTIFS($E:$E,$E145,$N:$N,"&gt;"&amp;$N145)+1</f>
        <v/>
      </c>
      <c r="R145" s="94" t="inlineStr">
        <is>
          <t>⭐ Strong</t>
        </is>
      </c>
      <c r="S145" s="94" t="inlineStr">
        <is>
          <t>⏳ New Fund</t>
        </is>
      </c>
      <c r="T145" s="94" t="inlineStr">
        <is>
          <t>📈 Momentum Only</t>
        </is>
      </c>
      <c r="U145" s="95" t="inlineStr">
        <is>
          <t>MOMENTUM_ONLY</t>
        </is>
      </c>
    </row>
    <row r="146" ht="16" customHeight="1">
      <c r="A146" s="25" t="n">
        <v>142</v>
      </c>
      <c r="B146" s="26" t="inlineStr">
        <is>
          <t>Canara Robeco Multi Asset Allocation Fund - Regular Plan - Growth</t>
        </is>
      </c>
      <c r="C146" s="26" t="inlineStr">
        <is>
          <t>Canara Robeco Mutual Fund</t>
        </is>
      </c>
      <c r="D146" s="26" t="inlineStr">
        <is>
          <t>Multi Asset Allocation</t>
        </is>
      </c>
      <c r="E146" s="26" t="inlineStr">
        <is>
          <t>Multi Asset Allocation</t>
        </is>
      </c>
      <c r="F146" s="27" t="n">
        <v>3.08</v>
      </c>
      <c r="G146" s="27" t="n">
        <v>4.7</v>
      </c>
      <c r="H146" s="27" t="n">
        <v>1.88</v>
      </c>
      <c r="I146" s="27" t="n">
        <v>12.35</v>
      </c>
      <c r="J146" s="27" t="n">
        <v>0</v>
      </c>
      <c r="K146" s="27" t="n">
        <v>0</v>
      </c>
      <c r="L146" s="16" t="n">
        <v>75.59999999999999</v>
      </c>
      <c r="M146" s="17" t="n">
        <v>0</v>
      </c>
      <c r="N146" s="23" t="n">
        <v>41.6</v>
      </c>
      <c r="O146" s="103">
        <f>COUNTIFS($E:$E,$E146,$L:$L,"&gt;"&amp;$L146)+1</f>
        <v/>
      </c>
      <c r="P146" s="103">
        <f>COUNTIFS($E:$E,$E146,$M:$M,"&gt;"&amp;$M146)+1</f>
        <v/>
      </c>
      <c r="Q146" s="103">
        <f>COUNTIFS($E:$E,$E146,$N:$N,"&gt;"&amp;$N146)+1</f>
        <v/>
      </c>
      <c r="R146" s="94" t="inlineStr">
        <is>
          <t>⭐ Strong</t>
        </is>
      </c>
      <c r="S146" s="94" t="inlineStr">
        <is>
          <t>⏳ New Fund</t>
        </is>
      </c>
      <c r="T146" s="94" t="inlineStr">
        <is>
          <t>📈 Momentum Only</t>
        </is>
      </c>
      <c r="U146" s="95" t="inlineStr">
        <is>
          <t>MOMENTUM_ONLY</t>
        </is>
      </c>
    </row>
    <row r="147" ht="16" customHeight="1">
      <c r="A147" s="25" t="n">
        <v>143</v>
      </c>
      <c r="B147" s="26" t="inlineStr">
        <is>
          <t>Mahindra Manulife Multi Asset Allocation Fund- Regular Plan - Growth</t>
        </is>
      </c>
      <c r="C147" s="26" t="inlineStr">
        <is>
          <t>Mahindra Manulife Mutual Fund</t>
        </is>
      </c>
      <c r="D147" s="26" t="inlineStr">
        <is>
          <t>Multi Asset Allocation</t>
        </is>
      </c>
      <c r="E147" s="26" t="inlineStr">
        <is>
          <t>Multi Asset Allocation</t>
        </is>
      </c>
      <c r="F147" s="27" t="n">
        <v>1.85</v>
      </c>
      <c r="G147" s="27" t="n">
        <v>4.22</v>
      </c>
      <c r="H147" s="27" t="n">
        <v>2.49</v>
      </c>
      <c r="I147" s="27" t="n">
        <v>17.17</v>
      </c>
      <c r="J147" s="27" t="n">
        <v>12.48110952511092</v>
      </c>
      <c r="K147" s="27" t="n">
        <v>0</v>
      </c>
      <c r="L147" s="16" t="n">
        <v>75.09999999999999</v>
      </c>
      <c r="M147" s="17" t="n">
        <v>0</v>
      </c>
      <c r="N147" s="23" t="n">
        <v>41.3</v>
      </c>
      <c r="O147" s="103">
        <f>COUNTIFS($E:$E,$E147,$L:$L,"&gt;"&amp;$L147)+1</f>
        <v/>
      </c>
      <c r="P147" s="103">
        <f>COUNTIFS($E:$E,$E147,$M:$M,"&gt;"&amp;$M147)+1</f>
        <v/>
      </c>
      <c r="Q147" s="103">
        <f>COUNTIFS($E:$E,$E147,$N:$N,"&gt;"&amp;$N147)+1</f>
        <v/>
      </c>
      <c r="R147" s="94" t="inlineStr">
        <is>
          <t>⭐ Strong</t>
        </is>
      </c>
      <c r="S147" s="94" t="inlineStr">
        <is>
          <t>⏳ New Fund</t>
        </is>
      </c>
      <c r="T147" s="94" t="inlineStr">
        <is>
          <t>📈 Momentum Only</t>
        </is>
      </c>
      <c r="U147" s="95" t="inlineStr">
        <is>
          <t>MOMENTUM_ONLY</t>
        </is>
      </c>
    </row>
    <row r="148" ht="16" customHeight="1">
      <c r="A148" s="25" t="n">
        <v>144</v>
      </c>
      <c r="B148" s="26" t="inlineStr">
        <is>
          <t>Unifi Dynamic Asset Allocation Fund - Regular Growth</t>
        </is>
      </c>
      <c r="C148" s="26" t="inlineStr">
        <is>
          <t>Unifi Mutual Fund</t>
        </is>
      </c>
      <c r="D148" s="26" t="inlineStr">
        <is>
          <t>Dynamic Asset Allocation Or Balanced Advantage</t>
        </is>
      </c>
      <c r="E148" s="26" t="inlineStr">
        <is>
          <t>Dynamic Asset Allocation Or Balanced Advantage</t>
        </is>
      </c>
      <c r="F148" s="27" t="n">
        <v>0.76</v>
      </c>
      <c r="G148" s="27" t="n">
        <v>2.42</v>
      </c>
      <c r="H148" s="27" t="n">
        <v>3.73</v>
      </c>
      <c r="I148" s="27" t="n">
        <v>7.62</v>
      </c>
      <c r="J148" s="27" t="n">
        <v>0</v>
      </c>
      <c r="K148" s="27" t="n">
        <v>0</v>
      </c>
      <c r="L148" s="84" t="n">
        <v>73.40000000000001</v>
      </c>
      <c r="M148" s="17" t="n">
        <v>0</v>
      </c>
      <c r="N148" s="23" t="n">
        <v>40.4</v>
      </c>
      <c r="O148" s="103">
        <f>COUNTIFS($E:$E,$E148,$L:$L,"&gt;"&amp;$L148)+1</f>
        <v/>
      </c>
      <c r="P148" s="103">
        <f>COUNTIFS($E:$E,$E148,$M:$M,"&gt;"&amp;$M148)+1</f>
        <v/>
      </c>
      <c r="Q148" s="103">
        <f>COUNTIFS($E:$E,$E148,$N:$N,"&gt;"&amp;$N148)+1</f>
        <v/>
      </c>
      <c r="R148" s="94" t="inlineStr">
        <is>
          <t>📈 Good</t>
        </is>
      </c>
      <c r="S148" s="94" t="inlineStr">
        <is>
          <t>⏳ New Fund</t>
        </is>
      </c>
      <c r="T148" s="94" t="inlineStr">
        <is>
          <t>📈 Momentum Only</t>
        </is>
      </c>
      <c r="U148" s="95" t="inlineStr">
        <is>
          <t>MOMENTUM_ONLY</t>
        </is>
      </c>
    </row>
    <row r="149" ht="16" customHeight="1">
      <c r="A149" s="25" t="n">
        <v>145</v>
      </c>
      <c r="B149" s="26" t="inlineStr">
        <is>
          <t>Bajaj Finserv Balanced Advantage Fund-Regular Plan-Growth</t>
        </is>
      </c>
      <c r="C149" s="26" t="inlineStr">
        <is>
          <t>Bajaj Finserv Mutual Fund</t>
        </is>
      </c>
      <c r="D149" s="26" t="inlineStr">
        <is>
          <t>Dynamic Asset Allocation Or Balanced Advantage</t>
        </is>
      </c>
      <c r="E149" s="26" t="inlineStr">
        <is>
          <t>Dynamic Asset Allocation Or Balanced Advantage</t>
        </is>
      </c>
      <c r="F149" s="27" t="n">
        <v>1.24</v>
      </c>
      <c r="G149" s="27" t="n">
        <v>5.81</v>
      </c>
      <c r="H149" s="27" t="n">
        <v>0.71</v>
      </c>
      <c r="I149" s="27" t="n">
        <v>6.44</v>
      </c>
      <c r="J149" s="27" t="n">
        <v>2.630404851583812</v>
      </c>
      <c r="K149" s="27" t="n">
        <v>0</v>
      </c>
      <c r="L149" s="84" t="n">
        <v>73.2</v>
      </c>
      <c r="M149" s="17" t="n">
        <v>0</v>
      </c>
      <c r="N149" s="23" t="n">
        <v>40.3</v>
      </c>
      <c r="O149" s="103">
        <f>COUNTIFS($E:$E,$E149,$L:$L,"&gt;"&amp;$L149)+1</f>
        <v/>
      </c>
      <c r="P149" s="103">
        <f>COUNTIFS($E:$E,$E149,$M:$M,"&gt;"&amp;$M149)+1</f>
        <v/>
      </c>
      <c r="Q149" s="103">
        <f>COUNTIFS($E:$E,$E149,$N:$N,"&gt;"&amp;$N149)+1</f>
        <v/>
      </c>
      <c r="R149" s="94" t="inlineStr">
        <is>
          <t>📈 Good</t>
        </is>
      </c>
      <c r="S149" s="94" t="inlineStr">
        <is>
          <t>⏳ New Fund</t>
        </is>
      </c>
      <c r="T149" s="94" t="inlineStr">
        <is>
          <t>📈 Momentum Only</t>
        </is>
      </c>
      <c r="U149" s="95" t="inlineStr">
        <is>
          <t>MOMENTUM_ONLY</t>
        </is>
      </c>
    </row>
    <row r="150" ht="16" customHeight="1">
      <c r="A150" s="25" t="n">
        <v>146</v>
      </c>
      <c r="B150" s="26" t="inlineStr">
        <is>
          <t>Parag Parikh Arbitrage Fund - Regular Plan Growth</t>
        </is>
      </c>
      <c r="C150" s="26" t="inlineStr">
        <is>
          <t>PPFAS Mutual Fund</t>
        </is>
      </c>
      <c r="D150" s="26" t="inlineStr">
        <is>
          <t>Arbitrage Fund</t>
        </is>
      </c>
      <c r="E150" s="26" t="inlineStr">
        <is>
          <t>Arbitrage Fund</t>
        </is>
      </c>
      <c r="F150" s="27" t="n">
        <v>0.42</v>
      </c>
      <c r="G150" s="27" t="n">
        <v>1.43</v>
      </c>
      <c r="H150" s="27" t="n">
        <v>2.84</v>
      </c>
      <c r="I150" s="27" t="n">
        <v>5.97</v>
      </c>
      <c r="J150" s="27" t="n">
        <v>6.273232754066527</v>
      </c>
      <c r="K150" s="27" t="n">
        <v>0</v>
      </c>
      <c r="L150" s="84" t="n">
        <v>66.2</v>
      </c>
      <c r="M150" s="17" t="n">
        <v>0</v>
      </c>
      <c r="N150" s="23" t="n">
        <v>36.4</v>
      </c>
      <c r="O150" s="103">
        <f>COUNTIFS($E:$E,$E150,$L:$L,"&gt;"&amp;$L150)+1</f>
        <v/>
      </c>
      <c r="P150" s="103">
        <f>COUNTIFS($E:$E,$E150,$M:$M,"&gt;"&amp;$M150)+1</f>
        <v/>
      </c>
      <c r="Q150" s="103">
        <f>COUNTIFS($E:$E,$E150,$N:$N,"&gt;"&amp;$N150)+1</f>
        <v/>
      </c>
      <c r="R150" s="94" t="inlineStr">
        <is>
          <t>📈 Good</t>
        </is>
      </c>
      <c r="S150" s="94" t="inlineStr">
        <is>
          <t>⏳ New Fund</t>
        </is>
      </c>
      <c r="T150" s="94" t="inlineStr">
        <is>
          <t>📈 Momentum Only</t>
        </is>
      </c>
      <c r="U150" s="95" t="inlineStr">
        <is>
          <t>MOMENTUM_ONLY</t>
        </is>
      </c>
    </row>
    <row r="151" ht="16" customHeight="1">
      <c r="A151" s="25" t="n">
        <v>147</v>
      </c>
      <c r="B151" s="26" t="inlineStr">
        <is>
          <t>Kotak Multi Asset Allocation Fund - Regular Plan - Growth Option</t>
        </is>
      </c>
      <c r="C151" s="26" t="inlineStr">
        <is>
          <t>Kotak Mahindra Mutual Fund</t>
        </is>
      </c>
      <c r="D151" s="26" t="inlineStr">
        <is>
          <t>Multi Asset Allocation</t>
        </is>
      </c>
      <c r="E151" s="26" t="inlineStr">
        <is>
          <t>Multi Asset Allocation</t>
        </is>
      </c>
      <c r="F151" s="27" t="n">
        <v>2.56</v>
      </c>
      <c r="G151" s="27" t="n">
        <v>2.32</v>
      </c>
      <c r="H151" s="27" t="n">
        <v>1.44</v>
      </c>
      <c r="I151" s="27" t="n">
        <v>22.27</v>
      </c>
      <c r="J151" s="27" t="n">
        <v>12.44554237496478</v>
      </c>
      <c r="K151" s="27" t="n">
        <v>0</v>
      </c>
      <c r="L151" s="84" t="n">
        <v>64.40000000000001</v>
      </c>
      <c r="M151" s="17" t="n">
        <v>0</v>
      </c>
      <c r="N151" s="23" t="n">
        <v>35.4</v>
      </c>
      <c r="O151" s="103">
        <f>COUNTIFS($E:$E,$E151,$L:$L,"&gt;"&amp;$L151)+1</f>
        <v/>
      </c>
      <c r="P151" s="103">
        <f>COUNTIFS($E:$E,$E151,$M:$M,"&gt;"&amp;$M151)+1</f>
        <v/>
      </c>
      <c r="Q151" s="103">
        <f>COUNTIFS($E:$E,$E151,$N:$N,"&gt;"&amp;$N151)+1</f>
        <v/>
      </c>
      <c r="R151" s="94" t="inlineStr">
        <is>
          <t>📈 Good</t>
        </is>
      </c>
      <c r="S151" s="94" t="inlineStr">
        <is>
          <t>⏳ New Fund</t>
        </is>
      </c>
      <c r="T151" s="94" t="inlineStr">
        <is>
          <t>📈 Momentum Only</t>
        </is>
      </c>
      <c r="U151" s="95" t="inlineStr">
        <is>
          <t>MOMENTUM_ONLY</t>
        </is>
      </c>
    </row>
    <row r="152" ht="16" customHeight="1">
      <c r="A152" s="25" t="n">
        <v>148</v>
      </c>
      <c r="B152" s="26" t="inlineStr">
        <is>
          <t>DSP Multi Asset Allocation Fund - Regular - Growth</t>
        </is>
      </c>
      <c r="C152" s="26" t="inlineStr">
        <is>
          <t>DSP Mutual Fund</t>
        </is>
      </c>
      <c r="D152" s="26" t="inlineStr">
        <is>
          <t>Multi Asset Allocation</t>
        </is>
      </c>
      <c r="E152" s="26" t="inlineStr">
        <is>
          <t>Multi Asset Allocation</t>
        </is>
      </c>
      <c r="F152" s="27" t="n">
        <v>1.65</v>
      </c>
      <c r="G152" s="27" t="n">
        <v>2.16</v>
      </c>
      <c r="H152" s="27" t="n">
        <v>2.17</v>
      </c>
      <c r="I152" s="27" t="n">
        <v>19.64</v>
      </c>
      <c r="J152" s="27" t="n">
        <v>15.36030513135791</v>
      </c>
      <c r="K152" s="27" t="n">
        <v>0</v>
      </c>
      <c r="L152" s="84" t="n">
        <v>58.8</v>
      </c>
      <c r="M152" s="17" t="n">
        <v>0</v>
      </c>
      <c r="N152" s="23" t="n">
        <v>32.3</v>
      </c>
      <c r="O152" s="103">
        <f>COUNTIFS($E:$E,$E152,$L:$L,"&gt;"&amp;$L152)+1</f>
        <v/>
      </c>
      <c r="P152" s="103">
        <f>COUNTIFS($E:$E,$E152,$M:$M,"&gt;"&amp;$M152)+1</f>
        <v/>
      </c>
      <c r="Q152" s="103">
        <f>COUNTIFS($E:$E,$E152,$N:$N,"&gt;"&amp;$N152)+1</f>
        <v/>
      </c>
      <c r="R152" s="94" t="inlineStr">
        <is>
          <t>➡️ Neutral</t>
        </is>
      </c>
      <c r="S152" s="94" t="inlineStr">
        <is>
          <t>⏳ New Fund</t>
        </is>
      </c>
      <c r="T152" s="94" t="inlineStr">
        <is>
          <t>⏳ New Fund</t>
        </is>
      </c>
      <c r="U152" s="95" t="inlineStr">
        <is>
          <t>MOMENTUM_ONLY</t>
        </is>
      </c>
    </row>
    <row r="153" ht="16" customHeight="1">
      <c r="A153" s="25" t="n">
        <v>149</v>
      </c>
      <c r="B153" s="26" t="inlineStr">
        <is>
          <t>Franklin India Multi Asset Allocation Fund- Growth</t>
        </is>
      </c>
      <c r="C153" s="26" t="inlineStr">
        <is>
          <t>Franklin Templeton Mutual Fund</t>
        </is>
      </c>
      <c r="D153" s="26" t="inlineStr">
        <is>
          <t>Multi Asset Allocation</t>
        </is>
      </c>
      <c r="E153" s="26" t="inlineStr">
        <is>
          <t>Multi Asset Allocation</t>
        </is>
      </c>
      <c r="F153" s="27" t="n">
        <v>2.55</v>
      </c>
      <c r="G153" s="27" t="n">
        <v>3.68</v>
      </c>
      <c r="H153" s="96" t="n">
        <v>-0.19</v>
      </c>
      <c r="I153" s="27" t="n">
        <v>11.88</v>
      </c>
      <c r="J153" s="27" t="n">
        <v>0</v>
      </c>
      <c r="K153" s="27" t="n">
        <v>0</v>
      </c>
      <c r="L153" s="84" t="n">
        <v>55.6</v>
      </c>
      <c r="M153" s="17" t="n">
        <v>0</v>
      </c>
      <c r="N153" s="23" t="n">
        <v>30.6</v>
      </c>
      <c r="O153" s="103">
        <f>COUNTIFS($E:$E,$E153,$L:$L,"&gt;"&amp;$L153)+1</f>
        <v/>
      </c>
      <c r="P153" s="103">
        <f>COUNTIFS($E:$E,$E153,$M:$M,"&gt;"&amp;$M153)+1</f>
        <v/>
      </c>
      <c r="Q153" s="103">
        <f>COUNTIFS($E:$E,$E153,$N:$N,"&gt;"&amp;$N153)+1</f>
        <v/>
      </c>
      <c r="R153" s="94" t="inlineStr">
        <is>
          <t>➡️ Neutral</t>
        </is>
      </c>
      <c r="S153" s="94" t="inlineStr">
        <is>
          <t>⏳ New Fund</t>
        </is>
      </c>
      <c r="T153" s="94" t="inlineStr">
        <is>
          <t>⏳ New Fund</t>
        </is>
      </c>
      <c r="U153" s="95" t="inlineStr">
        <is>
          <t>MOMENTUM_ONLY</t>
        </is>
      </c>
    </row>
    <row r="154" ht="16" customHeight="1">
      <c r="A154" s="25" t="n">
        <v>150</v>
      </c>
      <c r="B154" s="26" t="inlineStr">
        <is>
          <t>360 ONE Multi Asset Allocation Fund - Regular Plan - Growth</t>
        </is>
      </c>
      <c r="C154" s="26" t="inlineStr">
        <is>
          <t>360 ONE Mutual Fund</t>
        </is>
      </c>
      <c r="D154" s="26" t="inlineStr">
        <is>
          <t>Multi Asset Allocation</t>
        </is>
      </c>
      <c r="E154" s="26" t="inlineStr">
        <is>
          <t>Multi Asset Allocation</t>
        </is>
      </c>
      <c r="F154" s="27" t="n">
        <v>3.12</v>
      </c>
      <c r="G154" s="27" t="n">
        <v>2.73</v>
      </c>
      <c r="H154" s="27" t="n">
        <v>2.47</v>
      </c>
      <c r="I154" s="27" t="n">
        <v>0</v>
      </c>
      <c r="J154" s="27" t="n">
        <v>0</v>
      </c>
      <c r="K154" s="27" t="n">
        <v>0</v>
      </c>
      <c r="L154" s="84" t="n">
        <v>52.8</v>
      </c>
      <c r="M154" s="17" t="n">
        <v>0</v>
      </c>
      <c r="N154" s="23" t="n">
        <v>29.1</v>
      </c>
      <c r="O154" s="103">
        <f>COUNTIFS($E:$E,$E154,$L:$L,"&gt;"&amp;$L154)+1</f>
        <v/>
      </c>
      <c r="P154" s="103">
        <f>COUNTIFS($E:$E,$E154,$M:$M,"&gt;"&amp;$M154)+1</f>
        <v/>
      </c>
      <c r="Q154" s="103">
        <f>COUNTIFS($E:$E,$E154,$N:$N,"&gt;"&amp;$N154)+1</f>
        <v/>
      </c>
      <c r="R154" s="94" t="inlineStr">
        <is>
          <t>➡️ Neutral</t>
        </is>
      </c>
      <c r="S154" s="94" t="inlineStr">
        <is>
          <t>⏳ New Fund</t>
        </is>
      </c>
      <c r="T154" s="94" t="inlineStr">
        <is>
          <t>⏳ New Fund</t>
        </is>
      </c>
      <c r="U154" s="95" t="inlineStr">
        <is>
          <t>MOMENTUM_ONLY</t>
        </is>
      </c>
    </row>
    <row r="155" ht="16" customHeight="1">
      <c r="A155" s="25" t="n">
        <v>151</v>
      </c>
      <c r="B155" s="26" t="inlineStr">
        <is>
          <t>The Wealth Company Multi Asset Allocation Fund - Regular Growth</t>
        </is>
      </c>
      <c r="C155" s="26" t="inlineStr">
        <is>
          <t>The Wealth Company Mutual Fund</t>
        </is>
      </c>
      <c r="D155" s="26" t="inlineStr">
        <is>
          <t>Multi Asset Allocation</t>
        </is>
      </c>
      <c r="E155" s="26" t="inlineStr">
        <is>
          <t>Multi Asset Allocation</t>
        </is>
      </c>
      <c r="F155" s="27" t="n">
        <v>2.52</v>
      </c>
      <c r="G155" s="27" t="n">
        <v>2.26</v>
      </c>
      <c r="H155" s="27" t="n">
        <v>4.24</v>
      </c>
      <c r="I155" s="27" t="n">
        <v>0</v>
      </c>
      <c r="J155" s="27" t="n">
        <v>0</v>
      </c>
      <c r="K155" s="27" t="n">
        <v>0</v>
      </c>
      <c r="L155" s="84" t="n">
        <v>52.7</v>
      </c>
      <c r="M155" s="17" t="n">
        <v>0</v>
      </c>
      <c r="N155" s="23" t="n">
        <v>29</v>
      </c>
      <c r="O155" s="103">
        <f>COUNTIFS($E:$E,$E155,$L:$L,"&gt;"&amp;$L155)+1</f>
        <v/>
      </c>
      <c r="P155" s="103">
        <f>COUNTIFS($E:$E,$E155,$M:$M,"&gt;"&amp;$M155)+1</f>
        <v/>
      </c>
      <c r="Q155" s="103">
        <f>COUNTIFS($E:$E,$E155,$N:$N,"&gt;"&amp;$N155)+1</f>
        <v/>
      </c>
      <c r="R155" s="94" t="inlineStr">
        <is>
          <t>➡️ Neutral</t>
        </is>
      </c>
      <c r="S155" s="94" t="inlineStr">
        <is>
          <t>⏳ New Fund</t>
        </is>
      </c>
      <c r="T155" s="94" t="inlineStr">
        <is>
          <t>⏳ New Fund</t>
        </is>
      </c>
      <c r="U155" s="95" t="inlineStr">
        <is>
          <t>MOMENTUM_ONLY</t>
        </is>
      </c>
    </row>
    <row r="156" ht="16" customHeight="1">
      <c r="A156" s="25" t="n">
        <v>152</v>
      </c>
      <c r="B156" s="26" t="inlineStr">
        <is>
          <t>LIC MF Multi Asset Allocation Fund-Regular Plan-Growth</t>
        </is>
      </c>
      <c r="C156" s="26" t="inlineStr">
        <is>
          <t>LIC Mutual Fund</t>
        </is>
      </c>
      <c r="D156" s="26" t="inlineStr">
        <is>
          <t>Multi Asset Allocation</t>
        </is>
      </c>
      <c r="E156" s="26" t="inlineStr">
        <is>
          <t>Multi Asset Allocation</t>
        </is>
      </c>
      <c r="F156" s="27" t="n">
        <v>3.62</v>
      </c>
      <c r="G156" s="27" t="n">
        <v>2.59</v>
      </c>
      <c r="H156" s="27" t="n">
        <v>0.5</v>
      </c>
      <c r="I156" s="27" t="n">
        <v>11.23</v>
      </c>
      <c r="J156" s="27" t="n">
        <v>0</v>
      </c>
      <c r="K156" s="27" t="n">
        <v>0</v>
      </c>
      <c r="L156" s="84" t="n">
        <v>51.6</v>
      </c>
      <c r="M156" s="17" t="n">
        <v>0</v>
      </c>
      <c r="N156" s="23" t="n">
        <v>28.4</v>
      </c>
      <c r="O156" s="103">
        <f>COUNTIFS($E:$E,$E156,$L:$L,"&gt;"&amp;$L156)+1</f>
        <v/>
      </c>
      <c r="P156" s="103">
        <f>COUNTIFS($E:$E,$E156,$M:$M,"&gt;"&amp;$M156)+1</f>
        <v/>
      </c>
      <c r="Q156" s="103">
        <f>COUNTIFS($E:$E,$E156,$N:$N,"&gt;"&amp;$N156)+1</f>
        <v/>
      </c>
      <c r="R156" s="94" t="inlineStr">
        <is>
          <t>➡️ Neutral</t>
        </is>
      </c>
      <c r="S156" s="94" t="inlineStr">
        <is>
          <t>⏳ New Fund</t>
        </is>
      </c>
      <c r="T156" s="94" t="inlineStr">
        <is>
          <t>⏳ New Fund</t>
        </is>
      </c>
      <c r="U156" s="95" t="inlineStr">
        <is>
          <t>MOMENTUM_ONLY</t>
        </is>
      </c>
    </row>
    <row r="157" ht="16" customHeight="1">
      <c r="A157" s="25" t="n">
        <v>153</v>
      </c>
      <c r="B157" s="26" t="inlineStr">
        <is>
          <t>Canara Robeco Balanced Advantage Fund - Regular Plan - Growth Option</t>
        </is>
      </c>
      <c r="C157" s="26" t="inlineStr">
        <is>
          <t>Canara Robeco Mutual Fund</t>
        </is>
      </c>
      <c r="D157" s="26" t="inlineStr">
        <is>
          <t>Dynamic Asset Allocation Or Balanced Advantage</t>
        </is>
      </c>
      <c r="E157" s="26" t="inlineStr">
        <is>
          <t>Dynamic Asset Allocation Or Balanced Advantage</t>
        </is>
      </c>
      <c r="F157" s="27" t="n">
        <v>1.17</v>
      </c>
      <c r="G157" s="27" t="n">
        <v>4.54</v>
      </c>
      <c r="H157" s="96" t="n">
        <v>-0.58</v>
      </c>
      <c r="I157" s="27" t="n">
        <v>1.87</v>
      </c>
      <c r="J157" s="27" t="n">
        <v>1.528321171976432</v>
      </c>
      <c r="K157" s="27" t="n">
        <v>0</v>
      </c>
      <c r="L157" s="84" t="n">
        <v>50</v>
      </c>
      <c r="M157" s="17" t="n">
        <v>0</v>
      </c>
      <c r="N157" s="23" t="n">
        <v>27.5</v>
      </c>
      <c r="O157" s="103">
        <f>COUNTIFS($E:$E,$E157,$L:$L,"&gt;"&amp;$L157)+1</f>
        <v/>
      </c>
      <c r="P157" s="103">
        <f>COUNTIFS($E:$E,$E157,$M:$M,"&gt;"&amp;$M157)+1</f>
        <v/>
      </c>
      <c r="Q157" s="103">
        <f>COUNTIFS($E:$E,$E157,$N:$N,"&gt;"&amp;$N157)+1</f>
        <v/>
      </c>
      <c r="R157" s="94" t="inlineStr">
        <is>
          <t>➡️ Neutral</t>
        </is>
      </c>
      <c r="S157" s="94" t="inlineStr">
        <is>
          <t>⏳ New Fund</t>
        </is>
      </c>
      <c r="T157" s="94" t="inlineStr">
        <is>
          <t>⏳ New Fund</t>
        </is>
      </c>
      <c r="U157" s="95" t="inlineStr">
        <is>
          <t>MOMENTUM_ONLY</t>
        </is>
      </c>
    </row>
    <row r="158" ht="16" customHeight="1">
      <c r="A158" s="25" t="n">
        <v>154</v>
      </c>
      <c r="B158" s="26" t="inlineStr">
        <is>
          <t>Union Multi Asset Allocation Fund- Regular Plan - Growth Option</t>
        </is>
      </c>
      <c r="C158" s="26" t="inlineStr">
        <is>
          <t>Union Mutual Fund</t>
        </is>
      </c>
      <c r="D158" s="26" t="inlineStr">
        <is>
          <t>Multi Asset Allocation</t>
        </is>
      </c>
      <c r="E158" s="26" t="inlineStr">
        <is>
          <t>Multi Asset Allocation</t>
        </is>
      </c>
      <c r="F158" s="27" t="n">
        <v>1.65</v>
      </c>
      <c r="G158" s="27" t="n">
        <v>3.79</v>
      </c>
      <c r="H158" s="96" t="n">
        <v>-0.4</v>
      </c>
      <c r="I158" s="27" t="n">
        <v>16.12</v>
      </c>
      <c r="J158" s="27" t="n">
        <v>0</v>
      </c>
      <c r="K158" s="27" t="n">
        <v>0</v>
      </c>
      <c r="L158" s="87" t="n">
        <v>49.7</v>
      </c>
      <c r="M158" s="17" t="n">
        <v>0</v>
      </c>
      <c r="N158" s="23" t="n">
        <v>27.4</v>
      </c>
      <c r="O158" s="103">
        <f>COUNTIFS($E:$E,$E158,$L:$L,"&gt;"&amp;$L158)+1</f>
        <v/>
      </c>
      <c r="P158" s="103">
        <f>COUNTIFS($E:$E,$E158,$M:$M,"&gt;"&amp;$M158)+1</f>
        <v/>
      </c>
      <c r="Q158" s="103">
        <f>COUNTIFS($E:$E,$E158,$N:$N,"&gt;"&amp;$N158)+1</f>
        <v/>
      </c>
      <c r="R158" s="94" t="inlineStr">
        <is>
          <t>➡️ Neutral</t>
        </is>
      </c>
      <c r="S158" s="94" t="inlineStr">
        <is>
          <t>⏳ New Fund</t>
        </is>
      </c>
      <c r="T158" s="94" t="inlineStr">
        <is>
          <t>⏳ New Fund</t>
        </is>
      </c>
      <c r="U158" s="95" t="inlineStr">
        <is>
          <t>MOMENTUM_ONLY</t>
        </is>
      </c>
    </row>
    <row r="159" ht="16" customHeight="1">
      <c r="A159" s="25" t="n">
        <v>155</v>
      </c>
      <c r="B159" s="26" t="inlineStr">
        <is>
          <t>Motilal Oswal Arbitrage Fund-Regular Plan-Growth</t>
        </is>
      </c>
      <c r="C159" s="26" t="inlineStr">
        <is>
          <t>Motilal Oswal Mutual Fund</t>
        </is>
      </c>
      <c r="D159" s="26" t="inlineStr">
        <is>
          <t>Arbitrage Fund</t>
        </is>
      </c>
      <c r="E159" s="26" t="inlineStr">
        <is>
          <t>Arbitrage Fund</t>
        </is>
      </c>
      <c r="F159" s="27" t="n">
        <v>0.42</v>
      </c>
      <c r="G159" s="27" t="n">
        <v>1.39</v>
      </c>
      <c r="H159" s="27" t="n">
        <v>2.76</v>
      </c>
      <c r="I159" s="27" t="n">
        <v>5.86</v>
      </c>
      <c r="J159" s="27" t="n">
        <v>0</v>
      </c>
      <c r="K159" s="27" t="n">
        <v>0</v>
      </c>
      <c r="L159" s="87" t="n">
        <v>49.1</v>
      </c>
      <c r="M159" s="17" t="n">
        <v>0</v>
      </c>
      <c r="N159" s="23" t="n">
        <v>27</v>
      </c>
      <c r="O159" s="103">
        <f>COUNTIFS($E:$E,$E159,$L:$L,"&gt;"&amp;$L159)+1</f>
        <v/>
      </c>
      <c r="P159" s="103">
        <f>COUNTIFS($E:$E,$E159,$M:$M,"&gt;"&amp;$M159)+1</f>
        <v/>
      </c>
      <c r="Q159" s="103">
        <f>COUNTIFS($E:$E,$E159,$N:$N,"&gt;"&amp;$N159)+1</f>
        <v/>
      </c>
      <c r="R159" s="94" t="inlineStr">
        <is>
          <t>➡️ Neutral</t>
        </is>
      </c>
      <c r="S159" s="94" t="inlineStr">
        <is>
          <t>⏳ New Fund</t>
        </is>
      </c>
      <c r="T159" s="94" t="inlineStr">
        <is>
          <t>⏳ New Fund</t>
        </is>
      </c>
      <c r="U159" s="95" t="inlineStr">
        <is>
          <t>MOMENTUM_ONLY</t>
        </is>
      </c>
    </row>
    <row r="160" ht="16" customHeight="1">
      <c r="A160" s="25" t="n">
        <v>156</v>
      </c>
      <c r="B160" s="26" t="inlineStr">
        <is>
          <t>Mirae Asset Multi Asset Allocation Fund - Regular Plan - Growth</t>
        </is>
      </c>
      <c r="C160" s="26" t="inlineStr">
        <is>
          <t>Mirae Asset Mutual Fund</t>
        </is>
      </c>
      <c r="D160" s="26" t="inlineStr">
        <is>
          <t>Multi Asset Allocation</t>
        </is>
      </c>
      <c r="E160" s="26" t="inlineStr">
        <is>
          <t>Multi Asset Allocation</t>
        </is>
      </c>
      <c r="F160" s="27" t="n">
        <v>1.86</v>
      </c>
      <c r="G160" s="27" t="n">
        <v>2.64</v>
      </c>
      <c r="H160" s="27" t="n">
        <v>0.86</v>
      </c>
      <c r="I160" s="27" t="n">
        <v>13.18</v>
      </c>
      <c r="J160" s="27" t="n">
        <v>11.04503590885997</v>
      </c>
      <c r="K160" s="27" t="n">
        <v>0</v>
      </c>
      <c r="L160" s="87" t="n">
        <v>48</v>
      </c>
      <c r="M160" s="17" t="n">
        <v>0</v>
      </c>
      <c r="N160" s="23" t="n">
        <v>26.4</v>
      </c>
      <c r="O160" s="103">
        <f>COUNTIFS($E:$E,$E160,$L:$L,"&gt;"&amp;$L160)+1</f>
        <v/>
      </c>
      <c r="P160" s="103">
        <f>COUNTIFS($E:$E,$E160,$M:$M,"&gt;"&amp;$M160)+1</f>
        <v/>
      </c>
      <c r="Q160" s="103">
        <f>COUNTIFS($E:$E,$E160,$N:$N,"&gt;"&amp;$N160)+1</f>
        <v/>
      </c>
      <c r="R160" s="94" t="inlineStr">
        <is>
          <t>➡️ Neutral</t>
        </is>
      </c>
      <c r="S160" s="94" t="inlineStr">
        <is>
          <t>⏳ New Fund</t>
        </is>
      </c>
      <c r="T160" s="94" t="inlineStr">
        <is>
          <t>⏳ New Fund</t>
        </is>
      </c>
      <c r="U160" s="95" t="inlineStr">
        <is>
          <t>MOMENTUM_ONLY</t>
        </is>
      </c>
    </row>
    <row r="161" ht="16" customHeight="1">
      <c r="A161" s="25" t="n">
        <v>157</v>
      </c>
      <c r="B161" s="26" t="inlineStr">
        <is>
          <t>PGIM India Multi Asset Allocation Fund - Regular Plan - Growth Option</t>
        </is>
      </c>
      <c r="C161" s="26" t="inlineStr">
        <is>
          <t>PGIM India Mutual Fund</t>
        </is>
      </c>
      <c r="D161" s="26" t="inlineStr">
        <is>
          <t>Multi Asset Allocation</t>
        </is>
      </c>
      <c r="E161" s="26" t="inlineStr">
        <is>
          <t>Multi Asset Allocation</t>
        </is>
      </c>
      <c r="F161" s="27" t="n">
        <v>2.6</v>
      </c>
      <c r="G161" s="27" t="n">
        <v>2.7</v>
      </c>
      <c r="H161" s="27" t="n">
        <v>1.23</v>
      </c>
      <c r="I161" s="27" t="n">
        <v>0</v>
      </c>
      <c r="J161" s="27" t="n">
        <v>0</v>
      </c>
      <c r="K161" s="27" t="n">
        <v>0</v>
      </c>
      <c r="L161" s="87" t="n">
        <v>47.7</v>
      </c>
      <c r="M161" s="17" t="n">
        <v>0</v>
      </c>
      <c r="N161" s="23" t="n">
        <v>26.2</v>
      </c>
      <c r="O161" s="103">
        <f>COUNTIFS($E:$E,$E161,$L:$L,"&gt;"&amp;$L161)+1</f>
        <v/>
      </c>
      <c r="P161" s="103">
        <f>COUNTIFS($E:$E,$E161,$M:$M,"&gt;"&amp;$M161)+1</f>
        <v/>
      </c>
      <c r="Q161" s="103">
        <f>COUNTIFS($E:$E,$E161,$N:$N,"&gt;"&amp;$N161)+1</f>
        <v/>
      </c>
      <c r="R161" s="94" t="inlineStr">
        <is>
          <t>➡️ Neutral</t>
        </is>
      </c>
      <c r="S161" s="94" t="inlineStr">
        <is>
          <t>⏳ New Fund</t>
        </is>
      </c>
      <c r="T161" s="94" t="inlineStr">
        <is>
          <t>⏳ New Fund</t>
        </is>
      </c>
      <c r="U161" s="95" t="inlineStr">
        <is>
          <t>MOMENTUM_ONLY</t>
        </is>
      </c>
    </row>
    <row r="162" ht="16" customHeight="1">
      <c r="A162" s="25" t="n">
        <v>158</v>
      </c>
      <c r="B162" s="26" t="inlineStr">
        <is>
          <t>Bajaj Finserv Multi Asset Allocation Fund - Regular Growth</t>
        </is>
      </c>
      <c r="C162" s="26" t="inlineStr">
        <is>
          <t>Bajaj Finserv Mutual Fund</t>
        </is>
      </c>
      <c r="D162" s="26" t="inlineStr">
        <is>
          <t>Multi Asset Allocation</t>
        </is>
      </c>
      <c r="E162" s="26" t="inlineStr">
        <is>
          <t>Multi Asset Allocation</t>
        </is>
      </c>
      <c r="F162" s="27" t="n">
        <v>1.94</v>
      </c>
      <c r="G162" s="27" t="n">
        <v>2.87</v>
      </c>
      <c r="H162" s="96" t="n">
        <v>-1.25</v>
      </c>
      <c r="I162" s="27" t="n">
        <v>14.23</v>
      </c>
      <c r="J162" s="27" t="n">
        <v>7.810018087374426</v>
      </c>
      <c r="K162" s="27" t="n">
        <v>0</v>
      </c>
      <c r="L162" s="87" t="n">
        <v>46.6</v>
      </c>
      <c r="M162" s="17" t="n">
        <v>0</v>
      </c>
      <c r="N162" s="23" t="n">
        <v>25.7</v>
      </c>
      <c r="O162" s="103">
        <f>COUNTIFS($E:$E,$E162,$L:$L,"&gt;"&amp;$L162)+1</f>
        <v/>
      </c>
      <c r="P162" s="103">
        <f>COUNTIFS($E:$E,$E162,$M:$M,"&gt;"&amp;$M162)+1</f>
        <v/>
      </c>
      <c r="Q162" s="103">
        <f>COUNTIFS($E:$E,$E162,$N:$N,"&gt;"&amp;$N162)+1</f>
        <v/>
      </c>
      <c r="R162" s="94" t="inlineStr">
        <is>
          <t>➡️ Neutral</t>
        </is>
      </c>
      <c r="S162" s="94" t="inlineStr">
        <is>
          <t>⏳ New Fund</t>
        </is>
      </c>
      <c r="T162" s="94" t="inlineStr">
        <is>
          <t>⏳ New Fund</t>
        </is>
      </c>
      <c r="U162" s="95" t="inlineStr">
        <is>
          <t>MOMENTUM_ONLY</t>
        </is>
      </c>
    </row>
    <row r="163" ht="16" customHeight="1">
      <c r="A163" s="25" t="n">
        <v>159</v>
      </c>
      <c r="B163" s="26" t="inlineStr">
        <is>
          <t>Sundaram Multi Asset Allocation Fund Regular Plan Growth</t>
        </is>
      </c>
      <c r="C163" s="26" t="inlineStr">
        <is>
          <t>Sundaram Mutual Fund</t>
        </is>
      </c>
      <c r="D163" s="26" t="inlineStr">
        <is>
          <t>Multi Asset Allocation</t>
        </is>
      </c>
      <c r="E163" s="26" t="inlineStr">
        <is>
          <t>Multi Asset Allocation</t>
        </is>
      </c>
      <c r="F163" s="27" t="n">
        <v>3.46</v>
      </c>
      <c r="G163" s="27" t="n">
        <v>3.13</v>
      </c>
      <c r="H163" s="96" t="n">
        <v>-1.42</v>
      </c>
      <c r="I163" s="27" t="n">
        <v>10.88</v>
      </c>
      <c r="J163" s="27" t="n">
        <v>9.631199938703583</v>
      </c>
      <c r="K163" s="27" t="n">
        <v>0</v>
      </c>
      <c r="L163" s="87" t="n">
        <v>46.1</v>
      </c>
      <c r="M163" s="17" t="n">
        <v>0</v>
      </c>
      <c r="N163" s="23" t="n">
        <v>25.4</v>
      </c>
      <c r="O163" s="103">
        <f>COUNTIFS($E:$E,$E163,$L:$L,"&gt;"&amp;$L163)+1</f>
        <v/>
      </c>
      <c r="P163" s="103">
        <f>COUNTIFS($E:$E,$E163,$M:$M,"&gt;"&amp;$M163)+1</f>
        <v/>
      </c>
      <c r="Q163" s="103">
        <f>COUNTIFS($E:$E,$E163,$N:$N,"&gt;"&amp;$N163)+1</f>
        <v/>
      </c>
      <c r="R163" s="94" t="inlineStr">
        <is>
          <t>➡️ Neutral</t>
        </is>
      </c>
      <c r="S163" s="94" t="inlineStr">
        <is>
          <t>⏳ New Fund</t>
        </is>
      </c>
      <c r="T163" s="94" t="inlineStr">
        <is>
          <t>⏳ New Fund</t>
        </is>
      </c>
      <c r="U163" s="95" t="inlineStr">
        <is>
          <t>MOMENTUM_ONLY</t>
        </is>
      </c>
    </row>
    <row r="164" ht="16" customHeight="1">
      <c r="A164" s="25" t="n">
        <v>160</v>
      </c>
      <c r="B164" s="26" t="inlineStr">
        <is>
          <t>BAJAJ FINSERV EQUITY SAVINGS FUND - REGULAR - GROWTH</t>
        </is>
      </c>
      <c r="C164" s="26" t="inlineStr">
        <is>
          <t>Bajaj Finserv Mutual Fund</t>
        </is>
      </c>
      <c r="D164" s="26" t="inlineStr">
        <is>
          <t>Equity Savings</t>
        </is>
      </c>
      <c r="E164" s="26" t="inlineStr">
        <is>
          <t>Equity Savings</t>
        </is>
      </c>
      <c r="F164" s="27" t="n">
        <v>0.8</v>
      </c>
      <c r="G164" s="27" t="n">
        <v>0.83</v>
      </c>
      <c r="H164" s="27" t="n">
        <v>2.13</v>
      </c>
      <c r="I164" s="27" t="n">
        <v>0</v>
      </c>
      <c r="J164" s="27" t="n">
        <v>0</v>
      </c>
      <c r="K164" s="27" t="n">
        <v>0</v>
      </c>
      <c r="L164" s="87" t="n">
        <v>45.2</v>
      </c>
      <c r="M164" s="17" t="n">
        <v>0</v>
      </c>
      <c r="N164" s="23" t="n">
        <v>24.9</v>
      </c>
      <c r="O164" s="103">
        <f>COUNTIFS($E:$E,$E164,$L:$L,"&gt;"&amp;$L164)+1</f>
        <v/>
      </c>
      <c r="P164" s="103">
        <f>COUNTIFS($E:$E,$E164,$M:$M,"&gt;"&amp;$M164)+1</f>
        <v/>
      </c>
      <c r="Q164" s="103">
        <f>COUNTIFS($E:$E,$E164,$N:$N,"&gt;"&amp;$N164)+1</f>
        <v/>
      </c>
      <c r="R164" s="94" t="inlineStr">
        <is>
          <t>➡️ Neutral</t>
        </is>
      </c>
      <c r="S164" s="94" t="inlineStr">
        <is>
          <t>⏳ New Fund</t>
        </is>
      </c>
      <c r="T164" s="94" t="inlineStr">
        <is>
          <t>⏳ New Fund</t>
        </is>
      </c>
      <c r="U164" s="95" t="inlineStr">
        <is>
          <t>MOMENTUM_ONLY</t>
        </is>
      </c>
    </row>
    <row r="165" ht="16" customHeight="1">
      <c r="A165" s="25" t="n">
        <v>161</v>
      </c>
      <c r="B165" s="26" t="inlineStr">
        <is>
          <t>Parag Parikh Dynamic Asset Allocation Fund - Regular Plan Growth</t>
        </is>
      </c>
      <c r="C165" s="26" t="inlineStr">
        <is>
          <t>PPFAS Mutual Fund</t>
        </is>
      </c>
      <c r="D165" s="26" t="inlineStr">
        <is>
          <t>Dynamic Asset Allocation Or Balanced Advantage</t>
        </is>
      </c>
      <c r="E165" s="26" t="inlineStr">
        <is>
          <t>Dynamic Asset Allocation Or Balanced Advantage</t>
        </is>
      </c>
      <c r="F165" s="96" t="n">
        <v>-0.03</v>
      </c>
      <c r="G165" s="27" t="n">
        <v>1.83</v>
      </c>
      <c r="H165" s="27" t="n">
        <v>1.25</v>
      </c>
      <c r="I165" s="27" t="n">
        <v>3.8</v>
      </c>
      <c r="J165" s="27" t="n">
        <v>4.780723418002797</v>
      </c>
      <c r="K165" s="27" t="n">
        <v>0</v>
      </c>
      <c r="L165" s="87" t="n">
        <v>40.1</v>
      </c>
      <c r="M165" s="17" t="n">
        <v>0</v>
      </c>
      <c r="N165" s="23" t="n">
        <v>22.1</v>
      </c>
      <c r="O165" s="103">
        <f>COUNTIFS($E:$E,$E165,$L:$L,"&gt;"&amp;$L165)+1</f>
        <v/>
      </c>
      <c r="P165" s="103">
        <f>COUNTIFS($E:$E,$E165,$M:$M,"&gt;"&amp;$M165)+1</f>
        <v/>
      </c>
      <c r="Q165" s="103">
        <f>COUNTIFS($E:$E,$E165,$N:$N,"&gt;"&amp;$N165)+1</f>
        <v/>
      </c>
      <c r="R165" s="94" t="inlineStr">
        <is>
          <t>➡️ Neutral</t>
        </is>
      </c>
      <c r="S165" s="94" t="inlineStr">
        <is>
          <t>⏳ New Fund</t>
        </is>
      </c>
      <c r="T165" s="94" t="inlineStr">
        <is>
          <t>⏳ New Fund</t>
        </is>
      </c>
      <c r="U165" s="95" t="inlineStr">
        <is>
          <t>MOMENTUM_ONLY</t>
        </is>
      </c>
    </row>
    <row r="166" ht="16" customHeight="1">
      <c r="A166" s="25" t="n">
        <v>162</v>
      </c>
      <c r="B166" s="26" t="inlineStr">
        <is>
          <t>Bajaj Finserv Arbitrage Fund- Regular Plan-Growth</t>
        </is>
      </c>
      <c r="C166" s="26" t="inlineStr">
        <is>
          <t>Bajaj Finserv Mutual Fund</t>
        </is>
      </c>
      <c r="D166" s="26" t="inlineStr">
        <is>
          <t>Arbitrage Fund</t>
        </is>
      </c>
      <c r="E166" s="26" t="inlineStr">
        <is>
          <t>Arbitrage Fund</t>
        </is>
      </c>
      <c r="F166" s="27" t="n">
        <v>0.38</v>
      </c>
      <c r="G166" s="27" t="n">
        <v>1.37</v>
      </c>
      <c r="H166" s="27" t="n">
        <v>2.76</v>
      </c>
      <c r="I166" s="27" t="n">
        <v>5.76</v>
      </c>
      <c r="J166" s="27" t="n">
        <v>5.985848111905967</v>
      </c>
      <c r="K166" s="27" t="n">
        <v>0</v>
      </c>
      <c r="L166" s="87" t="n">
        <v>35.2</v>
      </c>
      <c r="M166" s="17" t="n">
        <v>0</v>
      </c>
      <c r="N166" s="23" t="n">
        <v>19.3</v>
      </c>
      <c r="O166" s="103">
        <f>COUNTIFS($E:$E,$E166,$L:$L,"&gt;"&amp;$L166)+1</f>
        <v/>
      </c>
      <c r="P166" s="103">
        <f>COUNTIFS($E:$E,$E166,$M:$M,"&gt;"&amp;$M166)+1</f>
        <v/>
      </c>
      <c r="Q166" s="103">
        <f>COUNTIFS($E:$E,$E166,$N:$N,"&gt;"&amp;$N166)+1</f>
        <v/>
      </c>
      <c r="R166" s="94" t="inlineStr">
        <is>
          <t>📉 Weak</t>
        </is>
      </c>
      <c r="S166" s="94" t="inlineStr">
        <is>
          <t>⏳ New Fund</t>
        </is>
      </c>
      <c r="T166" s="94" t="inlineStr">
        <is>
          <t>⏳ New Fund</t>
        </is>
      </c>
      <c r="U166" s="95" t="inlineStr">
        <is>
          <t>MOMENTUM_ONLY</t>
        </is>
      </c>
    </row>
    <row r="167" ht="16" customHeight="1">
      <c r="A167" s="25" t="n">
        <v>163</v>
      </c>
      <c r="B167" s="26" t="inlineStr">
        <is>
          <t>WhiteOak Capital Balanced Hybrid Fund Regular Plan Growth</t>
        </is>
      </c>
      <c r="C167" s="26" t="inlineStr">
        <is>
          <t>WhiteOak Capital Mutual Fund</t>
        </is>
      </c>
      <c r="D167" s="26" t="inlineStr">
        <is>
          <t>Balanced Hybrid Fund</t>
        </is>
      </c>
      <c r="E167" s="26" t="inlineStr">
        <is>
          <t>Balanced Hybrid Fund</t>
        </is>
      </c>
      <c r="F167" s="27" t="n">
        <v>1.04</v>
      </c>
      <c r="G167" s="27" t="n">
        <v>5.1</v>
      </c>
      <c r="H167" s="27" t="n">
        <v>2.24</v>
      </c>
      <c r="I167" s="27" t="n">
        <v>4.98</v>
      </c>
      <c r="J167" s="27" t="n">
        <v>4.976187776085683</v>
      </c>
      <c r="K167" s="27" t="n">
        <v>0</v>
      </c>
      <c r="L167" s="87" t="n">
        <v>27.5</v>
      </c>
      <c r="M167" s="17" t="n">
        <v>0</v>
      </c>
      <c r="N167" s="23" t="n">
        <v>15.1</v>
      </c>
      <c r="O167" s="103">
        <f>COUNTIFS($E:$E,$E167,$L:$L,"&gt;"&amp;$L167)+1</f>
        <v/>
      </c>
      <c r="P167" s="103">
        <f>COUNTIFS($E:$E,$E167,$M:$M,"&gt;"&amp;$M167)+1</f>
        <v/>
      </c>
      <c r="Q167" s="103">
        <f>COUNTIFS($E:$E,$E167,$N:$N,"&gt;"&amp;$N167)+1</f>
        <v/>
      </c>
      <c r="R167" s="94" t="inlineStr">
        <is>
          <t>📉 Weak</t>
        </is>
      </c>
      <c r="S167" s="94" t="inlineStr">
        <is>
          <t>⏳ New Fund</t>
        </is>
      </c>
      <c r="T167" s="94" t="inlineStr">
        <is>
          <t>⏳ New Fund</t>
        </is>
      </c>
      <c r="U167" s="95" t="inlineStr">
        <is>
          <t>MOMENTUM_ONLY</t>
        </is>
      </c>
    </row>
    <row r="168" ht="16" customHeight="1">
      <c r="A168" s="25" t="n">
        <v>164</v>
      </c>
      <c r="B168" s="26" t="inlineStr">
        <is>
          <t>Shriram Multi Asset Allocation Fund - Regular Growth</t>
        </is>
      </c>
      <c r="C168" s="26" t="inlineStr">
        <is>
          <t>Shriram Mutual Fund</t>
        </is>
      </c>
      <c r="D168" s="26" t="inlineStr">
        <is>
          <t>Multi Asset Allocation</t>
        </is>
      </c>
      <c r="E168" s="26" t="inlineStr">
        <is>
          <t>Multi Asset Allocation</t>
        </is>
      </c>
      <c r="F168" s="27" t="n">
        <v>1.62</v>
      </c>
      <c r="G168" s="27" t="n">
        <v>2.22</v>
      </c>
      <c r="H168" s="96" t="n">
        <v>-1.16</v>
      </c>
      <c r="I168" s="27" t="n">
        <v>11.43</v>
      </c>
      <c r="J168" s="27" t="n">
        <v>2.518291050914412</v>
      </c>
      <c r="K168" s="27" t="n">
        <v>0</v>
      </c>
      <c r="L168" s="87" t="n">
        <v>27.5</v>
      </c>
      <c r="M168" s="17" t="n">
        <v>0</v>
      </c>
      <c r="N168" s="23" t="n">
        <v>15.1</v>
      </c>
      <c r="O168" s="103">
        <f>COUNTIFS($E:$E,$E168,$L:$L,"&gt;"&amp;$L168)+1</f>
        <v/>
      </c>
      <c r="P168" s="103">
        <f>COUNTIFS($E:$E,$E168,$M:$M,"&gt;"&amp;$M168)+1</f>
        <v/>
      </c>
      <c r="Q168" s="103">
        <f>COUNTIFS($E:$E,$E168,$N:$N,"&gt;"&amp;$N168)+1</f>
        <v/>
      </c>
      <c r="R168" s="94" t="inlineStr">
        <is>
          <t>📉 Weak</t>
        </is>
      </c>
      <c r="S168" s="94" t="inlineStr">
        <is>
          <t>⏳ New Fund</t>
        </is>
      </c>
      <c r="T168" s="94" t="inlineStr">
        <is>
          <t>⏳ New Fund</t>
        </is>
      </c>
      <c r="U168" s="95" t="inlineStr">
        <is>
          <t>MOMENTUM_ONLY</t>
        </is>
      </c>
    </row>
    <row r="169" ht="16" customHeight="1">
      <c r="A169" s="25" t="n">
        <v>165</v>
      </c>
      <c r="B169" s="26" t="inlineStr">
        <is>
          <t>Old Bridge Arbitrage Fund Regular Growth</t>
        </is>
      </c>
      <c r="C169" s="26" t="inlineStr">
        <is>
          <t>Old Bridge Mutual Fund</t>
        </is>
      </c>
      <c r="D169" s="26" t="inlineStr">
        <is>
          <t>Arbitrage Fund</t>
        </is>
      </c>
      <c r="E169" s="26" t="inlineStr">
        <is>
          <t>Arbitrage Fund</t>
        </is>
      </c>
      <c r="F169" s="27" t="n">
        <v>0.39</v>
      </c>
      <c r="G169" s="27" t="n">
        <v>1.43</v>
      </c>
      <c r="H169" s="27" t="n">
        <v>2.59</v>
      </c>
      <c r="I169" s="27" t="n">
        <v>0</v>
      </c>
      <c r="J169" s="27" t="n">
        <v>0</v>
      </c>
      <c r="K169" s="27" t="n">
        <v>0</v>
      </c>
      <c r="L169" s="87" t="n">
        <v>25.6</v>
      </c>
      <c r="M169" s="17" t="n">
        <v>0</v>
      </c>
      <c r="N169" s="23" t="n">
        <v>14.1</v>
      </c>
      <c r="O169" s="103">
        <f>COUNTIFS($E:$E,$E169,$L:$L,"&gt;"&amp;$L169)+1</f>
        <v/>
      </c>
      <c r="P169" s="103">
        <f>COUNTIFS($E:$E,$E169,$M:$M,"&gt;"&amp;$M169)+1</f>
        <v/>
      </c>
      <c r="Q169" s="103">
        <f>COUNTIFS($E:$E,$E169,$N:$N,"&gt;"&amp;$N169)+1</f>
        <v/>
      </c>
      <c r="R169" s="94" t="inlineStr">
        <is>
          <t>📉 Weak</t>
        </is>
      </c>
      <c r="S169" s="94" t="inlineStr">
        <is>
          <t>⏳ New Fund</t>
        </is>
      </c>
      <c r="T169" s="94" t="inlineStr">
        <is>
          <t>⏳ New Fund</t>
        </is>
      </c>
      <c r="U169" s="95" t="inlineStr">
        <is>
          <t>MOMENTUM_ONLY</t>
        </is>
      </c>
    </row>
    <row r="170" ht="16" customHeight="1">
      <c r="A170" s="25" t="n">
        <v>166</v>
      </c>
      <c r="B170" s="26" t="inlineStr">
        <is>
          <t>THE WEALTH COMPANY ARBITRAGE FUND REGULAR GROWTH</t>
        </is>
      </c>
      <c r="C170" s="26" t="inlineStr">
        <is>
          <t>The Wealth Company Mutual Fund</t>
        </is>
      </c>
      <c r="D170" s="26" t="inlineStr">
        <is>
          <t>Arbitrage Fund</t>
        </is>
      </c>
      <c r="E170" s="26" t="inlineStr">
        <is>
          <t>Arbitrage Fund</t>
        </is>
      </c>
      <c r="F170" s="27" t="n">
        <v>0.38</v>
      </c>
      <c r="G170" s="27" t="n">
        <v>1.28</v>
      </c>
      <c r="H170" s="27" t="n">
        <v>2.69</v>
      </c>
      <c r="I170" s="27" t="n">
        <v>0</v>
      </c>
      <c r="J170" s="27" t="n">
        <v>0</v>
      </c>
      <c r="K170" s="27" t="n">
        <v>0</v>
      </c>
      <c r="L170" s="87" t="n">
        <v>21.7</v>
      </c>
      <c r="M170" s="17" t="n">
        <v>0</v>
      </c>
      <c r="N170" s="23" t="n">
        <v>11.9</v>
      </c>
      <c r="O170" s="103">
        <f>COUNTIFS($E:$E,$E170,$L:$L,"&gt;"&amp;$L170)+1</f>
        <v/>
      </c>
      <c r="P170" s="103">
        <f>COUNTIFS($E:$E,$E170,$M:$M,"&gt;"&amp;$M170)+1</f>
        <v/>
      </c>
      <c r="Q170" s="103">
        <f>COUNTIFS($E:$E,$E170,$N:$N,"&gt;"&amp;$N170)+1</f>
        <v/>
      </c>
      <c r="R170" s="94" t="inlineStr">
        <is>
          <t>📉 Weak</t>
        </is>
      </c>
      <c r="S170" s="94" t="inlineStr">
        <is>
          <t>⏳ New Fund</t>
        </is>
      </c>
      <c r="T170" s="94" t="inlineStr">
        <is>
          <t>⏳ New Fund</t>
        </is>
      </c>
      <c r="U170" s="95" t="inlineStr">
        <is>
          <t>MOMENTUM_ONLY</t>
        </is>
      </c>
    </row>
    <row r="171" ht="16" customHeight="1">
      <c r="A171" s="25" t="n">
        <v>167</v>
      </c>
      <c r="B171" s="26" t="inlineStr">
        <is>
          <t>Samco Multi Asset Allocation Fund - Regular Plan - Growth</t>
        </is>
      </c>
      <c r="C171" s="26" t="inlineStr">
        <is>
          <t>Samco Mutual Fund</t>
        </is>
      </c>
      <c r="D171" s="26" t="inlineStr">
        <is>
          <t>Multi Asset Allocation</t>
        </is>
      </c>
      <c r="E171" s="26" t="inlineStr">
        <is>
          <t>Multi Asset Allocation</t>
        </is>
      </c>
      <c r="F171" s="27" t="n">
        <v>1.92</v>
      </c>
      <c r="G171" s="27" t="n">
        <v>0.66</v>
      </c>
      <c r="H171" s="96" t="n">
        <v>-1.21</v>
      </c>
      <c r="I171" s="27" t="n">
        <v>5.44</v>
      </c>
      <c r="J171" s="27" t="n">
        <v>0</v>
      </c>
      <c r="K171" s="27" t="n">
        <v>0</v>
      </c>
      <c r="L171" s="87" t="n">
        <v>17.2</v>
      </c>
      <c r="M171" s="17" t="n">
        <v>0</v>
      </c>
      <c r="N171" s="23" t="n">
        <v>9.4</v>
      </c>
      <c r="O171" s="103">
        <f>COUNTIFS($E:$E,$E171,$L:$L,"&gt;"&amp;$L171)+1</f>
        <v/>
      </c>
      <c r="P171" s="103">
        <f>COUNTIFS($E:$E,$E171,$M:$M,"&gt;"&amp;$M171)+1</f>
        <v/>
      </c>
      <c r="Q171" s="103">
        <f>COUNTIFS($E:$E,$E171,$N:$N,"&gt;"&amp;$N171)+1</f>
        <v/>
      </c>
      <c r="R171" s="94" t="inlineStr">
        <is>
          <t>📉 Weak</t>
        </is>
      </c>
      <c r="S171" s="94" t="inlineStr">
        <is>
          <t>⏳ New Fund</t>
        </is>
      </c>
      <c r="T171" s="94" t="inlineStr">
        <is>
          <t>⏳ New Fund</t>
        </is>
      </c>
      <c r="U171" s="95" t="inlineStr">
        <is>
          <t>MOMENTUM_ONLY</t>
        </is>
      </c>
    </row>
    <row r="172" ht="16" customHeight="1">
      <c r="A172" s="25" t="n">
        <v>168</v>
      </c>
      <c r="B172" s="26" t="inlineStr">
        <is>
          <t>Samco Dynamic Asset Allocation Fund - Regular Plan - Growth Option</t>
        </is>
      </c>
      <c r="C172" s="26" t="inlineStr">
        <is>
          <t>Samco Mutual Fund</t>
        </is>
      </c>
      <c r="D172" s="26" t="inlineStr">
        <is>
          <t>Dynamic Asset Allocation Or Balanced Advantage</t>
        </is>
      </c>
      <c r="E172" s="26" t="inlineStr">
        <is>
          <t>Dynamic Asset Allocation Or Balanced Advantage</t>
        </is>
      </c>
      <c r="F172" s="27" t="n">
        <v>0</v>
      </c>
      <c r="G172" s="27" t="n">
        <v>1.29</v>
      </c>
      <c r="H172" s="96" t="n">
        <v>-1.54</v>
      </c>
      <c r="I172" s="96" t="n">
        <v>-2.39</v>
      </c>
      <c r="J172" s="96" t="n">
        <v>-4.010417231868335</v>
      </c>
      <c r="K172" s="27" t="n">
        <v>0</v>
      </c>
      <c r="L172" s="87" t="n">
        <v>15.6</v>
      </c>
      <c r="M172" s="17" t="n">
        <v>0</v>
      </c>
      <c r="N172" s="23" t="n">
        <v>8.6</v>
      </c>
      <c r="O172" s="103">
        <f>COUNTIFS($E:$E,$E172,$L:$L,"&gt;"&amp;$L172)+1</f>
        <v/>
      </c>
      <c r="P172" s="103">
        <f>COUNTIFS($E:$E,$E172,$M:$M,"&gt;"&amp;$M172)+1</f>
        <v/>
      </c>
      <c r="Q172" s="103">
        <f>COUNTIFS($E:$E,$E172,$N:$N,"&gt;"&amp;$N172)+1</f>
        <v/>
      </c>
      <c r="R172" s="94" t="inlineStr">
        <is>
          <t>📉 Weak</t>
        </is>
      </c>
      <c r="S172" s="94" t="inlineStr">
        <is>
          <t>⏳ New Fund</t>
        </is>
      </c>
      <c r="T172" s="94" t="inlineStr">
        <is>
          <t>⏳ New Fund</t>
        </is>
      </c>
      <c r="U172" s="95" t="inlineStr">
        <is>
          <t>MOMENTUM_ONLY</t>
        </is>
      </c>
    </row>
    <row r="173" ht="16" customHeight="1">
      <c r="A173" s="25" t="n">
        <v>169</v>
      </c>
      <c r="B173" s="26" t="inlineStr">
        <is>
          <t>TRUSTMF ARBITRAGE FUND -REGULAR PLAN-GROWTH</t>
        </is>
      </c>
      <c r="C173" s="26" t="inlineStr">
        <is>
          <t>Trust Mutual Fund</t>
        </is>
      </c>
      <c r="D173" s="26" t="inlineStr">
        <is>
          <t>Arbitrage Fund</t>
        </is>
      </c>
      <c r="E173" s="26" t="inlineStr">
        <is>
          <t>Arbitrage Fund</t>
        </is>
      </c>
      <c r="F173" s="27" t="n">
        <v>0.34</v>
      </c>
      <c r="G173" s="27" t="n">
        <v>1.25</v>
      </c>
      <c r="H173" s="27" t="n">
        <v>2.56</v>
      </c>
      <c r="I173" s="27" t="n">
        <v>0</v>
      </c>
      <c r="J173" s="27" t="n">
        <v>0</v>
      </c>
      <c r="K173" s="27" t="n">
        <v>0</v>
      </c>
      <c r="L173" s="87" t="n">
        <v>14.2</v>
      </c>
      <c r="M173" s="17" t="n">
        <v>0</v>
      </c>
      <c r="N173" s="23" t="n">
        <v>7.8</v>
      </c>
      <c r="O173" s="103">
        <f>COUNTIFS($E:$E,$E173,$L:$L,"&gt;"&amp;$L173)+1</f>
        <v/>
      </c>
      <c r="P173" s="103">
        <f>COUNTIFS($E:$E,$E173,$M:$M,"&gt;"&amp;$M173)+1</f>
        <v/>
      </c>
      <c r="Q173" s="103">
        <f>COUNTIFS($E:$E,$E173,$N:$N,"&gt;"&amp;$N173)+1</f>
        <v/>
      </c>
      <c r="R173" s="94" t="inlineStr">
        <is>
          <t>📉 Weak</t>
        </is>
      </c>
      <c r="S173" s="94" t="inlineStr">
        <is>
          <t>⏳ New Fund</t>
        </is>
      </c>
      <c r="T173" s="94" t="inlineStr">
        <is>
          <t>⏳ New Fund</t>
        </is>
      </c>
      <c r="U173" s="95" t="inlineStr">
        <is>
          <t>MOMENTUM_ONLY</t>
        </is>
      </c>
    </row>
    <row r="174" ht="16" customHeight="1">
      <c r="A174" s="25" t="n">
        <v>170</v>
      </c>
      <c r="B174" s="26" t="inlineStr">
        <is>
          <t>Samco Arbitrage Fund - Regular Plan - Growth</t>
        </is>
      </c>
      <c r="C174" s="26" t="inlineStr">
        <is>
          <t>Samco Mutual Fund</t>
        </is>
      </c>
      <c r="D174" s="26" t="inlineStr">
        <is>
          <t>Arbitrage Fund</t>
        </is>
      </c>
      <c r="E174" s="26" t="inlineStr">
        <is>
          <t>Arbitrage Fund</t>
        </is>
      </c>
      <c r="F174" s="27" t="n">
        <v>0.09</v>
      </c>
      <c r="G174" s="27" t="n">
        <v>0.75</v>
      </c>
      <c r="H174" s="27" t="n">
        <v>1.61</v>
      </c>
      <c r="I174" s="27" t="n">
        <v>3.68</v>
      </c>
      <c r="J174" s="27" t="n">
        <v>0</v>
      </c>
      <c r="K174" s="27" t="n">
        <v>0</v>
      </c>
      <c r="L174" s="87" t="n">
        <v>9.699999999999999</v>
      </c>
      <c r="M174" s="17" t="n">
        <v>0</v>
      </c>
      <c r="N174" s="23" t="n">
        <v>5.3</v>
      </c>
      <c r="O174" s="103">
        <f>COUNTIFS($E:$E,$E174,$L:$L,"&gt;"&amp;$L174)+1</f>
        <v/>
      </c>
      <c r="P174" s="103">
        <f>COUNTIFS($E:$E,$E174,$M:$M,"&gt;"&amp;$M174)+1</f>
        <v/>
      </c>
      <c r="Q174" s="103">
        <f>COUNTIFS($E:$E,$E174,$N:$N,"&gt;"&amp;$N174)+1</f>
        <v/>
      </c>
      <c r="R174" s="94" t="inlineStr">
        <is>
          <t>📉 Weak</t>
        </is>
      </c>
      <c r="S174" s="94" t="inlineStr">
        <is>
          <t>⏳ New Fund</t>
        </is>
      </c>
      <c r="T174" s="94" t="inlineStr">
        <is>
          <t>⏳ New Fund</t>
        </is>
      </c>
      <c r="U174" s="95" t="inlineStr">
        <is>
          <t>MOMENTUM_ONLY</t>
        </is>
      </c>
    </row>
    <row r="175" ht="16" customHeight="1">
      <c r="A175" s="25" t="n">
        <v>171</v>
      </c>
      <c r="B175" s="26" t="inlineStr">
        <is>
          <t>Quantum Multi Asset Allocation Fund - Regular Plan Growth Option</t>
        </is>
      </c>
      <c r="C175" s="26" t="inlineStr">
        <is>
          <t>Quantum Mutual Fund</t>
        </is>
      </c>
      <c r="D175" s="26" t="inlineStr">
        <is>
          <t>Multi Asset Allocation</t>
        </is>
      </c>
      <c r="E175" s="26" t="inlineStr">
        <is>
          <t>Multi Asset Allocation</t>
        </is>
      </c>
      <c r="F175" s="27" t="n">
        <v>1.1</v>
      </c>
      <c r="G175" s="27" t="n">
        <v>1.1</v>
      </c>
      <c r="H175" s="96" t="n">
        <v>-3.24</v>
      </c>
      <c r="I175" s="27" t="n">
        <v>4.65</v>
      </c>
      <c r="J175" s="27" t="n">
        <v>5.735519103090425</v>
      </c>
      <c r="K175" s="27" t="n">
        <v>0</v>
      </c>
      <c r="L175" s="87" t="n">
        <v>5.9</v>
      </c>
      <c r="M175" s="17" t="n">
        <v>0</v>
      </c>
      <c r="N175" s="23" t="n">
        <v>3.2</v>
      </c>
      <c r="O175" s="103">
        <f>COUNTIFS($E:$E,$E175,$L:$L,"&gt;"&amp;$L175)+1</f>
        <v/>
      </c>
      <c r="P175" s="103">
        <f>COUNTIFS($E:$E,$E175,$M:$M,"&gt;"&amp;$M175)+1</f>
        <v/>
      </c>
      <c r="Q175" s="103">
        <f>COUNTIFS($E:$E,$E175,$N:$N,"&gt;"&amp;$N175)+1</f>
        <v/>
      </c>
      <c r="R175" s="94" t="inlineStr">
        <is>
          <t>📉 Weak</t>
        </is>
      </c>
      <c r="S175" s="94" t="inlineStr">
        <is>
          <t>⏳ New Fund</t>
        </is>
      </c>
      <c r="T175" s="94" t="inlineStr">
        <is>
          <t>⏳ New Fund</t>
        </is>
      </c>
      <c r="U175" s="95" t="inlineStr">
        <is>
          <t>MOMENTUM_ONLY</t>
        </is>
      </c>
    </row>
    <row r="176" ht="16" customHeight="1">
      <c r="A176" s="89" t="n">
        <v>172</v>
      </c>
      <c r="B176" s="90" t="inlineStr">
        <is>
          <t>Capitalmind Multi Asset Allocation Fund-Regular-Growth</t>
        </is>
      </c>
      <c r="C176" s="90" t="inlineStr">
        <is>
          <t>Capitalmind Mutual Fund</t>
        </is>
      </c>
      <c r="D176" s="90" t="inlineStr">
        <is>
          <t>Multi Asset Allocation</t>
        </is>
      </c>
      <c r="E176" s="90" t="inlineStr">
        <is>
          <t>Multi Asset Allocation</t>
        </is>
      </c>
      <c r="F176" s="91" t="n">
        <v>2.61</v>
      </c>
      <c r="G176" s="99" t="n">
        <v>-2.18</v>
      </c>
      <c r="H176" s="91" t="n">
        <v>0</v>
      </c>
      <c r="I176" s="91" t="n">
        <v>0</v>
      </c>
      <c r="J176" s="91" t="n">
        <v>0</v>
      </c>
      <c r="K176" s="91" t="n">
        <v>0</v>
      </c>
      <c r="L176" s="87" t="n">
        <v>0</v>
      </c>
      <c r="M176" s="17" t="n">
        <v>0</v>
      </c>
      <c r="N176" s="23" t="n">
        <v>0</v>
      </c>
      <c r="O176" s="103">
        <f>COUNTIFS($E:$E,$E176,$L:$L,"&gt;"&amp;$L176)+1</f>
        <v/>
      </c>
      <c r="P176" s="103">
        <f>COUNTIFS($E:$E,$E176,$M:$M,"&gt;"&amp;$M176)+1</f>
        <v/>
      </c>
      <c r="Q176" s="103">
        <f>COUNTIFS($E:$E,$E176,$N:$N,"&gt;"&amp;$N176)+1</f>
        <v/>
      </c>
      <c r="R176" s="92" t="inlineStr">
        <is>
          <t>❌ N/A</t>
        </is>
      </c>
      <c r="S176" s="92" t="inlineStr">
        <is>
          <t>❌ N/A</t>
        </is>
      </c>
      <c r="T176" s="92" t="inlineStr">
        <is>
          <t>❌ Missing Data</t>
        </is>
      </c>
      <c r="U176" s="93" t="inlineStr">
        <is>
          <t>MISSING</t>
        </is>
      </c>
    </row>
    <row r="177" ht="16" customHeight="1">
      <c r="A177" s="89" t="n">
        <v>173</v>
      </c>
      <c r="B177" s="90" t="inlineStr">
        <is>
          <t>ICICI Prudential Balanced Hybrid Fund - Growth</t>
        </is>
      </c>
      <c r="C177" s="90" t="inlineStr">
        <is>
          <t>ICICI Prudential Mutual Fund</t>
        </is>
      </c>
      <c r="D177" s="90" t="inlineStr">
        <is>
          <t>Balanced Hybrid Fund</t>
        </is>
      </c>
      <c r="E177" s="90" t="inlineStr">
        <is>
          <t>Balanced Hybrid Fund</t>
        </is>
      </c>
      <c r="F177" s="91" t="n">
        <v>0</v>
      </c>
      <c r="G177" s="91" t="n">
        <v>0</v>
      </c>
      <c r="H177" s="91" t="n">
        <v>0</v>
      </c>
      <c r="I177" s="91" t="n">
        <v>0</v>
      </c>
      <c r="J177" s="91" t="n">
        <v>0</v>
      </c>
      <c r="K177" s="91" t="n">
        <v>0</v>
      </c>
      <c r="L177" s="87" t="n">
        <v>0</v>
      </c>
      <c r="M177" s="17" t="n">
        <v>0</v>
      </c>
      <c r="N177" s="23" t="n">
        <v>0</v>
      </c>
      <c r="O177" s="103">
        <f>COUNTIFS($E:$E,$E177,$L:$L,"&gt;"&amp;$L177)+1</f>
        <v/>
      </c>
      <c r="P177" s="103">
        <f>COUNTIFS($E:$E,$E177,$M:$M,"&gt;"&amp;$M177)+1</f>
        <v/>
      </c>
      <c r="Q177" s="103">
        <f>COUNTIFS($E:$E,$E177,$N:$N,"&gt;"&amp;$N177)+1</f>
        <v/>
      </c>
      <c r="R177" s="92" t="inlineStr">
        <is>
          <t>❌ N/A</t>
        </is>
      </c>
      <c r="S177" s="92" t="inlineStr">
        <is>
          <t>❌ N/A</t>
        </is>
      </c>
      <c r="T177" s="92" t="inlineStr">
        <is>
          <t>❌ Missing Data</t>
        </is>
      </c>
      <c r="U177" s="93" t="inlineStr">
        <is>
          <t>MISSING</t>
        </is>
      </c>
    </row>
    <row r="178" ht="16" customHeight="1">
      <c r="A178" s="89" t="n">
        <v>174</v>
      </c>
      <c r="B178" s="90" t="inlineStr">
        <is>
          <t>JM Multi Asset Allocation Fund (Regular) - Growth Option</t>
        </is>
      </c>
      <c r="C178" s="90" t="inlineStr">
        <is>
          <t>JM Financial Mutual Fund</t>
        </is>
      </c>
      <c r="D178" s="90" t="inlineStr">
        <is>
          <t>Multi Asset Allocation</t>
        </is>
      </c>
      <c r="E178" s="90" t="inlineStr">
        <is>
          <t>Multi Asset Allocation</t>
        </is>
      </c>
      <c r="F178" s="91" t="n">
        <v>0</v>
      </c>
      <c r="G178" s="91" t="n">
        <v>0</v>
      </c>
      <c r="H178" s="91" t="n">
        <v>0</v>
      </c>
      <c r="I178" s="91" t="n">
        <v>0</v>
      </c>
      <c r="J178" s="91" t="n">
        <v>0</v>
      </c>
      <c r="K178" s="91" t="n">
        <v>0</v>
      </c>
      <c r="L178" s="87" t="n">
        <v>0</v>
      </c>
      <c r="M178" s="17" t="n">
        <v>0</v>
      </c>
      <c r="N178" s="23" t="n">
        <v>0</v>
      </c>
      <c r="O178" s="103">
        <f>COUNTIFS($E:$E,$E178,$L:$L,"&gt;"&amp;$L178)+1</f>
        <v/>
      </c>
      <c r="P178" s="103">
        <f>COUNTIFS($E:$E,$E178,$M:$M,"&gt;"&amp;$M178)+1</f>
        <v/>
      </c>
      <c r="Q178" s="103">
        <f>COUNTIFS($E:$E,$E178,$N:$N,"&gt;"&amp;$N178)+1</f>
        <v/>
      </c>
      <c r="R178" s="92" t="inlineStr">
        <is>
          <t>❌ N/A</t>
        </is>
      </c>
      <c r="S178" s="92" t="inlineStr">
        <is>
          <t>❌ N/A</t>
        </is>
      </c>
      <c r="T178" s="92" t="inlineStr">
        <is>
          <t>❌ Missing Data</t>
        </is>
      </c>
      <c r="U178" s="93" t="inlineStr">
        <is>
          <t>MISSING</t>
        </is>
      </c>
    </row>
    <row r="179" ht="16" customHeight="1">
      <c r="A179" s="89" t="n">
        <v>175</v>
      </c>
      <c r="B179" s="90" t="inlineStr">
        <is>
          <t>Nippon India Conservative Hybrid  Fund - Segregated Portfolio 2 - Growth Plan</t>
        </is>
      </c>
      <c r="C179" s="90" t="inlineStr">
        <is>
          <t>Nippon India Mutual Fund</t>
        </is>
      </c>
      <c r="D179" s="90" t="inlineStr">
        <is>
          <t>Conservative Hybrid Fund</t>
        </is>
      </c>
      <c r="E179" s="90" t="inlineStr">
        <is>
          <t>Conservative Hybrid Fund</t>
        </is>
      </c>
      <c r="F179" s="91" t="n">
        <v>0</v>
      </c>
      <c r="G179" s="91" t="n">
        <v>0</v>
      </c>
      <c r="H179" s="91" t="n">
        <v>0</v>
      </c>
      <c r="I179" s="91" t="n">
        <v>0</v>
      </c>
      <c r="J179" s="91" t="n">
        <v>0</v>
      </c>
      <c r="K179" s="91" t="n">
        <v>0</v>
      </c>
      <c r="L179" s="87" t="n">
        <v>0</v>
      </c>
      <c r="M179" s="17" t="n">
        <v>0</v>
      </c>
      <c r="N179" s="23" t="n">
        <v>0</v>
      </c>
      <c r="O179" s="103">
        <f>COUNTIFS($E:$E,$E179,$L:$L,"&gt;"&amp;$L179)+1</f>
        <v/>
      </c>
      <c r="P179" s="103">
        <f>COUNTIFS($E:$E,$E179,$M:$M,"&gt;"&amp;$M179)+1</f>
        <v/>
      </c>
      <c r="Q179" s="103">
        <f>COUNTIFS($E:$E,$E179,$N:$N,"&gt;"&amp;$N179)+1</f>
        <v/>
      </c>
      <c r="R179" s="92" t="inlineStr">
        <is>
          <t>❌ N/A</t>
        </is>
      </c>
      <c r="S179" s="92" t="inlineStr">
        <is>
          <t>❌ N/A</t>
        </is>
      </c>
      <c r="T179" s="92" t="inlineStr">
        <is>
          <t>❌ Missing Data</t>
        </is>
      </c>
      <c r="U179" s="93" t="inlineStr">
        <is>
          <t>MISSING</t>
        </is>
      </c>
    </row>
    <row r="180" ht="16" customHeight="1">
      <c r="A180" s="89" t="n">
        <v>176</v>
      </c>
      <c r="B180" s="90" t="inlineStr">
        <is>
          <t>Nippon India Aggressive Hybrid Fund - Segregated Portfolio 2 - Growth Plan</t>
        </is>
      </c>
      <c r="C180" s="90" t="inlineStr">
        <is>
          <t>Nippon India Mutual Fund</t>
        </is>
      </c>
      <c r="D180" s="90" t="inlineStr">
        <is>
          <t>Aggressive Hybrid Fund</t>
        </is>
      </c>
      <c r="E180" s="90" t="inlineStr">
        <is>
          <t>Aggressive Hybrid Fund</t>
        </is>
      </c>
      <c r="F180" s="91" t="n">
        <v>0</v>
      </c>
      <c r="G180" s="91" t="n">
        <v>0</v>
      </c>
      <c r="H180" s="91" t="n">
        <v>0</v>
      </c>
      <c r="I180" s="91" t="n">
        <v>0</v>
      </c>
      <c r="J180" s="91" t="n">
        <v>0</v>
      </c>
      <c r="K180" s="91" t="n">
        <v>0</v>
      </c>
      <c r="L180" s="87" t="n">
        <v>0</v>
      </c>
      <c r="M180" s="17" t="n">
        <v>0</v>
      </c>
      <c r="N180" s="23" t="n">
        <v>0</v>
      </c>
      <c r="O180" s="103">
        <f>COUNTIFS($E:$E,$E180,$L:$L,"&gt;"&amp;$L180)+1</f>
        <v/>
      </c>
      <c r="P180" s="103">
        <f>COUNTIFS($E:$E,$E180,$M:$M,"&gt;"&amp;$M180)+1</f>
        <v/>
      </c>
      <c r="Q180" s="103">
        <f>COUNTIFS($E:$E,$E180,$N:$N,"&gt;"&amp;$N180)+1</f>
        <v/>
      </c>
      <c r="R180" s="92" t="inlineStr">
        <is>
          <t>❌ N/A</t>
        </is>
      </c>
      <c r="S180" s="92" t="inlineStr">
        <is>
          <t>❌ N/A</t>
        </is>
      </c>
      <c r="T180" s="92" t="inlineStr">
        <is>
          <t>❌ Missing Data</t>
        </is>
      </c>
      <c r="U180" s="93" t="inlineStr">
        <is>
          <t>MISSING</t>
        </is>
      </c>
    </row>
    <row r="181" ht="16" customHeight="1">
      <c r="A181" s="89" t="n">
        <v>177</v>
      </c>
      <c r="B181" s="90" t="inlineStr">
        <is>
          <t>Nippon India Equity Savings Fund - Segregated Portfolio 2 - Growth Plan - Growth Option</t>
        </is>
      </c>
      <c r="C181" s="90" t="inlineStr">
        <is>
          <t>Nippon India Mutual Fund</t>
        </is>
      </c>
      <c r="D181" s="90" t="inlineStr">
        <is>
          <t>Equity Savings</t>
        </is>
      </c>
      <c r="E181" s="90" t="inlineStr">
        <is>
          <t>Equity Savings</t>
        </is>
      </c>
      <c r="F181" s="91" t="n">
        <v>0</v>
      </c>
      <c r="G181" s="91" t="n">
        <v>0</v>
      </c>
      <c r="H181" s="91" t="n">
        <v>0</v>
      </c>
      <c r="I181" s="91" t="n">
        <v>0</v>
      </c>
      <c r="J181" s="91" t="n">
        <v>0</v>
      </c>
      <c r="K181" s="91" t="n">
        <v>0</v>
      </c>
      <c r="L181" s="87" t="n">
        <v>0</v>
      </c>
      <c r="M181" s="17" t="n">
        <v>0</v>
      </c>
      <c r="N181" s="23" t="n">
        <v>0</v>
      </c>
      <c r="O181" s="103">
        <f>COUNTIFS($E:$E,$E181,$L:$L,"&gt;"&amp;$L181)+1</f>
        <v/>
      </c>
      <c r="P181" s="103">
        <f>COUNTIFS($E:$E,$E181,$M:$M,"&gt;"&amp;$M181)+1</f>
        <v/>
      </c>
      <c r="Q181" s="103">
        <f>COUNTIFS($E:$E,$E181,$N:$N,"&gt;"&amp;$N181)+1</f>
        <v/>
      </c>
      <c r="R181" s="92" t="inlineStr">
        <is>
          <t>❌ N/A</t>
        </is>
      </c>
      <c r="S181" s="92" t="inlineStr">
        <is>
          <t>❌ N/A</t>
        </is>
      </c>
      <c r="T181" s="92" t="inlineStr">
        <is>
          <t>❌ Missing Data</t>
        </is>
      </c>
      <c r="U181" s="93" t="inlineStr">
        <is>
          <t>MISSING</t>
        </is>
      </c>
    </row>
    <row r="182" ht="16" customHeight="1">
      <c r="A182" s="89" t="n">
        <v>178</v>
      </c>
      <c r="B182" s="90" t="inlineStr">
        <is>
          <t>Nippon India Equity Savings Fund - Segregated Portfolio 2 - Growth Plan - Bonus Option</t>
        </is>
      </c>
      <c r="C182" s="90" t="inlineStr">
        <is>
          <t>Nippon India Mutual Fund</t>
        </is>
      </c>
      <c r="D182" s="90" t="inlineStr">
        <is>
          <t>Equity Savings</t>
        </is>
      </c>
      <c r="E182" s="90" t="inlineStr">
        <is>
          <t>Equity Savings</t>
        </is>
      </c>
      <c r="F182" s="91" t="n">
        <v>0</v>
      </c>
      <c r="G182" s="91" t="n">
        <v>0</v>
      </c>
      <c r="H182" s="91" t="n">
        <v>0</v>
      </c>
      <c r="I182" s="91" t="n">
        <v>0</v>
      </c>
      <c r="J182" s="91" t="n">
        <v>0</v>
      </c>
      <c r="K182" s="91" t="n">
        <v>0</v>
      </c>
      <c r="L182" s="87" t="n">
        <v>0</v>
      </c>
      <c r="M182" s="17" t="n">
        <v>0</v>
      </c>
      <c r="N182" s="23" t="n">
        <v>0</v>
      </c>
      <c r="O182" s="103">
        <f>COUNTIFS($E:$E,$E182,$L:$L,"&gt;"&amp;$L182)+1</f>
        <v/>
      </c>
      <c r="P182" s="103">
        <f>COUNTIFS($E:$E,$E182,$M:$M,"&gt;"&amp;$M182)+1</f>
        <v/>
      </c>
      <c r="Q182" s="103">
        <f>COUNTIFS($E:$E,$E182,$N:$N,"&gt;"&amp;$N182)+1</f>
        <v/>
      </c>
      <c r="R182" s="92" t="inlineStr">
        <is>
          <t>❌ N/A</t>
        </is>
      </c>
      <c r="S182" s="92" t="inlineStr">
        <is>
          <t>❌ N/A</t>
        </is>
      </c>
      <c r="T182" s="92" t="inlineStr">
        <is>
          <t>❌ Missing Data</t>
        </is>
      </c>
      <c r="U182" s="93" t="inlineStr">
        <is>
          <t>MISSING</t>
        </is>
      </c>
    </row>
    <row r="183" ht="16" customHeight="1">
      <c r="A183" s="89" t="n">
        <v>179</v>
      </c>
      <c r="B183" s="90" t="inlineStr">
        <is>
          <t>Capitalmind Arbitrage Fund-regular-Growth</t>
        </is>
      </c>
      <c r="C183" s="90" t="inlineStr">
        <is>
          <t>Capitalmind Mutual Fund</t>
        </is>
      </c>
      <c r="D183" s="90" t="inlineStr">
        <is>
          <t>Arbitrage Fund</t>
        </is>
      </c>
      <c r="E183" s="90" t="inlineStr">
        <is>
          <t>Arbitrage Fund</t>
        </is>
      </c>
      <c r="F183" s="91" t="n">
        <v>0.37</v>
      </c>
      <c r="G183" s="91" t="n">
        <v>1.08</v>
      </c>
      <c r="H183" s="91" t="n">
        <v>0</v>
      </c>
      <c r="I183" s="91" t="n">
        <v>0</v>
      </c>
      <c r="J183" s="91" t="n">
        <v>0</v>
      </c>
      <c r="K183" s="91" t="n">
        <v>0</v>
      </c>
      <c r="L183" s="87" t="n">
        <v>0</v>
      </c>
      <c r="M183" s="17" t="n">
        <v>0</v>
      </c>
      <c r="N183" s="23" t="n">
        <v>0</v>
      </c>
      <c r="O183" s="103">
        <f>COUNTIFS($E:$E,$E183,$L:$L,"&gt;"&amp;$L183)+1</f>
        <v/>
      </c>
      <c r="P183" s="103">
        <f>COUNTIFS($E:$E,$E183,$M:$M,"&gt;"&amp;$M183)+1</f>
        <v/>
      </c>
      <c r="Q183" s="103">
        <f>COUNTIFS($E:$E,$E183,$N:$N,"&gt;"&amp;$N183)+1</f>
        <v/>
      </c>
      <c r="R183" s="92" t="inlineStr">
        <is>
          <t>❌ N/A</t>
        </is>
      </c>
      <c r="S183" s="92" t="inlineStr">
        <is>
          <t>❌ N/A</t>
        </is>
      </c>
      <c r="T183" s="92" t="inlineStr">
        <is>
          <t>❌ Missing Data</t>
        </is>
      </c>
      <c r="U183" s="93" t="inlineStr">
        <is>
          <t>MISSING</t>
        </is>
      </c>
    </row>
    <row r="184" ht="16" customHeight="1">
      <c r="A184" s="89" t="n">
        <v>180</v>
      </c>
      <c r="B184" s="90" t="inlineStr">
        <is>
          <t>The Wealth Company Balanced Advantage Fund - Regular Growth</t>
        </is>
      </c>
      <c r="C184" s="90" t="inlineStr">
        <is>
          <t>The Wealth Company Mutual Fund</t>
        </is>
      </c>
      <c r="D184" s="90" t="inlineStr">
        <is>
          <t>Dynamic Asset Allocation Or Balanced Advantage</t>
        </is>
      </c>
      <c r="E184" s="90" t="inlineStr">
        <is>
          <t>Dynamic Asset Allocation Or Balanced Advantage</t>
        </is>
      </c>
      <c r="F184" s="91" t="n">
        <v>1.36</v>
      </c>
      <c r="G184" s="91" t="n">
        <v>2.35</v>
      </c>
      <c r="H184" s="91" t="n">
        <v>0</v>
      </c>
      <c r="I184" s="91" t="n">
        <v>0</v>
      </c>
      <c r="J184" s="91" t="n">
        <v>0</v>
      </c>
      <c r="K184" s="91" t="n">
        <v>0</v>
      </c>
      <c r="L184" s="87" t="n">
        <v>0</v>
      </c>
      <c r="M184" s="17" t="n">
        <v>0</v>
      </c>
      <c r="N184" s="23" t="n">
        <v>0</v>
      </c>
      <c r="O184" s="103">
        <f>COUNTIFS($E:$E,$E184,$L:$L,"&gt;"&amp;$L184)+1</f>
        <v/>
      </c>
      <c r="P184" s="103">
        <f>COUNTIFS($E:$E,$E184,$M:$M,"&gt;"&amp;$M184)+1</f>
        <v/>
      </c>
      <c r="Q184" s="103">
        <f>COUNTIFS($E:$E,$E184,$N:$N,"&gt;"&amp;$N184)+1</f>
        <v/>
      </c>
      <c r="R184" s="92" t="inlineStr">
        <is>
          <t>❌ N/A</t>
        </is>
      </c>
      <c r="S184" s="92" t="inlineStr">
        <is>
          <t>❌ N/A</t>
        </is>
      </c>
      <c r="T184" s="92" t="inlineStr">
        <is>
          <t>❌ Missing Data</t>
        </is>
      </c>
      <c r="U184" s="93" t="inlineStr">
        <is>
          <t>MISSING</t>
        </is>
      </c>
    </row>
  </sheetData>
  <autoFilter ref="A4:U184"/>
  <mergeCells count="7">
    <mergeCell ref="A2:U2"/>
    <mergeCell ref="R3:T3"/>
    <mergeCell ref="F3:H3"/>
    <mergeCell ref="I3:K3"/>
    <mergeCell ref="A1:U1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2026-10-16T22:56:14Z</dcterms:created>
  <dcterms:modified xsi:type="dcterms:W3CDTF">2026-10-16T22:56:16Z</dcterms:modified>
</cp:coreProperties>
</file>