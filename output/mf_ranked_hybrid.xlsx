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Fund'!$A$4:$Q$39</definedName>
    <definedName name="_xlnm._FilterDatabase" localSheetId="3" hidden="1">'Arbitrage Fund'!$A$4:$Q$45</definedName>
    <definedName name="_xlnm._FilterDatabase" localSheetId="4" hidden="1">'Balanced Hybrid Fund'!$A$4:$Q$7</definedName>
    <definedName name="_xlnm._FilterDatabase" localSheetId="5" hidden="1">'Conservative Hybrid Fund'!$A$4:$Q$27</definedName>
    <definedName name="_xlnm._FilterDatabase" localSheetId="6" hidden="1">'Dynamic Asset Allocation Or Bal'!$A$4:$Q$44</definedName>
    <definedName name="_xlnm._FilterDatabase" localSheetId="7" hidden="1">'Equity Savings'!$A$4:$Q$32</definedName>
    <definedName name="_xlnm._FilterDatabase" localSheetId="8" hidden="1">'Multi Asset Allocation'!$A$4:$Q$39</definedName>
    <definedName name="_xlnm._FilterDatabase" localSheetId="9" hidden="1">'📊 CONSOLIDATED'!$A$4:$U$209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6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4" borderId="1" pivotButton="0" quotePrefix="0" xfId="0"/>
    <xf numFmtId="0" fontId="14" fillId="14" borderId="1" applyAlignment="1" pivotButton="0" quotePrefix="0" xfId="0">
      <alignment horizontal="center"/>
    </xf>
    <xf numFmtId="165" fontId="13" fillId="14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8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7" fillId="15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8" fillId="13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6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5" fillId="19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0" fillId="22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6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Bandhan Aggressive Hybrid Fund-Regular Plan Growth</t>
        </is>
      </c>
      <c r="D5" s="14" t="inlineStr">
        <is>
          <t>Bandhan Mutual Fund</t>
        </is>
      </c>
      <c r="E5" s="14" t="inlineStr">
        <is>
          <t>Aggressive Hybrid Fund</t>
        </is>
      </c>
      <c r="F5" s="15" t="n">
        <v>-0.08</v>
      </c>
      <c r="G5" s="16" t="n">
        <v>2.84</v>
      </c>
      <c r="H5" s="16" t="n">
        <v>5.39</v>
      </c>
      <c r="I5" s="16" t="n">
        <v>4.98</v>
      </c>
      <c r="J5" s="16" t="n">
        <v>8.027774206451177</v>
      </c>
      <c r="K5" s="16" t="n">
        <v>45.47</v>
      </c>
      <c r="L5" s="17" t="n">
        <v>94.40000000000001</v>
      </c>
      <c r="M5" s="18" t="n">
        <v>0</v>
      </c>
      <c r="N5" s="19" t="n">
        <v>51.9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Arbitrage Fund</t>
        </is>
      </c>
      <c r="C6" s="22" t="inlineStr">
        <is>
          <t>Kotak Arbitrage Fund - Regular Plan - Growth</t>
        </is>
      </c>
      <c r="D6" s="22" t="inlineStr">
        <is>
          <t>Kotak Mahindra Mutual Fund</t>
        </is>
      </c>
      <c r="E6" s="22" t="inlineStr">
        <is>
          <t>Arbitrage Fund</t>
        </is>
      </c>
      <c r="F6" s="23" t="n">
        <v>0.55</v>
      </c>
      <c r="G6" s="23" t="n">
        <v>1.44</v>
      </c>
      <c r="H6" s="23" t="n">
        <v>2.98</v>
      </c>
      <c r="I6" s="23" t="n">
        <v>6.03</v>
      </c>
      <c r="J6" s="23" t="n">
        <v>6.461260559886295</v>
      </c>
      <c r="K6" s="23" t="n">
        <v>22.52</v>
      </c>
      <c r="L6" s="17" t="n">
        <v>88.90000000000001</v>
      </c>
      <c r="M6" s="18" t="n">
        <v>0</v>
      </c>
      <c r="N6" s="24" t="n">
        <v>48.9</v>
      </c>
      <c r="O6" s="25" t="inlineStr">
        <is>
          <t>⭐ Strong</t>
        </is>
      </c>
      <c r="P6" s="25" t="inlineStr">
        <is>
          <t>🔴 Not Qualified</t>
        </is>
      </c>
      <c r="Q6" s="25" t="inlineStr">
        <is>
          <t>⚠️ Watch</t>
        </is>
      </c>
    </row>
    <row r="7" ht="18" customHeight="1">
      <c r="A7" s="26" t="n">
        <v>3</v>
      </c>
      <c r="B7" s="27" t="inlineStr">
        <is>
          <t>Balanced Hybrid Fund</t>
        </is>
      </c>
      <c r="C7" s="27" t="inlineStr">
        <is>
          <t>360 ONE Balanced Hybrid Fund - Regular Plan - Growth</t>
        </is>
      </c>
      <c r="D7" s="27" t="inlineStr">
        <is>
          <t>360 ONE Mutual Fund</t>
        </is>
      </c>
      <c r="E7" s="27" t="inlineStr">
        <is>
          <t>Balanced Hybrid Fund</t>
        </is>
      </c>
      <c r="F7" s="28" t="n">
        <v>-0.18</v>
      </c>
      <c r="G7" s="29" t="n">
        <v>3.67</v>
      </c>
      <c r="H7" s="29" t="n">
        <v>5.25</v>
      </c>
      <c r="I7" s="29" t="n">
        <v>2.52</v>
      </c>
      <c r="J7" s="29" t="n">
        <v>3.846039885977359</v>
      </c>
      <c r="K7" s="29" t="n">
        <v>0</v>
      </c>
      <c r="L7" s="17" t="n">
        <v>80</v>
      </c>
      <c r="M7" s="18" t="n">
        <v>0</v>
      </c>
      <c r="N7" s="24" t="n">
        <v>44</v>
      </c>
      <c r="O7" s="30" t="inlineStr">
        <is>
          <t>⭐ Strong</t>
        </is>
      </c>
      <c r="P7" s="30" t="inlineStr">
        <is>
          <t>⏳ New Fund</t>
        </is>
      </c>
      <c r="Q7" s="30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Aditya Birla Sun Life Regular Savings Fund - Growth / Payment - Direct Plan</t>
        </is>
      </c>
      <c r="D8" s="14" t="inlineStr">
        <is>
          <t>Aditya Birla Sun Life Mutual Fund</t>
        </is>
      </c>
      <c r="E8" s="14" t="inlineStr">
        <is>
          <t>Conservative Hybrid Fund</t>
        </is>
      </c>
      <c r="F8" s="16" t="n">
        <v>0.59</v>
      </c>
      <c r="G8" s="16" t="n">
        <v>2.17</v>
      </c>
      <c r="H8" s="16" t="n">
        <v>3.24</v>
      </c>
      <c r="I8" s="16" t="n">
        <v>4.98</v>
      </c>
      <c r="J8" s="16" t="n">
        <v>7.461621056077505</v>
      </c>
      <c r="K8" s="16" t="n">
        <v>29.74</v>
      </c>
      <c r="L8" s="17" t="n">
        <v>96.2</v>
      </c>
      <c r="M8" s="18" t="n">
        <v>0</v>
      </c>
      <c r="N8" s="19" t="n">
        <v>52.9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⚠️ Watch</t>
        </is>
      </c>
    </row>
    <row r="9" ht="18" customHeight="1">
      <c r="A9" s="31" t="n">
        <v>5</v>
      </c>
      <c r="B9" s="32" t="inlineStr">
        <is>
          <t>Dynamic Asset Allocation Or Balanced Advantage</t>
        </is>
      </c>
      <c r="C9" s="32" t="inlineStr">
        <is>
          <t>Aditya Birla Sun Life Balanced Advantage Fund - Regular Plan - Growth Option</t>
        </is>
      </c>
      <c r="D9" s="32" t="inlineStr">
        <is>
          <t>Aditya Birla Sun Life Mutual Fund</t>
        </is>
      </c>
      <c r="E9" s="32" t="inlineStr">
        <is>
          <t>Dynamic Asset Allocation Or Balanced Advantage</t>
        </is>
      </c>
      <c r="F9" s="33" t="n">
        <v>0.67</v>
      </c>
      <c r="G9" s="33" t="n">
        <v>1.99</v>
      </c>
      <c r="H9" s="33" t="n">
        <v>3.63</v>
      </c>
      <c r="I9" s="33" t="n">
        <v>4.2</v>
      </c>
      <c r="J9" s="33" t="n">
        <v>5.834776893042104</v>
      </c>
      <c r="K9" s="33" t="n">
        <v>36.31</v>
      </c>
      <c r="L9" s="17" t="n">
        <v>94.3</v>
      </c>
      <c r="M9" s="18" t="n">
        <v>0</v>
      </c>
      <c r="N9" s="19" t="n">
        <v>51.9</v>
      </c>
      <c r="O9" s="34" t="inlineStr">
        <is>
          <t>🔥 Hot</t>
        </is>
      </c>
      <c r="P9" s="34" t="inlineStr">
        <is>
          <t>🔴 Not Qualified</t>
        </is>
      </c>
      <c r="Q9" s="34" t="inlineStr">
        <is>
          <t>⚠️ Watch</t>
        </is>
      </c>
    </row>
    <row r="10" ht="18" customHeight="1">
      <c r="A10" s="31" t="n">
        <v>6</v>
      </c>
      <c r="B10" s="32" t="inlineStr">
        <is>
          <t>Equity Savings</t>
        </is>
      </c>
      <c r="C10" s="32" t="inlineStr">
        <is>
          <t>Edelweiss Equity Savings Fund - Regular Plan - Growth Option</t>
        </is>
      </c>
      <c r="D10" s="32" t="inlineStr">
        <is>
          <t>Edelweiss Mutual Fund</t>
        </is>
      </c>
      <c r="E10" s="32" t="inlineStr">
        <is>
          <t>Equity Savings</t>
        </is>
      </c>
      <c r="F10" s="33" t="n">
        <v>0.48</v>
      </c>
      <c r="G10" s="33" t="n">
        <v>2.42</v>
      </c>
      <c r="H10" s="33" t="n">
        <v>4.41</v>
      </c>
      <c r="I10" s="33" t="n">
        <v>6.73</v>
      </c>
      <c r="J10" s="33" t="n">
        <v>7.517440445724888</v>
      </c>
      <c r="K10" s="33" t="n">
        <v>33.95</v>
      </c>
      <c r="L10" s="17" t="n">
        <v>92.2</v>
      </c>
      <c r="M10" s="18" t="n">
        <v>0</v>
      </c>
      <c r="N10" s="19" t="n">
        <v>50.7</v>
      </c>
      <c r="O10" s="34" t="inlineStr">
        <is>
          <t>🔥 Hot</t>
        </is>
      </c>
      <c r="P10" s="34" t="inlineStr">
        <is>
          <t>🔴 Not Qualified</t>
        </is>
      </c>
      <c r="Q10" s="34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16" t="n">
        <v>0.73</v>
      </c>
      <c r="G11" s="16" t="n">
        <v>5.02</v>
      </c>
      <c r="H11" s="16" t="n">
        <v>6.86</v>
      </c>
      <c r="I11" s="16" t="n">
        <v>19.72</v>
      </c>
      <c r="J11" s="16" t="n">
        <v>12.83616441549225</v>
      </c>
      <c r="K11" s="16" t="n">
        <v>81.87</v>
      </c>
      <c r="L11" s="17" t="n">
        <v>100</v>
      </c>
      <c r="M11" s="35" t="n">
        <v>90</v>
      </c>
      <c r="N11" s="36" t="n">
        <v>95.5</v>
      </c>
      <c r="O11" s="20" t="inlineStr">
        <is>
          <t>🔥 Hot</t>
        </is>
      </c>
      <c r="P11" s="20" t="inlineStr">
        <is>
          <t>🏆 Elite</t>
        </is>
      </c>
      <c r="Q11" s="20" t="inlineStr">
        <is>
          <t>🚀 Strong Conviction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7" t="inlineStr">
        <is>
          <t>DUAL ENGINE MODEL — COMPLETE METHODOLOGY &amp; ASSUMPTIONS</t>
        </is>
      </c>
    </row>
    <row r="2" ht="16" customHeight="1">
      <c r="A2" s="2" t="inlineStr">
        <is>
          <t>Generated: 2026-07-24 21:36:05 | Comprehensive Documentation | All Values Numeric (0 = Missing)</t>
        </is>
      </c>
    </row>
    <row r="4" ht="22" customHeight="1">
      <c r="A4" s="38" t="inlineStr">
        <is>
          <t>🔍  DATA FILTERS (Pre-Processing)</t>
        </is>
      </c>
    </row>
    <row r="5" ht="20" customHeight="1">
      <c r="A5" s="39" t="inlineStr">
        <is>
          <t>Filter Parameter</t>
        </is>
      </c>
      <c r="B5" s="39" t="inlineStr">
        <is>
          <t>Value</t>
        </is>
      </c>
      <c r="C5" s="39" t="inlineStr">
        <is>
          <t>Description</t>
        </is>
      </c>
      <c r="D5" s="39" t="inlineStr">
        <is>
          <t>Python Logic</t>
        </is>
      </c>
    </row>
    <row r="6" ht="18" customHeight="1">
      <c r="A6" s="40" t="inlineStr">
        <is>
          <t>cat_level_1</t>
        </is>
      </c>
      <c r="B6" s="41" t="inlineStr">
        <is>
          <t>Open Ended Schemes</t>
        </is>
      </c>
      <c r="C6" s="40" t="inlineStr">
        <is>
          <t>Scheme category level 1</t>
        </is>
      </c>
      <c r="D6" s="40" t="inlineStr">
        <is>
          <t>df[col] == value</t>
        </is>
      </c>
    </row>
    <row r="7" ht="18" customHeight="1">
      <c r="A7" s="40" t="inlineStr">
        <is>
          <t>cat_level_2</t>
        </is>
      </c>
      <c r="B7" s="41" t="inlineStr">
        <is>
          <t>Other Scheme</t>
        </is>
      </c>
      <c r="C7" s="40" t="inlineStr">
        <is>
          <t>Scheme category level 2</t>
        </is>
      </c>
      <c r="D7" s="40" t="inlineStr">
        <is>
          <t>df[col] == value</t>
        </is>
      </c>
    </row>
    <row r="8" ht="18" customHeight="1">
      <c r="A8" s="40" t="inlineStr">
        <is>
          <t>plan_type</t>
        </is>
      </c>
      <c r="B8" s="41" t="inlineStr">
        <is>
          <t>Regular</t>
        </is>
      </c>
      <c r="C8" s="40" t="inlineStr">
        <is>
          <t>Regular plans only (not Direct)</t>
        </is>
      </c>
      <c r="D8" s="40" t="inlineStr">
        <is>
          <t>df[col] == value</t>
        </is>
      </c>
    </row>
    <row r="9" ht="18" customHeight="1">
      <c r="A9" s="40" t="inlineStr">
        <is>
          <t>option_type</t>
        </is>
      </c>
      <c r="B9" s="41" t="inlineStr">
        <is>
          <t>Growth</t>
        </is>
      </c>
      <c r="C9" s="40" t="inlineStr">
        <is>
          <t>Growth option only</t>
        </is>
      </c>
      <c r="D9" s="40" t="inlineStr">
        <is>
          <t>df[col] == value</t>
        </is>
      </c>
    </row>
    <row r="11" ht="22" customHeight="1">
      <c r="A11" s="38" t="inlineStr">
        <is>
          <t>📋  COLUMN MAPPING (Source → Internal)</t>
        </is>
      </c>
    </row>
    <row r="12" ht="20" customHeight="1">
      <c r="A12" s="39" t="inlineStr">
        <is>
          <t>Internal Name</t>
        </is>
      </c>
      <c r="B12" s="39" t="inlineStr">
        <is>
          <t>Source Column</t>
        </is>
      </c>
      <c r="C12" s="39" t="inlineStr">
        <is>
          <t>Data Type</t>
        </is>
      </c>
      <c r="D12" s="39" t="inlineStr">
        <is>
          <t>Notes</t>
        </is>
      </c>
    </row>
    <row r="13" ht="18" customHeight="1">
      <c r="A13" s="40" t="inlineStr">
        <is>
          <t>scheme_name</t>
        </is>
      </c>
      <c r="B13" s="41" t="inlineStr">
        <is>
          <t>scheme_name</t>
        </is>
      </c>
      <c r="C13" s="40" t="inlineStr">
        <is>
          <t>String</t>
        </is>
      </c>
      <c r="D13" s="40" t="inlineStr">
        <is>
          <t>Fund name for display</t>
        </is>
      </c>
    </row>
    <row r="14" ht="18" customHeight="1">
      <c r="A14" s="40" t="inlineStr">
        <is>
          <t>category</t>
        </is>
      </c>
      <c r="B14" s="41" t="inlineStr">
        <is>
          <t>cat_level_3</t>
        </is>
      </c>
      <c r="C14" s="40" t="inlineStr">
        <is>
          <t>String</t>
        </is>
      </c>
      <c r="D14" s="40" t="inlineStr">
        <is>
          <t>Category for grouping</t>
        </is>
      </c>
    </row>
    <row r="15" ht="18" customHeight="1">
      <c r="A15" s="40" t="inlineStr">
        <is>
          <t>amc</t>
        </is>
      </c>
      <c r="B15" s="41" t="inlineStr">
        <is>
          <t>amc_name</t>
        </is>
      </c>
      <c r="C15" s="40" t="inlineStr">
        <is>
          <t>String</t>
        </is>
      </c>
      <c r="D15" s="40" t="inlineStr">
        <is>
          <t>Asset Management Company</t>
        </is>
      </c>
    </row>
    <row r="16" ht="18" customHeight="1">
      <c r="A16" s="40" t="inlineStr">
        <is>
          <t>return_1m</t>
        </is>
      </c>
      <c r="B16" s="41" t="inlineStr">
        <is>
          <t>return_30d</t>
        </is>
      </c>
      <c r="C16" s="40" t="inlineStr">
        <is>
          <t>Numeric %</t>
        </is>
      </c>
      <c r="D16" s="40" t="inlineStr">
        <is>
          <t>30-day return</t>
        </is>
      </c>
    </row>
    <row r="17" ht="18" customHeight="1">
      <c r="A17" s="40" t="inlineStr">
        <is>
          <t>return_3m</t>
        </is>
      </c>
      <c r="B17" s="41" t="inlineStr">
        <is>
          <t>return_90d</t>
        </is>
      </c>
      <c r="C17" s="40" t="inlineStr">
        <is>
          <t>Numeric %</t>
        </is>
      </c>
      <c r="D17" s="40" t="inlineStr">
        <is>
          <t>90-day return</t>
        </is>
      </c>
    </row>
    <row r="18" ht="18" customHeight="1">
      <c r="A18" s="40" t="inlineStr">
        <is>
          <t>return_6m</t>
        </is>
      </c>
      <c r="B18" s="41" t="inlineStr">
        <is>
          <t>return_180d</t>
        </is>
      </c>
      <c r="C18" s="40" t="inlineStr">
        <is>
          <t>Numeric %</t>
        </is>
      </c>
      <c r="D18" s="40" t="inlineStr">
        <is>
          <t>180-day return</t>
        </is>
      </c>
    </row>
    <row r="19" ht="18" customHeight="1">
      <c r="A19" s="40" t="inlineStr">
        <is>
          <t>return_1y</t>
        </is>
      </c>
      <c r="B19" s="41" t="inlineStr">
        <is>
          <t>return_365d</t>
        </is>
      </c>
      <c r="C19" s="40" t="inlineStr">
        <is>
          <t>Numeric %</t>
        </is>
      </c>
      <c r="D19" s="40" t="inlineStr">
        <is>
          <t>365-day return</t>
        </is>
      </c>
    </row>
    <row r="20" ht="18" customHeight="1">
      <c r="A20" s="40" t="inlineStr">
        <is>
          <t>return_2y</t>
        </is>
      </c>
      <c r="B20" s="41" t="inlineStr">
        <is>
          <t>return_730d</t>
        </is>
      </c>
      <c r="C20" s="40" t="inlineStr">
        <is>
          <t>Numeric %</t>
        </is>
      </c>
      <c r="D20" s="40" t="inlineStr">
        <is>
          <t>730-day cumulative → CAGR</t>
        </is>
      </c>
    </row>
    <row r="21" ht="18" customHeight="1">
      <c r="A21" s="40" t="inlineStr">
        <is>
          <t>return_3y</t>
        </is>
      </c>
      <c r="B21" s="41" t="inlineStr">
        <is>
          <t>return_1095d</t>
        </is>
      </c>
      <c r="C21" s="40" t="inlineStr">
        <is>
          <t>Numeric %</t>
        </is>
      </c>
      <c r="D21" s="40" t="inlineStr">
        <is>
          <t>1095-day CAGR</t>
        </is>
      </c>
    </row>
    <row r="23" ht="22" customHeight="1">
      <c r="A23" s="42" t="inlineStr">
        <is>
          <t>📊  DATA STATUS CLASSIFICATION</t>
        </is>
      </c>
    </row>
    <row r="24" ht="20" customHeight="1">
      <c r="A24" s="43" t="inlineStr">
        <is>
          <t>Status</t>
        </is>
      </c>
      <c r="B24" s="43" t="inlineStr">
        <is>
          <t>Condition</t>
        </is>
      </c>
      <c r="C24" s="43" t="inlineStr">
        <is>
          <t>Visual Style</t>
        </is>
      </c>
      <c r="D24" s="43" t="inlineStr">
        <is>
          <t>Scoring Impact</t>
        </is>
      </c>
    </row>
    <row r="25" ht="18" customHeight="1">
      <c r="A25" s="44" t="inlineStr">
        <is>
          <t>✅ FULL</t>
        </is>
      </c>
      <c r="B25" s="45" t="inlineStr">
        <is>
          <t>All 1M/3M/6M + 2Y/3Y present</t>
        </is>
      </c>
      <c r="C25" s="44" t="inlineStr">
        <is>
          <t>White/Ranked Colors</t>
        </is>
      </c>
      <c r="D25" s="44" t="inlineStr">
        <is>
          <t>Both E1 and E2 calculated</t>
        </is>
      </c>
    </row>
    <row r="26" ht="18" customHeight="1">
      <c r="A26" s="46" t="inlineStr">
        <is>
          <t>⚠️ MOMENTUM_ONLY</t>
        </is>
      </c>
      <c r="B26" s="47" t="inlineStr">
        <is>
          <t>1M/3M/6M present, 2Y/3Y missing</t>
        </is>
      </c>
      <c r="C26" s="46" t="inlineStr">
        <is>
          <t>Light Amber + Italic</t>
        </is>
      </c>
      <c r="D26" s="46" t="inlineStr">
        <is>
          <t>Only E1 calculated, E2=0</t>
        </is>
      </c>
    </row>
    <row r="27" ht="18" customHeight="1">
      <c r="A27" s="48" t="inlineStr">
        <is>
          <t>❌ MISSING</t>
        </is>
      </c>
      <c r="B27" s="49" t="inlineStr">
        <is>
          <t>Missing any of 1M/3M/6M</t>
        </is>
      </c>
      <c r="C27" s="48" t="inlineStr">
        <is>
          <t>Light Gray + Italic</t>
        </is>
      </c>
      <c r="D27" s="48" t="inlineStr">
        <is>
          <t>E1=0, E2=0, Comp=0</t>
        </is>
      </c>
    </row>
    <row r="29" ht="22" customHeight="1">
      <c r="A29" s="50" t="inlineStr">
        <is>
          <t>🚦  QUALITY GATES (Engine 2 Eligibility)</t>
        </is>
      </c>
    </row>
    <row r="30" ht="20" customHeight="1">
      <c r="A30" s="51" t="inlineStr">
        <is>
          <t>Gate</t>
        </is>
      </c>
      <c r="B30" s="51" t="inlineStr">
        <is>
          <t>Threshold</t>
        </is>
      </c>
      <c r="C30" s="51" t="inlineStr">
        <is>
          <t>Formula</t>
        </is>
      </c>
      <c r="D30" s="51" t="inlineStr">
        <is>
          <t>Purpose</t>
        </is>
      </c>
    </row>
    <row r="31" ht="18" customHeight="1">
      <c r="A31" s="40" t="inlineStr">
        <is>
          <t>Min 2Y CAGR</t>
        </is>
      </c>
      <c r="B31" s="41" t="inlineStr">
        <is>
          <t>10%</t>
        </is>
      </c>
      <c r="C31" s="40" t="inlineStr">
        <is>
          <t>r2y_cagr &gt; 10%</t>
        </is>
      </c>
      <c r="D31" s="40" t="inlineStr">
        <is>
          <t>Filter low long-term performers</t>
        </is>
      </c>
    </row>
    <row r="32" ht="18" customHeight="1">
      <c r="A32" s="40" t="inlineStr">
        <is>
          <t>Min 3Y CAGR</t>
        </is>
      </c>
      <c r="B32" s="41" t="inlineStr">
        <is>
          <t>12%</t>
        </is>
      </c>
      <c r="C32" s="40" t="inlineStr">
        <is>
          <t>r3y &gt; 12%</t>
        </is>
      </c>
      <c r="D32" s="40" t="inlineStr">
        <is>
          <t>Filter inconsistent performers</t>
        </is>
      </c>
    </row>
    <row r="33" ht="18" customHeight="1">
      <c r="A33" s="40" t="inlineStr">
        <is>
          <t>Drawdown Tolerance</t>
        </is>
      </c>
      <c r="B33" s="41" t="inlineStr">
        <is>
          <t>-30%</t>
        </is>
      </c>
      <c r="C33" s="40" t="inlineStr">
        <is>
          <t>r1y &gt; -30%</t>
        </is>
      </c>
      <c r="D33" s="40" t="inlineStr">
        <is>
          <t>Exclude extreme losers</t>
        </is>
      </c>
    </row>
    <row r="34" ht="18" customHeight="1">
      <c r="A34" s="40" t="inlineStr">
        <is>
          <t>Data Status</t>
        </is>
      </c>
      <c r="B34" s="41" t="inlineStr">
        <is>
          <t>FULL only</t>
        </is>
      </c>
      <c r="C34" s="40" t="inlineStr">
        <is>
          <t>data_status == 'FULL'</t>
        </is>
      </c>
      <c r="D34" s="40" t="inlineStr">
        <is>
          <t>Only complete data qualifies</t>
        </is>
      </c>
    </row>
    <row r="36" ht="22" customHeight="1">
      <c r="A36" s="52" t="inlineStr">
        <is>
          <t>📈  ENGINE 1: MOMENTUM SCORE (Short-Term)</t>
        </is>
      </c>
    </row>
    <row r="37" ht="20" customHeight="1">
      <c r="A37" s="53" t="inlineStr">
        <is>
          <t>Component</t>
        </is>
      </c>
      <c r="B37" s="53" t="inlineStr">
        <is>
          <t>Weight</t>
        </is>
      </c>
      <c r="C37" s="53" t="inlineStr">
        <is>
          <t>Formula</t>
        </is>
      </c>
      <c r="D37" s="53" t="inlineStr">
        <is>
          <t>Description</t>
        </is>
      </c>
    </row>
    <row r="38" ht="18" customHeight="1">
      <c r="A38" s="40" t="inlineStr">
        <is>
          <t>6M Return Rank</t>
        </is>
      </c>
      <c r="B38" s="41" t="inlineStr">
        <is>
          <t>30%</t>
        </is>
      </c>
      <c r="C38" s="40" t="inlineStr">
        <is>
          <t>pct_rank(r6m) × 0.30</t>
        </is>
      </c>
      <c r="D38" s="40" t="inlineStr">
        <is>
          <t>6-month percentile within category</t>
        </is>
      </c>
    </row>
    <row r="39" ht="18" customHeight="1">
      <c r="A39" s="40" t="inlineStr">
        <is>
          <t>3M Return Rank</t>
        </is>
      </c>
      <c r="B39" s="41" t="inlineStr">
        <is>
          <t>20%</t>
        </is>
      </c>
      <c r="C39" s="40" t="inlineStr">
        <is>
          <t>pct_rank(r3m) × 0.20</t>
        </is>
      </c>
      <c r="D39" s="40" t="inlineStr">
        <is>
          <t>3-month percentile within category</t>
        </is>
      </c>
    </row>
    <row r="40" ht="18" customHeight="1">
      <c r="A40" s="40" t="inlineStr">
        <is>
          <t>1Y Return Rank</t>
        </is>
      </c>
      <c r="B40" s="41" t="inlineStr">
        <is>
          <t>25%</t>
        </is>
      </c>
      <c r="C40" s="40" t="inlineStr">
        <is>
          <t>pct_rank(r1y) × 0.25</t>
        </is>
      </c>
      <c r="D40" s="40" t="inlineStr">
        <is>
          <t>1-year percentile within category</t>
        </is>
      </c>
    </row>
    <row r="41" ht="18" customHeight="1">
      <c r="A41" s="40" t="inlineStr">
        <is>
          <t>1M Return Rank</t>
        </is>
      </c>
      <c r="B41" s="41" t="inlineStr">
        <is>
          <t>25%</t>
        </is>
      </c>
      <c r="C41" s="40" t="inlineStr">
        <is>
          <t>pct_rank(r1m) × 0.25</t>
        </is>
      </c>
      <c r="D41" s="40" t="inlineStr">
        <is>
          <t>1-month percentile within category</t>
        </is>
      </c>
    </row>
    <row r="42" ht="18" customHeight="1">
      <c r="A42" s="40" t="inlineStr">
        <is>
          <t>Trend Bonus</t>
        </is>
      </c>
      <c r="B42" s="41" t="inlineStr">
        <is>
          <t>+5.0</t>
        </is>
      </c>
      <c r="C42" s="40" t="inlineStr">
        <is>
          <t>If r6m &gt; r3m &gt; r1m</t>
        </is>
      </c>
      <c r="D42" s="40" t="inlineStr">
        <is>
          <t>📈 Uptrend bonus (0 to 5 pts)</t>
        </is>
      </c>
    </row>
    <row r="43" ht="18" customHeight="1">
      <c r="A43" s="40" t="inlineStr">
        <is>
          <t>Final E1</t>
        </is>
      </c>
      <c r="B43" s="41" t="inlineStr">
        <is>
          <t>0-100</t>
        </is>
      </c>
      <c r="C43" s="40" t="inlineStr">
        <is>
          <t>clip(sum + trend, 0, 100)</t>
        </is>
      </c>
      <c r="D43" s="40" t="inlineStr">
        <is>
          <t>Capped percentile score</t>
        </is>
      </c>
    </row>
    <row r="45" ht="22" customHeight="1">
      <c r="A45" s="54" t="inlineStr">
        <is>
          <t>🏛️  ENGINE 2: QUALITY SCORE (Long-Term)</t>
        </is>
      </c>
    </row>
    <row r="46" ht="20" customHeight="1">
      <c r="A46" s="55" t="inlineStr">
        <is>
          <t>Component</t>
        </is>
      </c>
      <c r="B46" s="55" t="inlineStr">
        <is>
          <t>Weight</t>
        </is>
      </c>
      <c r="C46" s="55" t="inlineStr">
        <is>
          <t>Formula</t>
        </is>
      </c>
      <c r="D46" s="55" t="inlineStr">
        <is>
          <t>Description</t>
        </is>
      </c>
    </row>
    <row r="47" ht="18" customHeight="1">
      <c r="A47" s="40" t="inlineStr">
        <is>
          <t>1Y Return Rank</t>
        </is>
      </c>
      <c r="B47" s="41" t="inlineStr">
        <is>
          <t>25%</t>
        </is>
      </c>
      <c r="C47" s="40" t="inlineStr">
        <is>
          <t>pct_rank(r1y) × 0.25</t>
        </is>
      </c>
      <c r="D47" s="40" t="inlineStr">
        <is>
          <t>1-year percentile (qualified only)</t>
        </is>
      </c>
    </row>
    <row r="48" ht="18" customHeight="1">
      <c r="A48" s="40" t="inlineStr">
        <is>
          <t>2Y CAGR Rank</t>
        </is>
      </c>
      <c r="B48" s="41" t="inlineStr">
        <is>
          <t>30%</t>
        </is>
      </c>
      <c r="C48" s="40" t="inlineStr">
        <is>
          <t>pct_rank(r2y_cagr) × 0.30</t>
        </is>
      </c>
      <c r="D48" s="40" t="inlineStr">
        <is>
          <t>2-year CAGR percentile</t>
        </is>
      </c>
    </row>
    <row r="49" ht="18" customHeight="1">
      <c r="A49" s="40" t="inlineStr">
        <is>
          <t>3Y CAGR Rank</t>
        </is>
      </c>
      <c r="B49" s="41" t="inlineStr">
        <is>
          <t>45%</t>
        </is>
      </c>
      <c r="C49" s="40" t="inlineStr">
        <is>
          <t>pct_rank(r3y) × 0.45</t>
        </is>
      </c>
      <c r="D49" s="40" t="inlineStr">
        <is>
          <t>3-year CAGR percentile (highest weight)</t>
        </is>
      </c>
    </row>
    <row r="50" ht="18" customHeight="1">
      <c r="A50" s="40" t="inlineStr">
        <is>
          <t>Final E2</t>
        </is>
      </c>
      <c r="B50" s="41" t="inlineStr">
        <is>
          <t>0-100</t>
        </is>
      </c>
      <c r="C50" s="40" t="inlineStr">
        <is>
          <t>sum of weighted ranks</t>
        </is>
      </c>
      <c r="D50" s="40" t="inlineStr">
        <is>
          <t>Only for qualified funds</t>
        </is>
      </c>
    </row>
    <row r="52" ht="22" customHeight="1">
      <c r="A52" s="42" t="inlineStr">
        <is>
          <t>🎯  COMPOSITE SCORE CALCULATION</t>
        </is>
      </c>
    </row>
    <row r="53" ht="20" customHeight="1">
      <c r="A53" s="43" t="inlineStr">
        <is>
          <t>Component</t>
        </is>
      </c>
      <c r="B53" s="43" t="inlineStr">
        <is>
          <t>Weight</t>
        </is>
      </c>
      <c r="C53" s="43" t="inlineStr">
        <is>
          <t>Formula</t>
        </is>
      </c>
      <c r="D53" s="43" t="inlineStr">
        <is>
          <t>Description</t>
        </is>
      </c>
    </row>
    <row r="54" ht="18" customHeight="1">
      <c r="A54" s="40" t="inlineStr">
        <is>
          <t>Engine 1 Contribution</t>
        </is>
      </c>
      <c r="B54" s="41" t="inlineStr">
        <is>
          <t>55%</t>
        </is>
      </c>
      <c r="C54" s="40" t="inlineStr">
        <is>
          <t>E1 × 0.55</t>
        </is>
      </c>
      <c r="D54" s="40" t="inlineStr">
        <is>
          <t>Momentum component</t>
        </is>
      </c>
    </row>
    <row r="55" ht="18" customHeight="1">
      <c r="A55" s="40" t="inlineStr">
        <is>
          <t>Engine 2 Contribution</t>
        </is>
      </c>
      <c r="B55" s="41" t="inlineStr">
        <is>
          <t>45%</t>
        </is>
      </c>
      <c r="C55" s="40" t="inlineStr">
        <is>
          <t>E2 × 0.45</t>
        </is>
      </c>
      <c r="D55" s="40" t="inlineStr">
        <is>
          <t>Quality component</t>
        </is>
      </c>
    </row>
    <row r="56" ht="18" customHeight="1">
      <c r="A56" s="40" t="inlineStr">
        <is>
          <t>Final Composite</t>
        </is>
      </c>
      <c r="B56" s="41" t="inlineStr">
        <is>
          <t>0-100</t>
        </is>
      </c>
      <c r="C56" s="40" t="inlineStr">
        <is>
          <t>E1×0.55 + E2×0.45</t>
        </is>
      </c>
      <c r="D56" s="40" t="inlineStr">
        <is>
          <t>Blended score for ranking</t>
        </is>
      </c>
    </row>
    <row r="58" ht="22" customHeight="1">
      <c r="A58" s="56" t="inlineStr">
        <is>
          <t>🏆  RANKING METHODOLOGY</t>
        </is>
      </c>
    </row>
    <row r="59" ht="20" customHeight="1">
      <c r="A59" s="57" t="inlineStr">
        <is>
          <t>Step</t>
        </is>
      </c>
      <c r="B59" s="57" t="inlineStr">
        <is>
          <t>Logic</t>
        </is>
      </c>
      <c r="C59" s="57" t="inlineStr">
        <is>
          <t>Scope</t>
        </is>
      </c>
      <c r="D59" s="57" t="inlineStr">
        <is>
          <t>Result</t>
        </is>
      </c>
    </row>
    <row r="60" ht="18" customHeight="1">
      <c r="A60" s="40" t="inlineStr">
        <is>
          <t>1. Group by Category</t>
        </is>
      </c>
      <c r="B60" s="41" t="inlineStr">
        <is>
          <t>df.groupby('_cat')</t>
        </is>
      </c>
      <c r="C60" s="40" t="inlineStr">
        <is>
          <t>Within each category</t>
        </is>
      </c>
      <c r="D60" s="40" t="inlineStr">
        <is>
          <t>Separate ranking pools</t>
        </is>
      </c>
    </row>
    <row r="61" ht="18" customHeight="1">
      <c r="A61" s="40" t="inlineStr">
        <is>
          <t>2. Sort by Composite</t>
        </is>
      </c>
      <c r="B61" s="41" t="inlineStr">
        <is>
          <t>descending order</t>
        </is>
      </c>
      <c r="C61" s="40" t="inlineStr">
        <is>
          <t>Highest score = Rank 1</t>
        </is>
      </c>
      <c r="D61" s="40" t="inlineStr">
        <is>
          <t>FULL data prioritized</t>
        </is>
      </c>
    </row>
    <row r="62" ht="18" customHeight="1">
      <c r="A62" s="40" t="inlineStr">
        <is>
          <t>3. Handle Ties</t>
        </is>
      </c>
      <c r="B62" s="41" t="inlineStr">
        <is>
          <t>method='min'</t>
        </is>
      </c>
      <c r="C62" s="40" t="inlineStr">
        <is>
          <t>Same score = same rank</t>
        </is>
      </c>
      <c r="D62" s="40" t="inlineStr">
        <is>
          <t>Preserves order stability</t>
        </is>
      </c>
    </row>
    <row r="63" ht="18" customHeight="1">
      <c r="A63" s="40" t="inlineStr">
        <is>
          <t>4. Data Status Sort</t>
        </is>
      </c>
      <c r="B63" s="41" t="inlineStr">
        <is>
          <t>FULL → MOMENTUM → MISSING</t>
        </is>
      </c>
      <c r="C63" s="40" t="inlineStr">
        <is>
          <t>Global consolidated view</t>
        </is>
      </c>
      <c r="D63" s="40" t="inlineStr">
        <is>
          <t>Best data quality first</t>
        </is>
      </c>
    </row>
    <row r="65" ht="22" customHeight="1">
      <c r="A65" s="58" t="inlineStr">
        <is>
          <t>🏅  RANK IN ASSET CLASS (Consolidated Sheet — Dynamic)</t>
        </is>
      </c>
    </row>
    <row r="66" ht="20" customHeight="1">
      <c r="A66" s="59" t="inlineStr">
        <is>
          <t>Column</t>
        </is>
      </c>
      <c r="B66" s="59" t="inlineStr">
        <is>
          <t>Excel Formula (whole-column)</t>
        </is>
      </c>
      <c r="C66" s="59" t="inlineStr">
        <is>
          <t>Meaning</t>
        </is>
      </c>
      <c r="D66" s="59" t="inlineStr">
        <is>
          <t>How to Use</t>
        </is>
      </c>
    </row>
    <row r="67" ht="18" customHeight="1">
      <c r="A67" s="40" t="inlineStr">
        <is>
          <t>E1 Rank (in Asset)</t>
        </is>
      </c>
      <c r="B67" s="41">
        <f>COUNTIFS($E:$E,$E5,$L:$L,"&gt;"&amp;$L5)+1</f>
        <v/>
      </c>
      <c r="C67" s="40" t="inlineStr">
        <is>
          <t>Rank by Engine 1 within same Asset Class</t>
        </is>
      </c>
      <c r="D67" s="40" t="inlineStr">
        <is>
          <t>Filter by Asset Class, sort ascending</t>
        </is>
      </c>
    </row>
    <row r="68" ht="18" customHeight="1">
      <c r="A68" s="40" t="inlineStr">
        <is>
          <t>E2 Rank (in Asset)</t>
        </is>
      </c>
      <c r="B68" s="41">
        <f>COUNTIFS($E:$E,$E5,$M:$M,"&gt;"&amp;$M5)+1</f>
        <v/>
      </c>
      <c r="C68" s="40" t="inlineStr">
        <is>
          <t>Rank by Engine 2 within same Asset Class</t>
        </is>
      </c>
      <c r="D68" s="40" t="inlineStr">
        <is>
          <t>Filter by Asset Class, sort ascending</t>
        </is>
      </c>
    </row>
    <row r="69" ht="18" customHeight="1">
      <c r="A69" s="40" t="inlineStr">
        <is>
          <t>Comp Rank (in Asset)</t>
        </is>
      </c>
      <c r="B69" s="41">
        <f>COUNTIFS($E:$E,$E5,$N:$N,"&gt;"&amp;$N5)+1</f>
        <v/>
      </c>
      <c r="C69" s="40" t="inlineStr">
        <is>
          <t>Rank by Composite within same Asset Class</t>
        </is>
      </c>
      <c r="D69" s="40" t="inlineStr">
        <is>
          <t>Rank 1 = best fund in that Asset Class</t>
        </is>
      </c>
    </row>
    <row r="70" ht="18" customHeight="1">
      <c r="A70" s="44" t="inlineStr">
        <is>
          <t>Note</t>
        </is>
      </c>
      <c r="B70" s="45" t="inlineStr">
        <is>
          <t>Whole-column refs ($E:$E)</t>
        </is>
      </c>
      <c r="C70" s="44" t="inlineStr">
        <is>
          <t>Fully dynamic — auto-expands with new rows</t>
        </is>
      </c>
      <c r="D70" s="44" t="inlineStr">
        <is>
          <t>Replaces the old Asset Class Analysis sheet</t>
        </is>
      </c>
    </row>
    <row r="72" ht="22" customHeight="1">
      <c r="A72" s="38" t="inlineStr">
        <is>
          <t>🏷️  ASSET CLASS TAGGING (Priority Order)</t>
        </is>
      </c>
    </row>
    <row r="73" ht="20" customHeight="1">
      <c r="A73" s="39" t="inlineStr">
        <is>
          <t>Priority</t>
        </is>
      </c>
      <c r="B73" s="39" t="inlineStr">
        <is>
          <t>Asset Class</t>
        </is>
      </c>
      <c r="C73" s="39" t="inlineStr">
        <is>
          <t>Keywords</t>
        </is>
      </c>
      <c r="D73" s="39" t="inlineStr">
        <is>
          <t>Example Match</t>
        </is>
      </c>
    </row>
    <row r="74" ht="18" customHeight="1">
      <c r="A74" s="40" t="inlineStr">
        <is>
          <t>1</t>
        </is>
      </c>
      <c r="B74" s="41" t="inlineStr">
        <is>
          <t>Silver</t>
        </is>
      </c>
      <c r="C74" s="40" t="inlineStr">
        <is>
          <t>silver</t>
        </is>
      </c>
      <c r="D74" s="40" t="inlineStr">
        <is>
          <t>scheme_name.lower().contains()</t>
        </is>
      </c>
    </row>
    <row r="75" ht="18" customHeight="1">
      <c r="A75" s="40" t="inlineStr">
        <is>
          <t>2</t>
        </is>
      </c>
      <c r="B75" s="41" t="inlineStr">
        <is>
          <t>Gold</t>
        </is>
      </c>
      <c r="C75" s="40" t="inlineStr">
        <is>
          <t>gold</t>
        </is>
      </c>
      <c r="D75" s="40" t="inlineStr">
        <is>
          <t>scheme_name.lower().contains()</t>
        </is>
      </c>
    </row>
    <row r="76" ht="18" customHeight="1">
      <c r="A76" s="40" t="inlineStr">
        <is>
          <t>3</t>
        </is>
      </c>
      <c r="B76" s="41" t="inlineStr">
        <is>
          <t>G-SEC</t>
        </is>
      </c>
      <c r="C76" s="40" t="inlineStr">
        <is>
          <t>g-sec, gsec</t>
        </is>
      </c>
      <c r="D76" s="40" t="inlineStr">
        <is>
          <t>scheme_name.lower().contains()</t>
        </is>
      </c>
    </row>
    <row r="77" ht="18" customHeight="1">
      <c r="A77" s="40" t="inlineStr">
        <is>
          <t>4</t>
        </is>
      </c>
      <c r="B77" s="41" t="inlineStr">
        <is>
          <t>GILT</t>
        </is>
      </c>
      <c r="C77" s="40" t="inlineStr">
        <is>
          <t>gilt</t>
        </is>
      </c>
      <c r="D77" s="40" t="inlineStr">
        <is>
          <t>scheme_name.lower().contains()</t>
        </is>
      </c>
    </row>
    <row r="78" ht="18" customHeight="1">
      <c r="A78" s="40" t="inlineStr">
        <is>
          <t>5</t>
        </is>
      </c>
      <c r="B78" s="41" t="inlineStr">
        <is>
          <t>NASDAQ</t>
        </is>
      </c>
      <c r="C78" s="40" t="inlineStr">
        <is>
          <t>nasdaq, nq100, nq 100</t>
        </is>
      </c>
      <c r="D78" s="40" t="inlineStr">
        <is>
          <t>scheme_name.lower().contains()</t>
        </is>
      </c>
    </row>
    <row r="79" ht="18" customHeight="1">
      <c r="A79" s="40" t="inlineStr">
        <is>
          <t>6</t>
        </is>
      </c>
      <c r="B79" s="41" t="inlineStr">
        <is>
          <t>S&amp;P 500</t>
        </is>
      </c>
      <c r="C79" s="40" t="inlineStr">
        <is>
          <t>s&amp;p 500, s&amp;p500, s&amp;p 50</t>
        </is>
      </c>
      <c r="D79" s="40" t="inlineStr">
        <is>
          <t>scheme_name.lower().contains()</t>
        </is>
      </c>
    </row>
    <row r="80" ht="18" customHeight="1">
      <c r="A80" s="40" t="inlineStr">
        <is>
          <t>7</t>
        </is>
      </c>
      <c r="B80" s="41" t="inlineStr">
        <is>
          <t>International</t>
        </is>
      </c>
      <c r="C80" s="40" t="inlineStr">
        <is>
          <t>overseas, global, hang seng...</t>
        </is>
      </c>
      <c r="D80" s="40" t="inlineStr">
        <is>
          <t>scheme_name.lower().contains()</t>
        </is>
      </c>
    </row>
    <row r="81" ht="18" customHeight="1">
      <c r="A81" s="40" t="inlineStr">
        <is>
          <t>8</t>
        </is>
      </c>
      <c r="B81" s="41" t="inlineStr">
        <is>
          <t>Pharma/Healthcare</t>
        </is>
      </c>
      <c r="C81" s="40" t="inlineStr">
        <is>
          <t>pharma, healthcare, health</t>
        </is>
      </c>
      <c r="D81" s="40" t="inlineStr">
        <is>
          <t>scheme_name.lower().contains()</t>
        </is>
      </c>
    </row>
    <row r="82" ht="18" customHeight="1">
      <c r="A82" s="40" t="inlineStr">
        <is>
          <t>9</t>
        </is>
      </c>
      <c r="B82" s="41" t="inlineStr">
        <is>
          <t>Technology</t>
        </is>
      </c>
      <c r="C82" s="40" t="inlineStr">
        <is>
          <t>tech, artificial intelligence, ai ...</t>
        </is>
      </c>
      <c r="D82" s="40" t="inlineStr">
        <is>
          <t>scheme_name.lower().contains()</t>
        </is>
      </c>
    </row>
    <row r="83" ht="18" customHeight="1">
      <c r="A83" s="40" t="inlineStr">
        <is>
          <t>10</t>
        </is>
      </c>
      <c r="B83" s="41" t="inlineStr">
        <is>
          <t>Commodities</t>
        </is>
      </c>
      <c r="C83" s="40" t="inlineStr">
        <is>
          <t>commodit, metal, energy...</t>
        </is>
      </c>
      <c r="D83" s="40" t="inlineStr">
        <is>
          <t>scheme_name.lower().contains()</t>
        </is>
      </c>
    </row>
    <row r="84" ht="18" customHeight="1">
      <c r="A84" s="40" t="inlineStr">
        <is>
          <t>11</t>
        </is>
      </c>
      <c r="B84" s="41" t="inlineStr">
        <is>
          <t>Infrastructure</t>
        </is>
      </c>
      <c r="C84" s="40" t="inlineStr">
        <is>
          <t>infra, infrastructure</t>
        </is>
      </c>
      <c r="D84" s="40" t="inlineStr">
        <is>
          <t>scheme_name.lower().contains()</t>
        </is>
      </c>
    </row>
    <row r="85" ht="18" customHeight="1">
      <c r="A85" s="40" t="inlineStr">
        <is>
          <t>12</t>
        </is>
      </c>
      <c r="B85" s="41" t="inlineStr">
        <is>
          <t>Banking/Financial</t>
        </is>
      </c>
      <c r="C85" s="40" t="inlineStr">
        <is>
          <t>bank, financial, psu bank...</t>
        </is>
      </c>
      <c r="D85" s="40" t="inlineStr">
        <is>
          <t>scheme_name.lower().contains()</t>
        </is>
      </c>
    </row>
    <row r="86" ht="18" customHeight="1">
      <c r="A86" s="40" t="inlineStr">
        <is>
          <t>13</t>
        </is>
      </c>
      <c r="B86" s="41" t="inlineStr">
        <is>
          <t>Index Fund</t>
        </is>
      </c>
      <c r="C86" s="40" t="inlineStr">
        <is>
          <t>index, nifty, sensex...</t>
        </is>
      </c>
      <c r="D86" s="40" t="inlineStr">
        <is>
          <t>scheme_name.lower().contains()</t>
        </is>
      </c>
    </row>
    <row r="87" ht="18" customHeight="1">
      <c r="A87" s="40" t="inlineStr">
        <is>
          <t>99</t>
        </is>
      </c>
      <c r="B87" s="41" t="inlineStr">
        <is>
          <t>Standard Equity/Debt</t>
        </is>
      </c>
      <c r="C87" s="40" t="inlineStr">
        <is>
          <t>(default)</t>
        </is>
      </c>
      <c r="D87" s="40" t="inlineStr">
        <is>
          <t>No keyword match</t>
        </is>
      </c>
    </row>
    <row r="89" ht="22" customHeight="1">
      <c r="A89" s="52" t="inlineStr">
        <is>
          <t>📈  MOMENTUM SIGNAL (Engine 1)</t>
        </is>
      </c>
    </row>
    <row r="90" ht="20" customHeight="1">
      <c r="A90" s="53" t="inlineStr">
        <is>
          <t>Signal</t>
        </is>
      </c>
      <c r="B90" s="53" t="inlineStr">
        <is>
          <t>E1 Range</t>
        </is>
      </c>
      <c r="C90" s="53" t="inlineStr">
        <is>
          <t>Meaning</t>
        </is>
      </c>
      <c r="D90" s="53" t="inlineStr">
        <is>
          <t>Action</t>
        </is>
      </c>
    </row>
    <row r="91" ht="18" customHeight="1">
      <c r="A91" s="40" t="inlineStr">
        <is>
          <t>🔥 Hot</t>
        </is>
      </c>
      <c r="B91" s="41" t="inlineStr">
        <is>
          <t>90-100</t>
        </is>
      </c>
      <c r="C91" s="40" t="inlineStr">
        <is>
          <t>Exceptional momentum</t>
        </is>
      </c>
      <c r="D91" s="40" t="inlineStr">
        <is>
          <t>Strong short-term performer</t>
        </is>
      </c>
    </row>
    <row r="92" ht="18" customHeight="1">
      <c r="A92" s="40" t="inlineStr">
        <is>
          <t>⭐ Strong</t>
        </is>
      </c>
      <c r="B92" s="41" t="inlineStr">
        <is>
          <t>75-89</t>
        </is>
      </c>
      <c r="C92" s="40" t="inlineStr">
        <is>
          <t>Above average momentum</t>
        </is>
      </c>
      <c r="D92" s="40" t="inlineStr">
        <is>
          <t>Good entry point</t>
        </is>
      </c>
    </row>
    <row r="93" ht="18" customHeight="1">
      <c r="A93" s="40" t="inlineStr">
        <is>
          <t>📈 Good</t>
        </is>
      </c>
      <c r="B93" s="41" t="inlineStr">
        <is>
          <t>60-74</t>
        </is>
      </c>
      <c r="C93" s="40" t="inlineStr">
        <is>
          <t>Decent momentum</t>
        </is>
      </c>
      <c r="D93" s="40" t="inlineStr">
        <is>
          <t>Monitor for improvement</t>
        </is>
      </c>
    </row>
    <row r="94" ht="18" customHeight="1">
      <c r="A94" s="40" t="inlineStr">
        <is>
          <t>➡️ Neutral</t>
        </is>
      </c>
      <c r="B94" s="41" t="inlineStr">
        <is>
          <t>40-59</t>
        </is>
      </c>
      <c r="C94" s="40" t="inlineStr">
        <is>
          <t>Average performance</t>
        </is>
      </c>
      <c r="D94" s="40" t="inlineStr">
        <is>
          <t>No clear direction</t>
        </is>
      </c>
    </row>
    <row r="95" ht="18" customHeight="1">
      <c r="A95" s="40" t="inlineStr">
        <is>
          <t>📉 Weak</t>
        </is>
      </c>
      <c r="B95" s="41" t="inlineStr">
        <is>
          <t>&lt;40</t>
        </is>
      </c>
      <c r="C95" s="40" t="inlineStr">
        <is>
          <t>Below average</t>
        </is>
      </c>
      <c r="D95" s="40" t="inlineStr">
        <is>
          <t>Caution advised</t>
        </is>
      </c>
    </row>
    <row r="97" ht="22" customHeight="1">
      <c r="A97" s="54" t="inlineStr">
        <is>
          <t>🏛️  QUALITY SIGNAL (Engine 2)</t>
        </is>
      </c>
    </row>
    <row r="98" ht="20" customHeight="1">
      <c r="A98" s="55" t="inlineStr">
        <is>
          <t>Signal</t>
        </is>
      </c>
      <c r="B98" s="55" t="inlineStr">
        <is>
          <t>E2 Range</t>
        </is>
      </c>
      <c r="C98" s="55" t="inlineStr">
        <is>
          <t>Meaning</t>
        </is>
      </c>
      <c r="D98" s="55" t="inlineStr">
        <is>
          <t>Action</t>
        </is>
      </c>
    </row>
    <row r="99" ht="18" customHeight="1">
      <c r="A99" s="40" t="inlineStr">
        <is>
          <t>🏆 Elite</t>
        </is>
      </c>
      <c r="B99" s="41" t="inlineStr">
        <is>
          <t>90-100</t>
        </is>
      </c>
      <c r="C99" s="40" t="inlineStr">
        <is>
          <t>Top-tier quality</t>
        </is>
      </c>
      <c r="D99" s="40" t="inlineStr">
        <is>
          <t>Core holding candidate</t>
        </is>
      </c>
    </row>
    <row r="100" ht="18" customHeight="1">
      <c r="A100" s="40" t="inlineStr">
        <is>
          <t>⭐ Strong</t>
        </is>
      </c>
      <c r="B100" s="41" t="inlineStr">
        <is>
          <t>75-89</t>
        </is>
      </c>
      <c r="C100" s="40" t="inlineStr">
        <is>
          <t>Strong fundamentals</t>
        </is>
      </c>
      <c r="D100" s="40" t="inlineStr">
        <is>
          <t>Solid long-term choice</t>
        </is>
      </c>
    </row>
    <row r="101" ht="18" customHeight="1">
      <c r="A101" s="40" t="inlineStr">
        <is>
          <t>🏛️ Solid</t>
        </is>
      </c>
      <c r="B101" s="41" t="inlineStr">
        <is>
          <t>60-74</t>
        </is>
      </c>
      <c r="C101" s="40" t="inlineStr">
        <is>
          <t>Good quality metrics</t>
        </is>
      </c>
      <c r="D101" s="40" t="inlineStr">
        <is>
          <t>Reliable performer</t>
        </is>
      </c>
    </row>
    <row r="102" ht="18" customHeight="1">
      <c r="A102" s="40" t="inlineStr">
        <is>
          <t>➡️ Average</t>
        </is>
      </c>
      <c r="B102" s="41" t="inlineStr">
        <is>
          <t>40-59</t>
        </is>
      </c>
      <c r="C102" s="40" t="inlineStr">
        <is>
          <t>Market average</t>
        </is>
      </c>
      <c r="D102" s="40" t="inlineStr">
        <is>
          <t>No standout quality</t>
        </is>
      </c>
    </row>
    <row r="103" ht="18" customHeight="1">
      <c r="A103" s="40" t="inlineStr">
        <is>
          <t>⚠️ Below Avg</t>
        </is>
      </c>
      <c r="B103" s="41" t="inlineStr">
        <is>
          <t>1-39</t>
        </is>
      </c>
      <c r="C103" s="40" t="inlineStr">
        <is>
          <t>Below market average</t>
        </is>
      </c>
      <c r="D103" s="40" t="inlineStr">
        <is>
          <t>Review before investing</t>
        </is>
      </c>
    </row>
    <row r="104" ht="18" customHeight="1">
      <c r="A104" s="40" t="inlineStr">
        <is>
          <t>🔴 Not Qualified</t>
        </is>
      </c>
      <c r="B104" s="41" t="inlineStr">
        <is>
          <t>0</t>
        </is>
      </c>
      <c r="C104" s="40" t="inlineStr">
        <is>
          <t>Failed quality gates</t>
        </is>
      </c>
      <c r="D104" s="40" t="inlineStr">
        <is>
          <t>Does not meet criteria</t>
        </is>
      </c>
    </row>
    <row r="105" ht="18" customHeight="1">
      <c r="A105" s="46" t="inlineStr">
        <is>
          <t>⏳ New Fund</t>
        </is>
      </c>
      <c r="B105" s="47" t="inlineStr">
        <is>
          <t>N/A</t>
        </is>
      </c>
      <c r="C105" s="46" t="inlineStr">
        <is>
          <t>Insufficient history</t>
        </is>
      </c>
      <c r="D105" s="46" t="inlineStr">
        <is>
          <t>Wait for track record</t>
        </is>
      </c>
    </row>
    <row r="107" ht="22" customHeight="1">
      <c r="A107" s="42" t="inlineStr">
        <is>
          <t>🎯  COMPOSITE SIGNAL (Combined)</t>
        </is>
      </c>
    </row>
    <row r="108" ht="20" customHeight="1">
      <c r="A108" s="43" t="inlineStr">
        <is>
          <t>Signal</t>
        </is>
      </c>
      <c r="B108" s="43" t="inlineStr">
        <is>
          <t>Condition</t>
        </is>
      </c>
      <c r="C108" s="43" t="inlineStr">
        <is>
          <t>Meaning</t>
        </is>
      </c>
      <c r="D108" s="43" t="inlineStr">
        <is>
          <t>Action</t>
        </is>
      </c>
    </row>
    <row r="109" ht="18" customHeight="1">
      <c r="A109" s="40" t="inlineStr">
        <is>
          <t>🚀 Strong Conviction</t>
        </is>
      </c>
      <c r="B109" s="41" t="inlineStr">
        <is>
          <t>≥85 + Uptrend</t>
        </is>
      </c>
      <c r="C109" s="40" t="inlineStr">
        <is>
          <t>Best of both engines</t>
        </is>
      </c>
      <c r="D109" s="40" t="inlineStr">
        <is>
          <t>Top pick</t>
        </is>
      </c>
    </row>
    <row r="110" ht="18" customHeight="1">
      <c r="A110" s="40" t="inlineStr">
        <is>
          <t>⭐ Strong Buy</t>
        </is>
      </c>
      <c r="B110" s="41" t="inlineStr">
        <is>
          <t>75-84</t>
        </is>
      </c>
      <c r="C110" s="40" t="inlineStr">
        <is>
          <t>High composite score</t>
        </is>
      </c>
      <c r="D110" s="40" t="inlineStr">
        <is>
          <t>Recommended buy</t>
        </is>
      </c>
    </row>
    <row r="111" ht="18" customHeight="1">
      <c r="A111" s="40" t="inlineStr">
        <is>
          <t>📈 Momentum Play</t>
        </is>
      </c>
      <c r="B111" s="41" t="inlineStr">
        <is>
          <t>60-74 (E1&gt;E2)</t>
        </is>
      </c>
      <c r="C111" s="40" t="inlineStr">
        <is>
          <t>Momentum-driven</t>
        </is>
      </c>
      <c r="D111" s="40" t="inlineStr">
        <is>
          <t>Short-term opportunity</t>
        </is>
      </c>
    </row>
    <row r="112" ht="18" customHeight="1">
      <c r="A112" s="40" t="inlineStr">
        <is>
          <t>🏛️ Quality Hold</t>
        </is>
      </c>
      <c r="B112" s="41" t="inlineStr">
        <is>
          <t>60-74 (E2&gt;E1)</t>
        </is>
      </c>
      <c r="C112" s="40" t="inlineStr">
        <is>
          <t>Quality-driven</t>
        </is>
      </c>
      <c r="D112" s="40" t="inlineStr">
        <is>
          <t>Long-term hold</t>
        </is>
      </c>
    </row>
    <row r="113" ht="18" customHeight="1">
      <c r="A113" s="40" t="inlineStr">
        <is>
          <t>✅ Buy</t>
        </is>
      </c>
      <c r="B113" s="41" t="inlineStr">
        <is>
          <t>55-59</t>
        </is>
      </c>
      <c r="C113" s="40" t="inlineStr">
        <is>
          <t>Moderate confidence</t>
        </is>
      </c>
      <c r="D113" s="40" t="inlineStr">
        <is>
          <t>Consider buying</t>
        </is>
      </c>
    </row>
    <row r="114" ht="18" customHeight="1">
      <c r="A114" s="40" t="inlineStr">
        <is>
          <t>⚠️ Watch</t>
        </is>
      </c>
      <c r="B114" s="41" t="inlineStr">
        <is>
          <t>40-54</t>
        </is>
      </c>
      <c r="C114" s="40" t="inlineStr">
        <is>
          <t>Below average</t>
        </is>
      </c>
      <c r="D114" s="40" t="inlineStr">
        <is>
          <t>Monitor closely</t>
        </is>
      </c>
    </row>
    <row r="115" ht="18" customHeight="1">
      <c r="A115" s="40" t="inlineStr">
        <is>
          <t>🔴 Avoid</t>
        </is>
      </c>
      <c r="B115" s="41" t="inlineStr">
        <is>
          <t>&lt;40</t>
        </is>
      </c>
      <c r="C115" s="40" t="inlineStr">
        <is>
          <t>Poor performance</t>
        </is>
      </c>
      <c r="D115" s="40" t="inlineStr">
        <is>
          <t>Not recommended</t>
        </is>
      </c>
    </row>
    <row r="116" ht="18" customHeight="1">
      <c r="A116" s="46" t="inlineStr">
        <is>
          <t>🔥 Hot Momentum</t>
        </is>
      </c>
      <c r="B116" s="47" t="inlineStr">
        <is>
          <t>E1≥80 (Mom. Only)</t>
        </is>
      </c>
      <c r="C116" s="46" t="inlineStr">
        <is>
          <t>Strong momentum, no history</t>
        </is>
      </c>
      <c r="D116" s="46" t="inlineStr">
        <is>
          <t>Speculative</t>
        </is>
      </c>
    </row>
    <row r="118" ht="22" customHeight="1">
      <c r="A118" s="42" t="inlineStr">
        <is>
          <t>📈  DATA STATISTICS (Live)</t>
        </is>
      </c>
    </row>
    <row r="119" ht="20" customHeight="1">
      <c r="A119" s="43" t="inlineStr">
        <is>
          <t>Metric</t>
        </is>
      </c>
      <c r="B119" s="43" t="inlineStr">
        <is>
          <t>Count</t>
        </is>
      </c>
      <c r="C119" s="43" t="inlineStr">
        <is>
          <t>Share</t>
        </is>
      </c>
      <c r="D119" s="43" t="inlineStr">
        <is>
          <t>Notes</t>
        </is>
      </c>
    </row>
    <row r="120" ht="18" customHeight="1">
      <c r="A120" s="60" t="inlineStr">
        <is>
          <t>Total Funds</t>
        </is>
      </c>
      <c r="B120" s="61">
        <f>COUNTA('📊 CONSOLIDATED'!$B:$B)-4</f>
        <v/>
      </c>
      <c r="C120" s="62" t="n">
        <v>1</v>
      </c>
      <c r="D120" s="60" t="inlineStr">
        <is>
          <t>All funds in analysis</t>
        </is>
      </c>
    </row>
    <row r="121" ht="18" customHeight="1">
      <c r="A121" s="63" t="inlineStr">
        <is>
          <t>✅ Full Data</t>
        </is>
      </c>
      <c r="B121" s="64">
        <f>COUNTIF('📊 CONSOLIDATED'!$U:$U,"FULL")</f>
        <v/>
      </c>
      <c r="C121" s="65">
        <f>=COUNTIF('📊 CONSOLIDATED'!$U:$U,"FULL")/=COUNTA('📊 CONSOLIDATED'!$B:$B)-4</f>
        <v/>
      </c>
      <c r="D121" s="63" t="inlineStr">
        <is>
          <t>Complete data for scoring</t>
        </is>
      </c>
    </row>
    <row r="122" ht="18" customHeight="1">
      <c r="A122" s="66" t="inlineStr">
        <is>
          <t>⚠️ Momentum Only</t>
        </is>
      </c>
      <c r="B122" s="67">
        <f>COUNTIF('📊 CONSOLIDATED'!$U:$U,"MOMENTUM_ONLY")</f>
        <v/>
      </c>
      <c r="C122" s="68">
        <f>=COUNTIF('📊 CONSOLIDATED'!$U:$U,"MOMENTUM_ONLY")/=COUNTA('📊 CONSOLIDATED'!$B:$B)-4</f>
        <v/>
      </c>
      <c r="D122" s="66" t="inlineStr">
        <is>
          <t>New funds, E2=0</t>
        </is>
      </c>
    </row>
    <row r="123" ht="18" customHeight="1">
      <c r="A123" s="69" t="inlineStr">
        <is>
          <t>❌ Missing Data</t>
        </is>
      </c>
      <c r="B123" s="70">
        <f>COUNTIF('📊 CONSOLIDATED'!$U:$U,"MISSING")</f>
        <v/>
      </c>
      <c r="C123" s="71">
        <f>=COUNTIF('📊 CONSOLIDATED'!$U:$U,"MISSING")/=COUNTA('📊 CONSOLIDATED'!$B:$B)-4</f>
        <v/>
      </c>
      <c r="D123" s="69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7" t="inlineStr">
        <is>
          <t>✦  AGGRESSIVE HYBRID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2" t="n">
        <v>1</v>
      </c>
      <c r="B5" s="73" t="inlineStr">
        <is>
          <t>Bandhan Aggressive Hybrid Fund-Regular Plan Growth</t>
        </is>
      </c>
      <c r="C5" s="73" t="inlineStr">
        <is>
          <t>Bandhan Mutual Fund</t>
        </is>
      </c>
      <c r="D5" s="73" t="inlineStr">
        <is>
          <t>Aggressive Hybrid Fund</t>
        </is>
      </c>
      <c r="E5" s="74" t="n">
        <v>-0.08</v>
      </c>
      <c r="F5" s="75" t="n">
        <v>2.84</v>
      </c>
      <c r="G5" s="75" t="n">
        <v>5.39</v>
      </c>
      <c r="H5" s="75" t="n">
        <v>4.98</v>
      </c>
      <c r="I5" s="75" t="n">
        <v>8.027774206451177</v>
      </c>
      <c r="J5" s="75" t="n">
        <v>45.47</v>
      </c>
      <c r="K5" s="17" t="n">
        <v>94.40000000000001</v>
      </c>
      <c r="L5" s="18" t="n">
        <v>0</v>
      </c>
      <c r="M5" s="19" t="n">
        <v>51.9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6" t="inlineStr">
        <is>
          <t>FULL</t>
        </is>
      </c>
    </row>
    <row r="6" ht="16" customHeight="1">
      <c r="A6" s="77" t="n">
        <v>2</v>
      </c>
      <c r="B6" s="78" t="inlineStr">
        <is>
          <t>Union Aggressive Hybrid Fund - Regular Plan - Growth Option</t>
        </is>
      </c>
      <c r="C6" s="78" t="inlineStr">
        <is>
          <t>Union Mutual Fund</t>
        </is>
      </c>
      <c r="D6" s="78" t="inlineStr">
        <is>
          <t>Aggressive Hybrid Fund</t>
        </is>
      </c>
      <c r="E6" s="79" t="n">
        <v>0.6</v>
      </c>
      <c r="F6" s="79" t="n">
        <v>2.06</v>
      </c>
      <c r="G6" s="79" t="n">
        <v>3.49</v>
      </c>
      <c r="H6" s="79" t="n">
        <v>1.21</v>
      </c>
      <c r="I6" s="79" t="n">
        <v>3.135832764369528</v>
      </c>
      <c r="J6" s="79" t="n">
        <v>32.66</v>
      </c>
      <c r="K6" s="17" t="n">
        <v>87.40000000000001</v>
      </c>
      <c r="L6" s="18" t="n">
        <v>0</v>
      </c>
      <c r="M6" s="24" t="n">
        <v>48.1</v>
      </c>
      <c r="N6" s="34" t="inlineStr">
        <is>
          <t>⭐ Strong</t>
        </is>
      </c>
      <c r="O6" s="34" t="inlineStr">
        <is>
          <t>🔴 Not Qualified</t>
        </is>
      </c>
      <c r="P6" s="34" t="inlineStr">
        <is>
          <t>⚠️ Watch</t>
        </is>
      </c>
      <c r="Q6" s="76" t="inlineStr">
        <is>
          <t>FULL</t>
        </is>
      </c>
    </row>
    <row r="7" ht="16" customHeight="1">
      <c r="A7" s="80" t="n">
        <v>3</v>
      </c>
      <c r="B7" s="81" t="inlineStr">
        <is>
          <t>quant Aggressive Hybrid Fund - Growth Option - Regular Plan</t>
        </is>
      </c>
      <c r="C7" s="81" t="inlineStr">
        <is>
          <t>quant Mutual Fund</t>
        </is>
      </c>
      <c r="D7" s="81" t="inlineStr">
        <is>
          <t>Aggressive Hybrid Fund</t>
        </is>
      </c>
      <c r="E7" s="82" t="n">
        <v>-1.03</v>
      </c>
      <c r="F7" s="83" t="n">
        <v>5.12</v>
      </c>
      <c r="G7" s="83" t="n">
        <v>14.7</v>
      </c>
      <c r="H7" s="83" t="n">
        <v>10.71</v>
      </c>
      <c r="I7" s="83" t="n">
        <v>3.252118622331435</v>
      </c>
      <c r="J7" s="83" t="n">
        <v>45.01</v>
      </c>
      <c r="K7" s="17" t="n">
        <v>83</v>
      </c>
      <c r="L7" s="18" t="n">
        <v>0</v>
      </c>
      <c r="M7" s="24" t="n">
        <v>45.7</v>
      </c>
      <c r="N7" s="25" t="inlineStr">
        <is>
          <t>⭐ Strong</t>
        </is>
      </c>
      <c r="O7" s="25" t="inlineStr">
        <is>
          <t>🔴 Not Qualified</t>
        </is>
      </c>
      <c r="P7" s="25" t="inlineStr">
        <is>
          <t>⚠️ Watch</t>
        </is>
      </c>
      <c r="Q7" s="76" t="inlineStr">
        <is>
          <t>FULL</t>
        </is>
      </c>
    </row>
    <row r="8" ht="16" customHeight="1">
      <c r="A8" s="84" t="n">
        <v>4</v>
      </c>
      <c r="B8" s="85" t="inlineStr">
        <is>
          <t>SBI EQUITY HYBRID FUND - REGULAR PLAN -Growth</t>
        </is>
      </c>
      <c r="C8" s="85" t="inlineStr">
        <is>
          <t>SBI Mutual Fund</t>
        </is>
      </c>
      <c r="D8" s="85" t="inlineStr">
        <is>
          <t>Aggressive Hybrid Fund</t>
        </is>
      </c>
      <c r="E8" s="86" t="n">
        <v>-0.36</v>
      </c>
      <c r="F8" s="87" t="n">
        <v>1.04</v>
      </c>
      <c r="G8" s="87" t="n">
        <v>4.53</v>
      </c>
      <c r="H8" s="87" t="n">
        <v>2.93</v>
      </c>
      <c r="I8" s="87" t="n">
        <v>6.437775249203703</v>
      </c>
      <c r="J8" s="87" t="n">
        <v>41.25</v>
      </c>
      <c r="K8" s="17" t="n">
        <v>81.8</v>
      </c>
      <c r="L8" s="18" t="n">
        <v>0</v>
      </c>
      <c r="M8" s="24" t="n">
        <v>45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76" t="inlineStr">
        <is>
          <t>FULL</t>
        </is>
      </c>
    </row>
    <row r="9" ht="16" customHeight="1">
      <c r="A9" s="89" t="n">
        <v>5</v>
      </c>
      <c r="B9" s="90" t="inlineStr">
        <is>
          <t>Navi Aggressive Hybrid Fund - Regular Plan - Growth</t>
        </is>
      </c>
      <c r="C9" s="90" t="inlineStr">
        <is>
          <t>Navi Mutual Fund</t>
        </is>
      </c>
      <c r="D9" s="90" t="inlineStr">
        <is>
          <t>Aggressive Hybrid Fund</t>
        </is>
      </c>
      <c r="E9" s="91" t="n">
        <v>-0.85</v>
      </c>
      <c r="F9" s="92" t="n">
        <v>3.92</v>
      </c>
      <c r="G9" s="92" t="n">
        <v>6.96</v>
      </c>
      <c r="H9" s="92" t="n">
        <v>3.05</v>
      </c>
      <c r="I9" s="92" t="n">
        <v>4.369535785113077</v>
      </c>
      <c r="J9" s="92" t="n">
        <v>32.9</v>
      </c>
      <c r="K9" s="17" t="n">
        <v>80.59999999999999</v>
      </c>
      <c r="L9" s="18" t="n">
        <v>0</v>
      </c>
      <c r="M9" s="24" t="n">
        <v>44.3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76" t="inlineStr">
        <is>
          <t>FULL</t>
        </is>
      </c>
    </row>
    <row r="10" ht="16" customHeight="1">
      <c r="A10" s="84" t="n">
        <v>6</v>
      </c>
      <c r="B10" s="85" t="inlineStr">
        <is>
          <t>BANK OF INDIA MID &amp; SMALL CAP EQUITY &amp; DEBT FUND - REGULAR  PLAN  GROWTH</t>
        </is>
      </c>
      <c r="C10" s="85" t="inlineStr">
        <is>
          <t>Bank of India Mutual Fund</t>
        </is>
      </c>
      <c r="D10" s="85" t="inlineStr">
        <is>
          <t>Aggressive Hybrid Fund</t>
        </is>
      </c>
      <c r="E10" s="86" t="n">
        <v>-1.19</v>
      </c>
      <c r="F10" s="87" t="n">
        <v>3.13</v>
      </c>
      <c r="G10" s="87" t="n">
        <v>13.77</v>
      </c>
      <c r="H10" s="87" t="n">
        <v>7.11</v>
      </c>
      <c r="I10" s="87" t="n">
        <v>4.785495179437893</v>
      </c>
      <c r="J10" s="87" t="n">
        <v>63.36</v>
      </c>
      <c r="K10" s="17" t="n">
        <v>78</v>
      </c>
      <c r="L10" s="18" t="n">
        <v>0</v>
      </c>
      <c r="M10" s="24" t="n">
        <v>42.9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76" t="inlineStr">
        <is>
          <t>FULL</t>
        </is>
      </c>
    </row>
    <row r="11" ht="16" customHeight="1">
      <c r="A11" s="89" t="n">
        <v>7</v>
      </c>
      <c r="B11" s="90" t="inlineStr">
        <is>
          <t>Edelweiss Aggressive Hybrid Fund - Regular Plan - Growth Option</t>
        </is>
      </c>
      <c r="C11" s="90" t="inlineStr">
        <is>
          <t>Edelweiss Mutual Fund</t>
        </is>
      </c>
      <c r="D11" s="90" t="inlineStr">
        <is>
          <t>Aggressive Hybrid Fund</t>
        </is>
      </c>
      <c r="E11" s="91" t="n">
        <v>-0.37</v>
      </c>
      <c r="F11" s="92" t="n">
        <v>1.18</v>
      </c>
      <c r="G11" s="92" t="n">
        <v>2.75</v>
      </c>
      <c r="H11" s="92" t="n">
        <v>0.74</v>
      </c>
      <c r="I11" s="92" t="n">
        <v>3.368273662666921</v>
      </c>
      <c r="J11" s="92" t="n">
        <v>41.56</v>
      </c>
      <c r="K11" s="17" t="n">
        <v>75.8</v>
      </c>
      <c r="L11" s="18" t="n">
        <v>0</v>
      </c>
      <c r="M11" s="24" t="n">
        <v>41.7</v>
      </c>
      <c r="N11" s="93" t="inlineStr">
        <is>
          <t>⭐ Strong</t>
        </is>
      </c>
      <c r="O11" s="93" t="inlineStr">
        <is>
          <t>🔴 Not Qualified</t>
        </is>
      </c>
      <c r="P11" s="93" t="inlineStr">
        <is>
          <t>⚠️ Watch</t>
        </is>
      </c>
      <c r="Q11" s="76" t="inlineStr">
        <is>
          <t>FULL</t>
        </is>
      </c>
    </row>
    <row r="12" ht="16" customHeight="1">
      <c r="A12" s="84" t="n">
        <v>8</v>
      </c>
      <c r="B12" s="85" t="inlineStr">
        <is>
          <t>Edelweiss Aggressive Hybrid Fund- Plan B-Growth Option</t>
        </is>
      </c>
      <c r="C12" s="85" t="inlineStr">
        <is>
          <t>Edelweiss Mutual Fund</t>
        </is>
      </c>
      <c r="D12" s="85" t="inlineStr">
        <is>
          <t>Aggressive Hybrid Fund</t>
        </is>
      </c>
      <c r="E12" s="86" t="n">
        <v>-0.38</v>
      </c>
      <c r="F12" s="87" t="n">
        <v>1.18</v>
      </c>
      <c r="G12" s="87" t="n">
        <v>2.75</v>
      </c>
      <c r="H12" s="87" t="n">
        <v>0.73</v>
      </c>
      <c r="I12" s="87" t="n">
        <v>3.373110623604636</v>
      </c>
      <c r="J12" s="87" t="n">
        <v>41.69</v>
      </c>
      <c r="K12" s="94" t="n">
        <v>74.2</v>
      </c>
      <c r="L12" s="18" t="n">
        <v>0</v>
      </c>
      <c r="M12" s="24" t="n">
        <v>40.8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76" t="inlineStr">
        <is>
          <t>FULL</t>
        </is>
      </c>
    </row>
    <row r="13" ht="16" customHeight="1">
      <c r="A13" s="89" t="n">
        <v>9</v>
      </c>
      <c r="B13" s="90" t="inlineStr">
        <is>
          <t>HSBC Aggressive Hybrid Fund - Regular Growth</t>
        </is>
      </c>
      <c r="C13" s="90" t="inlineStr">
        <is>
          <t>HSBC Mutual Fund</t>
        </is>
      </c>
      <c r="D13" s="90" t="inlineStr">
        <is>
          <t>Aggressive Hybrid Fund</t>
        </is>
      </c>
      <c r="E13" s="91" t="n">
        <v>-1.53</v>
      </c>
      <c r="F13" s="92" t="n">
        <v>3.13</v>
      </c>
      <c r="G13" s="92" t="n">
        <v>6.83</v>
      </c>
      <c r="H13" s="92" t="n">
        <v>3.17</v>
      </c>
      <c r="I13" s="92" t="n">
        <v>3.4456378974</v>
      </c>
      <c r="J13" s="92" t="n">
        <v>41.65</v>
      </c>
      <c r="K13" s="94" t="n">
        <v>73.90000000000001</v>
      </c>
      <c r="L13" s="18" t="n">
        <v>0</v>
      </c>
      <c r="M13" s="24" t="n">
        <v>40.7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⚠️ Watch</t>
        </is>
      </c>
      <c r="Q13" s="76" t="inlineStr">
        <is>
          <t>FULL</t>
        </is>
      </c>
    </row>
    <row r="14" ht="16" customHeight="1">
      <c r="A14" s="84" t="n">
        <v>10</v>
      </c>
      <c r="B14" s="85" t="inlineStr">
        <is>
          <t>PGIM India Aggressive Hybrid Equity Fund - Growth Option</t>
        </is>
      </c>
      <c r="C14" s="85" t="inlineStr">
        <is>
          <t>PGIM India Mutual Fund</t>
        </is>
      </c>
      <c r="D14" s="85" t="inlineStr">
        <is>
          <t>Aggressive Hybrid Fund</t>
        </is>
      </c>
      <c r="E14" s="86" t="n">
        <v>-0.24</v>
      </c>
      <c r="F14" s="87" t="n">
        <v>2.34</v>
      </c>
      <c r="G14" s="87" t="n">
        <v>2.36</v>
      </c>
      <c r="H14" s="86" t="n">
        <v>-1.46</v>
      </c>
      <c r="I14" s="87" t="n">
        <v>2.528044943810359</v>
      </c>
      <c r="J14" s="87" t="n">
        <v>25.19</v>
      </c>
      <c r="K14" s="94" t="n">
        <v>73.2</v>
      </c>
      <c r="L14" s="18" t="n">
        <v>0</v>
      </c>
      <c r="M14" s="24" t="n">
        <v>40.3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⚠️ Watch</t>
        </is>
      </c>
      <c r="Q14" s="76" t="inlineStr">
        <is>
          <t>FULL</t>
        </is>
      </c>
    </row>
    <row r="15" ht="16" customHeight="1">
      <c r="A15" s="89" t="n">
        <v>11</v>
      </c>
      <c r="B15" s="90" t="inlineStr">
        <is>
          <t>Axis Aggressive Hybrid Fund - Regular Plan - Growth Option</t>
        </is>
      </c>
      <c r="C15" s="90" t="inlineStr">
        <is>
          <t>Axis Mutual Fund</t>
        </is>
      </c>
      <c r="D15" s="90" t="inlineStr">
        <is>
          <t>Aggressive Hybrid Fund</t>
        </is>
      </c>
      <c r="E15" s="92" t="n">
        <v>0.15</v>
      </c>
      <c r="F15" s="92" t="n">
        <v>1.43</v>
      </c>
      <c r="G15" s="92" t="n">
        <v>1.48</v>
      </c>
      <c r="H15" s="91" t="n">
        <v>-0.68</v>
      </c>
      <c r="I15" s="92" t="n">
        <v>2.32301793829186</v>
      </c>
      <c r="J15" s="92" t="n">
        <v>27.23</v>
      </c>
      <c r="K15" s="94" t="n">
        <v>73</v>
      </c>
      <c r="L15" s="18" t="n">
        <v>0</v>
      </c>
      <c r="M15" s="24" t="n">
        <v>40.2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⚠️ Watch</t>
        </is>
      </c>
      <c r="Q15" s="76" t="inlineStr">
        <is>
          <t>FULL</t>
        </is>
      </c>
    </row>
    <row r="16" ht="16" customHeight="1">
      <c r="A16" s="84" t="n">
        <v>12</v>
      </c>
      <c r="B16" s="85" t="inlineStr">
        <is>
          <t>ICICI Prudential Equity &amp; Debt Fund - Growth</t>
        </is>
      </c>
      <c r="C16" s="85" t="inlineStr">
        <is>
          <t>ICICI Prudential Mutual Fund</t>
        </is>
      </c>
      <c r="D16" s="85" t="inlineStr">
        <is>
          <t>Aggressive Hybrid Fund</t>
        </is>
      </c>
      <c r="E16" s="86" t="n">
        <v>-0.33</v>
      </c>
      <c r="F16" s="87" t="n">
        <v>0.34</v>
      </c>
      <c r="G16" s="87" t="n">
        <v>1.33</v>
      </c>
      <c r="H16" s="87" t="n">
        <v>2.86</v>
      </c>
      <c r="I16" s="87" t="n">
        <v>4.866581902911271</v>
      </c>
      <c r="J16" s="87" t="n">
        <v>50.95</v>
      </c>
      <c r="K16" s="94" t="n">
        <v>68.90000000000001</v>
      </c>
      <c r="L16" s="18" t="n">
        <v>0</v>
      </c>
      <c r="M16" s="24" t="n">
        <v>37.9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76" t="inlineStr">
        <is>
          <t>FULL</t>
        </is>
      </c>
    </row>
    <row r="17" ht="16" customHeight="1">
      <c r="A17" s="89" t="n">
        <v>13</v>
      </c>
      <c r="B17" s="90" t="inlineStr">
        <is>
          <t>Aditya Birla Sun Life Equity Hybrid'95 Fund - Regular Plan-Growth</t>
        </is>
      </c>
      <c r="C17" s="90" t="inlineStr">
        <is>
          <t>Aditya Birla Sun Life Mutual Fund</t>
        </is>
      </c>
      <c r="D17" s="90" t="inlineStr">
        <is>
          <t>Aggressive Hybrid Fund</t>
        </is>
      </c>
      <c r="E17" s="92" t="n">
        <v>0.44</v>
      </c>
      <c r="F17" s="92" t="n">
        <v>1.38</v>
      </c>
      <c r="G17" s="92" t="n">
        <v>0.17</v>
      </c>
      <c r="H17" s="91" t="n">
        <v>-0.77</v>
      </c>
      <c r="I17" s="92" t="n">
        <v>1.720204482688681</v>
      </c>
      <c r="J17" s="92" t="n">
        <v>32.57</v>
      </c>
      <c r="K17" s="94" t="n">
        <v>64.5</v>
      </c>
      <c r="L17" s="18" t="n">
        <v>0</v>
      </c>
      <c r="M17" s="24" t="n">
        <v>35.5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76" t="inlineStr">
        <is>
          <t>FULL</t>
        </is>
      </c>
    </row>
    <row r="18" ht="16" customHeight="1">
      <c r="A18" s="84" t="n">
        <v>14</v>
      </c>
      <c r="B18" s="85" t="inlineStr">
        <is>
          <t>Kotak Aggressive Hybrid Fund - Regular Plan -Growth</t>
        </is>
      </c>
      <c r="C18" s="85" t="inlineStr">
        <is>
          <t>Kotak Mahindra Mutual Fund</t>
        </is>
      </c>
      <c r="D18" s="85" t="inlineStr">
        <is>
          <t>Aggressive Hybrid Fund</t>
        </is>
      </c>
      <c r="E18" s="86" t="n">
        <v>-1.02</v>
      </c>
      <c r="F18" s="87" t="n">
        <v>0.74</v>
      </c>
      <c r="G18" s="87" t="n">
        <v>5.13</v>
      </c>
      <c r="H18" s="87" t="n">
        <v>1.98</v>
      </c>
      <c r="I18" s="87" t="n">
        <v>3.522944316706922</v>
      </c>
      <c r="J18" s="87" t="n">
        <v>40.83</v>
      </c>
      <c r="K18" s="94" t="n">
        <v>64.2</v>
      </c>
      <c r="L18" s="18" t="n">
        <v>0</v>
      </c>
      <c r="M18" s="24" t="n">
        <v>35.3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76" t="inlineStr">
        <is>
          <t>FULL</t>
        </is>
      </c>
    </row>
    <row r="19" ht="16" customHeight="1">
      <c r="A19" s="89" t="n">
        <v>15</v>
      </c>
      <c r="B19" s="90" t="inlineStr">
        <is>
          <t>LIC MF Aggressive Hybrid Fund-Regular Plan-Growth</t>
        </is>
      </c>
      <c r="C19" s="90" t="inlineStr">
        <is>
          <t>LIC Mutual Fund</t>
        </is>
      </c>
      <c r="D19" s="90" t="inlineStr">
        <is>
          <t>Aggressive Hybrid Fund</t>
        </is>
      </c>
      <c r="E19" s="91" t="n">
        <v>-0.46</v>
      </c>
      <c r="F19" s="92" t="n">
        <v>0.75</v>
      </c>
      <c r="G19" s="92" t="n">
        <v>2.13</v>
      </c>
      <c r="H19" s="91" t="n">
        <v>-1.13</v>
      </c>
      <c r="I19" s="92" t="n">
        <v>1.857743937316814</v>
      </c>
      <c r="J19" s="92" t="n">
        <v>31.72</v>
      </c>
      <c r="K19" s="94" t="n">
        <v>62.4</v>
      </c>
      <c r="L19" s="18" t="n">
        <v>0</v>
      </c>
      <c r="M19" s="24" t="n">
        <v>34.3</v>
      </c>
      <c r="N19" s="93" t="inlineStr">
        <is>
          <t>📈 Good</t>
        </is>
      </c>
      <c r="O19" s="93" t="inlineStr">
        <is>
          <t>🔴 Not Qualified</t>
        </is>
      </c>
      <c r="P19" s="93" t="inlineStr">
        <is>
          <t>🔴 Avoid</t>
        </is>
      </c>
      <c r="Q19" s="76" t="inlineStr">
        <is>
          <t>FULL</t>
        </is>
      </c>
    </row>
    <row r="20" ht="16" customHeight="1">
      <c r="A20" s="84" t="n">
        <v>16</v>
      </c>
      <c r="B20" s="85" t="inlineStr">
        <is>
          <t>CANARA ROBECO EQUITY HYBRID FUND - REGULAR PLAN - GROWTH OPTION</t>
        </is>
      </c>
      <c r="C20" s="85" t="inlineStr">
        <is>
          <t>Canara Robeco Mutual Fund</t>
        </is>
      </c>
      <c r="D20" s="85" t="inlineStr">
        <is>
          <t>Aggressive Hybrid Fund</t>
        </is>
      </c>
      <c r="E20" s="86" t="n">
        <v>-0.59</v>
      </c>
      <c r="F20" s="87" t="n">
        <v>0.51</v>
      </c>
      <c r="G20" s="87" t="n">
        <v>2.09</v>
      </c>
      <c r="H20" s="87" t="n">
        <v>0.13</v>
      </c>
      <c r="I20" s="87" t="n">
        <v>2.791050194070888</v>
      </c>
      <c r="J20" s="87" t="n">
        <v>33.06</v>
      </c>
      <c r="K20" s="94" t="n">
        <v>59.1</v>
      </c>
      <c r="L20" s="18" t="n">
        <v>0</v>
      </c>
      <c r="M20" s="24" t="n">
        <v>32.5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76" t="inlineStr">
        <is>
          <t>FULL</t>
        </is>
      </c>
    </row>
    <row r="21" ht="16" customHeight="1">
      <c r="A21" s="89" t="n">
        <v>17</v>
      </c>
      <c r="B21" s="90" t="inlineStr">
        <is>
          <t>JM Aggressive Hybrid Fund (Regular) -Growth Option</t>
        </is>
      </c>
      <c r="C21" s="90" t="inlineStr">
        <is>
          <t>JM Financial Mutual Fund</t>
        </is>
      </c>
      <c r="D21" s="90" t="inlineStr">
        <is>
          <t>Aggressive Hybrid Fund</t>
        </is>
      </c>
      <c r="E21" s="92" t="n">
        <v>0.6</v>
      </c>
      <c r="F21" s="92" t="n">
        <v>1.14</v>
      </c>
      <c r="G21" s="92" t="n">
        <v>1.26</v>
      </c>
      <c r="H21" s="91" t="n">
        <v>-4.8</v>
      </c>
      <c r="I21" s="91" t="n">
        <v>-3.165088939990246</v>
      </c>
      <c r="J21" s="92" t="n">
        <v>43.88</v>
      </c>
      <c r="K21" s="94" t="n">
        <v>58.8</v>
      </c>
      <c r="L21" s="18" t="n">
        <v>0</v>
      </c>
      <c r="M21" s="24" t="n">
        <v>32.3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76" t="inlineStr">
        <is>
          <t>FULL</t>
        </is>
      </c>
    </row>
    <row r="22" ht="16" customHeight="1">
      <c r="A22" s="84" t="n">
        <v>18</v>
      </c>
      <c r="B22" s="85" t="inlineStr">
        <is>
          <t>Nippon India Aggressive Hybrid Fund - Growth Plan</t>
        </is>
      </c>
      <c r="C22" s="85" t="inlineStr">
        <is>
          <t>Nippon India Mutual Fund</t>
        </is>
      </c>
      <c r="D22" s="85" t="inlineStr">
        <is>
          <t>Aggressive Hybrid Fund</t>
        </is>
      </c>
      <c r="E22" s="86" t="n">
        <v>-0.63</v>
      </c>
      <c r="F22" s="87" t="n">
        <v>0.39</v>
      </c>
      <c r="G22" s="87" t="n">
        <v>1.69</v>
      </c>
      <c r="H22" s="87" t="n">
        <v>0.61</v>
      </c>
      <c r="I22" s="87" t="n">
        <v>2.956301409869999</v>
      </c>
      <c r="J22" s="87" t="n">
        <v>35.61</v>
      </c>
      <c r="K22" s="94" t="n">
        <v>56.2</v>
      </c>
      <c r="L22" s="18" t="n">
        <v>0</v>
      </c>
      <c r="M22" s="24" t="n">
        <v>30.9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76" t="inlineStr">
        <is>
          <t>FULL</t>
        </is>
      </c>
    </row>
    <row r="23" ht="16" customHeight="1">
      <c r="A23" s="89" t="n">
        <v>19</v>
      </c>
      <c r="B23" s="90" t="inlineStr">
        <is>
          <t>Shriram Aggressive Hybrid Fund- Regular Growth</t>
        </is>
      </c>
      <c r="C23" s="90" t="inlineStr">
        <is>
          <t>Shriram Mutual Fund</t>
        </is>
      </c>
      <c r="D23" s="90" t="inlineStr">
        <is>
          <t>Aggressive Hybrid Fund</t>
        </is>
      </c>
      <c r="E23" s="91" t="n">
        <v>-0.64</v>
      </c>
      <c r="F23" s="92" t="n">
        <v>0.71</v>
      </c>
      <c r="G23" s="92" t="n">
        <v>1.02</v>
      </c>
      <c r="H23" s="92" t="n">
        <v>0.12</v>
      </c>
      <c r="I23" s="91" t="n">
        <v>-1.694354180443935</v>
      </c>
      <c r="J23" s="92" t="n">
        <v>26.9</v>
      </c>
      <c r="K23" s="94" t="n">
        <v>50.9</v>
      </c>
      <c r="L23" s="18" t="n">
        <v>0</v>
      </c>
      <c r="M23" s="24" t="n">
        <v>28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76" t="inlineStr">
        <is>
          <t>FULL</t>
        </is>
      </c>
    </row>
    <row r="24" ht="16" customHeight="1">
      <c r="A24" s="84" t="n">
        <v>20</v>
      </c>
      <c r="B24" s="85" t="inlineStr">
        <is>
          <t>Tata Aggressive Hybrid Fund- Regular Plan - Growth Option</t>
        </is>
      </c>
      <c r="C24" s="85" t="inlineStr">
        <is>
          <t>Tata Mutual Fund</t>
        </is>
      </c>
      <c r="D24" s="85" t="inlineStr">
        <is>
          <t>Aggressive Hybrid Fund</t>
        </is>
      </c>
      <c r="E24" s="86" t="n">
        <v>-0.87</v>
      </c>
      <c r="F24" s="87" t="n">
        <v>1.7</v>
      </c>
      <c r="G24" s="87" t="n">
        <v>0.04</v>
      </c>
      <c r="H24" s="86" t="n">
        <v>-0.11</v>
      </c>
      <c r="I24" s="87" t="n">
        <v>0.4888053466653552</v>
      </c>
      <c r="J24" s="87" t="n">
        <v>24.9</v>
      </c>
      <c r="K24" s="95" t="n">
        <v>48.1</v>
      </c>
      <c r="L24" s="18" t="n">
        <v>0</v>
      </c>
      <c r="M24" s="24" t="n">
        <v>26.5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76" t="inlineStr">
        <is>
          <t>FULL</t>
        </is>
      </c>
    </row>
    <row r="25" ht="16" customHeight="1">
      <c r="A25" s="89" t="n">
        <v>21</v>
      </c>
      <c r="B25" s="90" t="inlineStr">
        <is>
          <t>UTI Aggressive Hybrid Fund - Regular Plan - Growth</t>
        </is>
      </c>
      <c r="C25" s="90" t="inlineStr">
        <is>
          <t>UTI Mutual Fund</t>
        </is>
      </c>
      <c r="D25" s="90" t="inlineStr">
        <is>
          <t>Aggressive Hybrid Fund</t>
        </is>
      </c>
      <c r="E25" s="91" t="n">
        <v>-0.34</v>
      </c>
      <c r="F25" s="92" t="n">
        <v>0.57</v>
      </c>
      <c r="G25" s="91" t="n">
        <v>-0.83</v>
      </c>
      <c r="H25" s="91" t="n">
        <v>-1.02</v>
      </c>
      <c r="I25" s="92" t="n">
        <v>1.852835012089882</v>
      </c>
      <c r="J25" s="92" t="n">
        <v>37.59</v>
      </c>
      <c r="K25" s="95" t="n">
        <v>47.2</v>
      </c>
      <c r="L25" s="18" t="n">
        <v>0</v>
      </c>
      <c r="M25" s="24" t="n">
        <v>26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76" t="inlineStr">
        <is>
          <t>FULL</t>
        </is>
      </c>
    </row>
    <row r="26" ht="16" customHeight="1">
      <c r="A26" s="84" t="n">
        <v>22</v>
      </c>
      <c r="B26" s="85" t="inlineStr">
        <is>
          <t>Mirae Asset Aggressive Hybrid Fund - Regular Plan - Growth</t>
        </is>
      </c>
      <c r="C26" s="85" t="inlineStr">
        <is>
          <t>Mirae Asset Mutual Fund</t>
        </is>
      </c>
      <c r="D26" s="85" t="inlineStr">
        <is>
          <t>Aggressive Hybrid Fund</t>
        </is>
      </c>
      <c r="E26" s="86" t="n">
        <v>-0.85</v>
      </c>
      <c r="F26" s="87" t="n">
        <v>0.14</v>
      </c>
      <c r="G26" s="87" t="n">
        <v>1.26</v>
      </c>
      <c r="H26" s="87" t="n">
        <v>1.41</v>
      </c>
      <c r="I26" s="87" t="n">
        <v>3.363436475380399</v>
      </c>
      <c r="J26" s="87" t="n">
        <v>33.63</v>
      </c>
      <c r="K26" s="95" t="n">
        <v>47</v>
      </c>
      <c r="L26" s="18" t="n">
        <v>0</v>
      </c>
      <c r="M26" s="24" t="n">
        <v>25.8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76" t="inlineStr">
        <is>
          <t>FULL</t>
        </is>
      </c>
    </row>
    <row r="27" ht="16" customHeight="1">
      <c r="A27" s="89" t="n">
        <v>23</v>
      </c>
      <c r="B27" s="90" t="inlineStr">
        <is>
          <t>Baroda BNP Paribas Aggressive Hybrid Fund- REGULAT PLAN -GROWTH OPTION</t>
        </is>
      </c>
      <c r="C27" s="90" t="inlineStr">
        <is>
          <t>Baroda BNP Paribas Mutual Fund</t>
        </is>
      </c>
      <c r="D27" s="90" t="inlineStr">
        <is>
          <t>Aggressive Hybrid Fund</t>
        </is>
      </c>
      <c r="E27" s="91" t="n">
        <v>-1.18</v>
      </c>
      <c r="F27" s="92" t="n">
        <v>0.29</v>
      </c>
      <c r="G27" s="92" t="n">
        <v>1.03</v>
      </c>
      <c r="H27" s="91" t="n">
        <v>-1.23</v>
      </c>
      <c r="I27" s="92" t="n">
        <v>1.187943945906911</v>
      </c>
      <c r="J27" s="92" t="n">
        <v>33.76</v>
      </c>
      <c r="K27" s="95" t="n">
        <v>33.8</v>
      </c>
      <c r="L27" s="18" t="n">
        <v>0</v>
      </c>
      <c r="M27" s="24" t="n">
        <v>18.6</v>
      </c>
      <c r="N27" s="93" t="inlineStr">
        <is>
          <t>📉 Weak</t>
        </is>
      </c>
      <c r="O27" s="93" t="inlineStr">
        <is>
          <t>🔴 Not Qualified</t>
        </is>
      </c>
      <c r="P27" s="93" t="inlineStr">
        <is>
          <t>🔴 Avoid</t>
        </is>
      </c>
      <c r="Q27" s="76" t="inlineStr">
        <is>
          <t>FULL</t>
        </is>
      </c>
    </row>
    <row r="28" ht="16" customHeight="1">
      <c r="A28" s="84" t="n">
        <v>24</v>
      </c>
      <c r="B28" s="85" t="inlineStr">
        <is>
          <t>Invesco India Aggressive Hybrid Fund - Regular Plan - Growth</t>
        </is>
      </c>
      <c r="C28" s="85" t="inlineStr">
        <is>
          <t>Invesco Mutual Fund</t>
        </is>
      </c>
      <c r="D28" s="85" t="inlineStr">
        <is>
          <t>Aggressive Hybrid Fund</t>
        </is>
      </c>
      <c r="E28" s="86" t="n">
        <v>-0.39</v>
      </c>
      <c r="F28" s="87" t="n">
        <v>0.85</v>
      </c>
      <c r="G28" s="86" t="n">
        <v>-3.51</v>
      </c>
      <c r="H28" s="86" t="n">
        <v>-7.6</v>
      </c>
      <c r="I28" s="86" t="n">
        <v>-0.5364388331083325</v>
      </c>
      <c r="J28" s="87" t="n">
        <v>33.57</v>
      </c>
      <c r="K28" s="95" t="n">
        <v>32.3</v>
      </c>
      <c r="L28" s="18" t="n">
        <v>0</v>
      </c>
      <c r="M28" s="24" t="n">
        <v>17.8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76" t="inlineStr">
        <is>
          <t>FULL</t>
        </is>
      </c>
    </row>
    <row r="29" ht="16" customHeight="1">
      <c r="A29" s="89" t="n">
        <v>25</v>
      </c>
      <c r="B29" s="90" t="inlineStr">
        <is>
          <t>Groww Aggressive Hybrid Fund (formerly known as Indiabulls Equity Hybrid Fund)- Regular Plan- Half Yearly - Income Distribution cum capital withdrawal Option (Payout &amp; Reinvestment)</t>
        </is>
      </c>
      <c r="C29" s="90" t="inlineStr">
        <is>
          <t>Groww Mutual Fund</t>
        </is>
      </c>
      <c r="D29" s="90" t="inlineStr">
        <is>
          <t>Aggressive Hybrid Fund</t>
        </is>
      </c>
      <c r="E29" s="91" t="n">
        <v>-0.59</v>
      </c>
      <c r="F29" s="92" t="n">
        <v>0.32</v>
      </c>
      <c r="G29" s="91" t="n">
        <v>-0.39</v>
      </c>
      <c r="H29" s="91" t="n">
        <v>-2.23</v>
      </c>
      <c r="I29" s="91" t="n">
        <v>-1.065678351746913</v>
      </c>
      <c r="J29" s="92" t="n">
        <v>25.46</v>
      </c>
      <c r="K29" s="95" t="n">
        <v>28.9</v>
      </c>
      <c r="L29" s="18" t="n">
        <v>0</v>
      </c>
      <c r="M29" s="24" t="n">
        <v>15.9</v>
      </c>
      <c r="N29" s="93" t="inlineStr">
        <is>
          <t>📉 Weak</t>
        </is>
      </c>
      <c r="O29" s="93" t="inlineStr">
        <is>
          <t>🔴 Not Qualified</t>
        </is>
      </c>
      <c r="P29" s="93" t="inlineStr">
        <is>
          <t>🔴 Avoid</t>
        </is>
      </c>
      <c r="Q29" s="76" t="inlineStr">
        <is>
          <t>FULL</t>
        </is>
      </c>
    </row>
    <row r="30" ht="16" customHeight="1">
      <c r="A30" s="84" t="n">
        <v>25</v>
      </c>
      <c r="B30" s="85" t="inlineStr">
        <is>
          <t>Groww Aggressive Hybrid Fund (formerly known as Indiabulls Equity Hybrid Fund)- Regular Plan- - Income Distribution cum capital withdrawal Option (Payout &amp; Reinvestment)</t>
        </is>
      </c>
      <c r="C30" s="85" t="inlineStr">
        <is>
          <t>Groww Mutual Fund</t>
        </is>
      </c>
      <c r="D30" s="85" t="inlineStr">
        <is>
          <t>Aggressive Hybrid Fund</t>
        </is>
      </c>
      <c r="E30" s="86" t="n">
        <v>-0.59</v>
      </c>
      <c r="F30" s="87" t="n">
        <v>0.32</v>
      </c>
      <c r="G30" s="86" t="n">
        <v>-0.39</v>
      </c>
      <c r="H30" s="86" t="n">
        <v>-2.23</v>
      </c>
      <c r="I30" s="86" t="n">
        <v>-1.065678351746913</v>
      </c>
      <c r="J30" s="87" t="n">
        <v>25.46</v>
      </c>
      <c r="K30" s="95" t="n">
        <v>28.9</v>
      </c>
      <c r="L30" s="18" t="n">
        <v>0</v>
      </c>
      <c r="M30" s="24" t="n">
        <v>15.9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76" t="inlineStr">
        <is>
          <t>FULL</t>
        </is>
      </c>
    </row>
    <row r="31" ht="16" customHeight="1">
      <c r="A31" s="89" t="n">
        <v>25</v>
      </c>
      <c r="B31" s="90" t="inlineStr">
        <is>
          <t>Groww Aggressive Hybrid Fund (formerly known as Indiabulls Equity Hybrid Fund)- Regular Plan- Quarterly - Income Distribution cum capital withdrawal Option (Payout &amp; Reinvestment)</t>
        </is>
      </c>
      <c r="C31" s="90" t="inlineStr">
        <is>
          <t>Groww Mutual Fund</t>
        </is>
      </c>
      <c r="D31" s="90" t="inlineStr">
        <is>
          <t>Aggressive Hybrid Fund</t>
        </is>
      </c>
      <c r="E31" s="91" t="n">
        <v>-0.59</v>
      </c>
      <c r="F31" s="92" t="n">
        <v>0.32</v>
      </c>
      <c r="G31" s="91" t="n">
        <v>-0.39</v>
      </c>
      <c r="H31" s="91" t="n">
        <v>-2.23</v>
      </c>
      <c r="I31" s="91" t="n">
        <v>-1.065678351746913</v>
      </c>
      <c r="J31" s="92" t="n">
        <v>25.46</v>
      </c>
      <c r="K31" s="95" t="n">
        <v>28.9</v>
      </c>
      <c r="L31" s="18" t="n">
        <v>0</v>
      </c>
      <c r="M31" s="24" t="n">
        <v>15.9</v>
      </c>
      <c r="N31" s="93" t="inlineStr">
        <is>
          <t>📉 Weak</t>
        </is>
      </c>
      <c r="O31" s="93" t="inlineStr">
        <is>
          <t>🔴 Not Qualified</t>
        </is>
      </c>
      <c r="P31" s="93" t="inlineStr">
        <is>
          <t>🔴 Avoid</t>
        </is>
      </c>
      <c r="Q31" s="76" t="inlineStr">
        <is>
          <t>FULL</t>
        </is>
      </c>
    </row>
    <row r="32" ht="16" customHeight="1">
      <c r="A32" s="84" t="n">
        <v>25</v>
      </c>
      <c r="B32" s="85" t="inlineStr">
        <is>
          <t>Groww Aggressive Hybrid Fund (formerly known as Indiabulls Equity Hybrid Fund) - Regular Plan - Growth option</t>
        </is>
      </c>
      <c r="C32" s="85" t="inlineStr">
        <is>
          <t>Groww Mutual Fund</t>
        </is>
      </c>
      <c r="D32" s="85" t="inlineStr">
        <is>
          <t>Aggressive Hybrid Fund</t>
        </is>
      </c>
      <c r="E32" s="86" t="n">
        <v>-0.59</v>
      </c>
      <c r="F32" s="87" t="n">
        <v>0.32</v>
      </c>
      <c r="G32" s="86" t="n">
        <v>-0.39</v>
      </c>
      <c r="H32" s="86" t="n">
        <v>-2.23</v>
      </c>
      <c r="I32" s="86" t="n">
        <v>-1.065678351746913</v>
      </c>
      <c r="J32" s="87" t="n">
        <v>25.46</v>
      </c>
      <c r="K32" s="95" t="n">
        <v>28.9</v>
      </c>
      <c r="L32" s="18" t="n">
        <v>0</v>
      </c>
      <c r="M32" s="24" t="n">
        <v>15.9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76" t="inlineStr">
        <is>
          <t>FULL</t>
        </is>
      </c>
    </row>
    <row r="33" ht="16" customHeight="1">
      <c r="A33" s="89" t="n">
        <v>29</v>
      </c>
      <c r="B33" s="90" t="inlineStr">
        <is>
          <t>Groww Aggressive Hybrid Fund (formerly known as Indiabulls Equity Hybrid Fund)- Regular Plan- Monthly - Income Distribution cum capital withdrawal Option (Payout &amp; Reinvestment.</t>
        </is>
      </c>
      <c r="C33" s="90" t="inlineStr">
        <is>
          <t>Groww Mutual Fund</t>
        </is>
      </c>
      <c r="D33" s="90" t="inlineStr">
        <is>
          <t>Aggressive Hybrid Fund</t>
        </is>
      </c>
      <c r="E33" s="91" t="n">
        <v>-0.59</v>
      </c>
      <c r="F33" s="92" t="n">
        <v>0.31</v>
      </c>
      <c r="G33" s="91" t="n">
        <v>-0.39</v>
      </c>
      <c r="H33" s="91" t="n">
        <v>-2.23</v>
      </c>
      <c r="I33" s="91" t="n">
        <v>-1.065678351746913</v>
      </c>
      <c r="J33" s="92" t="n">
        <v>25.46</v>
      </c>
      <c r="K33" s="95" t="n">
        <v>28.3</v>
      </c>
      <c r="L33" s="18" t="n">
        <v>0</v>
      </c>
      <c r="M33" s="24" t="n">
        <v>15.5</v>
      </c>
      <c r="N33" s="93" t="inlineStr">
        <is>
          <t>📉 Weak</t>
        </is>
      </c>
      <c r="O33" s="93" t="inlineStr">
        <is>
          <t>🔴 Not Qualified</t>
        </is>
      </c>
      <c r="P33" s="93" t="inlineStr">
        <is>
          <t>🔴 Avoid</t>
        </is>
      </c>
      <c r="Q33" s="76" t="inlineStr">
        <is>
          <t>FULL</t>
        </is>
      </c>
    </row>
    <row r="34" ht="16" customHeight="1">
      <c r="A34" s="84" t="n">
        <v>30</v>
      </c>
      <c r="B34" s="85" t="inlineStr">
        <is>
          <t>DSP Aggressive Hybrid Fund- Regular Plan - Growth</t>
        </is>
      </c>
      <c r="C34" s="85" t="inlineStr">
        <is>
          <t>DSP Mutual Fund</t>
        </is>
      </c>
      <c r="D34" s="85" t="inlineStr">
        <is>
          <t>Aggressive Hybrid Fund</t>
        </is>
      </c>
      <c r="E34" s="86" t="n">
        <v>-0.62</v>
      </c>
      <c r="F34" s="87" t="n">
        <v>0.46</v>
      </c>
      <c r="G34" s="86" t="n">
        <v>-1.19</v>
      </c>
      <c r="H34" s="86" t="n">
        <v>-3.68</v>
      </c>
      <c r="I34" s="87" t="n">
        <v>2.176318195558413</v>
      </c>
      <c r="J34" s="87" t="n">
        <v>34.22</v>
      </c>
      <c r="K34" s="95" t="n">
        <v>27.7</v>
      </c>
      <c r="L34" s="18" t="n">
        <v>0</v>
      </c>
      <c r="M34" s="24" t="n">
        <v>15.2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76" t="inlineStr">
        <is>
          <t>FULL</t>
        </is>
      </c>
    </row>
    <row r="35" ht="16" customHeight="1">
      <c r="A35" s="89" t="n">
        <v>31</v>
      </c>
      <c r="B35" s="90" t="inlineStr">
        <is>
          <t>Franklin India Aggressive Hybrid Fund - Growth Plan</t>
        </is>
      </c>
      <c r="C35" s="90" t="inlineStr">
        <is>
          <t>Franklin Templeton Mutual Fund</t>
        </is>
      </c>
      <c r="D35" s="90" t="inlineStr">
        <is>
          <t>Aggressive Hybrid Fund</t>
        </is>
      </c>
      <c r="E35" s="91" t="n">
        <v>-0.71</v>
      </c>
      <c r="F35" s="91" t="n">
        <v>-0.11</v>
      </c>
      <c r="G35" s="91" t="n">
        <v>-0.16</v>
      </c>
      <c r="H35" s="91" t="n">
        <v>-2.8</v>
      </c>
      <c r="I35" s="92" t="n">
        <v>1.024749442896411</v>
      </c>
      <c r="J35" s="92" t="n">
        <v>33.49</v>
      </c>
      <c r="K35" s="95" t="n">
        <v>26.4</v>
      </c>
      <c r="L35" s="18" t="n">
        <v>0</v>
      </c>
      <c r="M35" s="24" t="n">
        <v>14.5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76" t="inlineStr">
        <is>
          <t>FULL</t>
        </is>
      </c>
    </row>
    <row r="36" ht="16" customHeight="1">
      <c r="A36" s="84" t="n">
        <v>32</v>
      </c>
      <c r="B36" s="85" t="inlineStr">
        <is>
          <t>Sundaram Aggressive Hybrid Fund (Formerly Known as Principal Hybrid Equity Fund)-Growth</t>
        </is>
      </c>
      <c r="C36" s="85" t="inlineStr">
        <is>
          <t>Sundaram Mutual Fund</t>
        </is>
      </c>
      <c r="D36" s="85" t="inlineStr">
        <is>
          <t>Aggressive Hybrid Fund</t>
        </is>
      </c>
      <c r="E36" s="86" t="n">
        <v>-0.98</v>
      </c>
      <c r="F36" s="86" t="n">
        <v>-0.23</v>
      </c>
      <c r="G36" s="86" t="n">
        <v>-1.67</v>
      </c>
      <c r="H36" s="86" t="n">
        <v>-2.69</v>
      </c>
      <c r="I36" s="87" t="n">
        <v>0.722390757964031</v>
      </c>
      <c r="J36" s="87" t="n">
        <v>28.16</v>
      </c>
      <c r="K36" s="95" t="n">
        <v>15.5</v>
      </c>
      <c r="L36" s="18" t="n">
        <v>0</v>
      </c>
      <c r="M36" s="24" t="n">
        <v>8.5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76" t="inlineStr">
        <is>
          <t>FULL</t>
        </is>
      </c>
    </row>
    <row r="37" ht="16" customHeight="1">
      <c r="A37" s="89" t="n">
        <v>33</v>
      </c>
      <c r="B37" s="90" t="inlineStr">
        <is>
          <t>HDFC Hybrid Equity Fund - Growth Plan</t>
        </is>
      </c>
      <c r="C37" s="90" t="inlineStr">
        <is>
          <t>HDFC Mutual Fund</t>
        </is>
      </c>
      <c r="D37" s="90" t="inlineStr">
        <is>
          <t>Aggressive Hybrid Fund</t>
        </is>
      </c>
      <c r="E37" s="91" t="n">
        <v>-0.78</v>
      </c>
      <c r="F37" s="91" t="n">
        <v>-0.34</v>
      </c>
      <c r="G37" s="91" t="n">
        <v>-3.29</v>
      </c>
      <c r="H37" s="91" t="n">
        <v>-6.11</v>
      </c>
      <c r="I37" s="91" t="n">
        <v>-0.7629101595577836</v>
      </c>
      <c r="J37" s="92" t="n">
        <v>18.54</v>
      </c>
      <c r="K37" s="95" t="n">
        <v>14</v>
      </c>
      <c r="L37" s="18" t="n">
        <v>0</v>
      </c>
      <c r="M37" s="24" t="n">
        <v>7.7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76" t="inlineStr">
        <is>
          <t>FULL</t>
        </is>
      </c>
    </row>
    <row r="38" ht="16" customHeight="1">
      <c r="A38" s="84" t="n">
        <v>34</v>
      </c>
      <c r="B38" s="85" t="inlineStr">
        <is>
          <t>Sundaram Aggressive Hybrid Fund (Formerly Known as Principal Hybrid Equity Fund)- Monthly Income Distribution CUM Capital Withdrawal</t>
        </is>
      </c>
      <c r="C38" s="85" t="inlineStr">
        <is>
          <t>Sundaram Mutual Fund</t>
        </is>
      </c>
      <c r="D38" s="85" t="inlineStr">
        <is>
          <t>Aggressive Hybrid Fund</t>
        </is>
      </c>
      <c r="E38" s="86" t="n">
        <v>-1.82</v>
      </c>
      <c r="F38" s="86" t="n">
        <v>-2.9</v>
      </c>
      <c r="G38" s="86" t="n">
        <v>-7.05</v>
      </c>
      <c r="H38" s="86" t="n">
        <v>-12.9</v>
      </c>
      <c r="I38" s="86" t="n">
        <v>-9.584293399874378</v>
      </c>
      <c r="J38" s="86" t="n">
        <v>-7.36</v>
      </c>
      <c r="K38" s="95" t="n">
        <v>0</v>
      </c>
      <c r="L38" s="18" t="n">
        <v>0</v>
      </c>
      <c r="M38" s="24" t="n">
        <v>0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76" t="inlineStr">
        <is>
          <t>FULL</t>
        </is>
      </c>
    </row>
    <row r="39" ht="16" customHeight="1">
      <c r="A39" s="96" t="n">
        <v>0</v>
      </c>
      <c r="B39" s="97" t="inlineStr">
        <is>
          <t>Nippon India Aggressive Hybrid Fund - Segregated Portfolio 2 - Growth Plan</t>
        </is>
      </c>
      <c r="C39" s="97" t="inlineStr">
        <is>
          <t>Nippon India Mutual Fund</t>
        </is>
      </c>
      <c r="D39" s="97" t="inlineStr">
        <is>
          <t>Aggressive Hybrid Fund</t>
        </is>
      </c>
      <c r="E39" s="98" t="n">
        <v>0</v>
      </c>
      <c r="F39" s="98" t="n">
        <v>0</v>
      </c>
      <c r="G39" s="98" t="n">
        <v>0</v>
      </c>
      <c r="H39" s="98" t="n">
        <v>0</v>
      </c>
      <c r="I39" s="98" t="n">
        <v>0</v>
      </c>
      <c r="J39" s="98" t="n">
        <v>0</v>
      </c>
      <c r="K39" s="95" t="n">
        <v>0</v>
      </c>
      <c r="L39" s="18" t="n">
        <v>0</v>
      </c>
      <c r="M39" s="24" t="n">
        <v>0</v>
      </c>
      <c r="N39" s="99" t="inlineStr">
        <is>
          <t>❌ N/A</t>
        </is>
      </c>
      <c r="O39" s="99" t="inlineStr">
        <is>
          <t>❌ N/A</t>
        </is>
      </c>
      <c r="P39" s="99" t="inlineStr">
        <is>
          <t>❌ Missing Data</t>
        </is>
      </c>
      <c r="Q39" s="100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7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6" t="n">
        <v>1</v>
      </c>
      <c r="B5" s="27" t="inlineStr">
        <is>
          <t>WhiteOak Capital Arbitrage Fund Regular Plan Growth</t>
        </is>
      </c>
      <c r="C5" s="27" t="inlineStr">
        <is>
          <t>WhiteOak Capital Mutual Fund</t>
        </is>
      </c>
      <c r="D5" s="27" t="inlineStr">
        <is>
          <t>Arbitrage Fund</t>
        </is>
      </c>
      <c r="E5" s="29" t="n">
        <v>0.64</v>
      </c>
      <c r="F5" s="29" t="n">
        <v>1.54</v>
      </c>
      <c r="G5" s="29" t="n">
        <v>3.15</v>
      </c>
      <c r="H5" s="29" t="n">
        <v>6.29</v>
      </c>
      <c r="I5" s="29" t="n">
        <v>0</v>
      </c>
      <c r="J5" s="29" t="n">
        <v>0</v>
      </c>
      <c r="K5" s="17" t="n">
        <v>100</v>
      </c>
      <c r="L5" s="18" t="n">
        <v>0</v>
      </c>
      <c r="M5" s="19" t="n">
        <v>55</v>
      </c>
      <c r="N5" s="101" t="inlineStr">
        <is>
          <t>🔥 Hot</t>
        </is>
      </c>
      <c r="O5" s="101" t="inlineStr">
        <is>
          <t>⏳ New Fund</t>
        </is>
      </c>
      <c r="P5" s="101" t="inlineStr">
        <is>
          <t>🔥 Hot Momentum</t>
        </is>
      </c>
      <c r="Q5" s="102" t="inlineStr">
        <is>
          <t>MOMENTUM_ONLY</t>
        </is>
      </c>
    </row>
    <row r="6" ht="16" customHeight="1">
      <c r="A6" s="26" t="n">
        <v>1</v>
      </c>
      <c r="B6" s="27" t="inlineStr">
        <is>
          <t>quant Arbitrage Fund - Growth Option - Regular Plan</t>
        </is>
      </c>
      <c r="C6" s="27" t="inlineStr">
        <is>
          <t>quant Mutual Fund</t>
        </is>
      </c>
      <c r="D6" s="27" t="inlineStr">
        <is>
          <t>Arbitrage Fund</t>
        </is>
      </c>
      <c r="E6" s="29" t="n">
        <v>0.64</v>
      </c>
      <c r="F6" s="29" t="n">
        <v>1.69</v>
      </c>
      <c r="G6" s="29" t="n">
        <v>3.38</v>
      </c>
      <c r="H6" s="29" t="n">
        <v>6.91</v>
      </c>
      <c r="I6" s="29" t="n">
        <v>0</v>
      </c>
      <c r="J6" s="29" t="n">
        <v>0</v>
      </c>
      <c r="K6" s="17" t="n">
        <v>100</v>
      </c>
      <c r="L6" s="18" t="n">
        <v>0</v>
      </c>
      <c r="M6" s="19" t="n">
        <v>55</v>
      </c>
      <c r="N6" s="101" t="inlineStr">
        <is>
          <t>🔥 Hot</t>
        </is>
      </c>
      <c r="O6" s="101" t="inlineStr">
        <is>
          <t>⏳ New Fund</t>
        </is>
      </c>
      <c r="P6" s="101" t="inlineStr">
        <is>
          <t>🔥 Hot Momentum</t>
        </is>
      </c>
      <c r="Q6" s="102" t="inlineStr">
        <is>
          <t>MOMENTUM_ONLY</t>
        </is>
      </c>
    </row>
    <row r="7" ht="16" customHeight="1">
      <c r="A7" s="80" t="n">
        <v>3</v>
      </c>
      <c r="B7" s="81" t="inlineStr">
        <is>
          <t>Kotak Arbitrage Fund - Regular Plan - Growth</t>
        </is>
      </c>
      <c r="C7" s="81" t="inlineStr">
        <is>
          <t>Kotak Mahindra Mutual Fund</t>
        </is>
      </c>
      <c r="D7" s="81" t="inlineStr">
        <is>
          <t>Arbitrage Fund</t>
        </is>
      </c>
      <c r="E7" s="83" t="n">
        <v>0.55</v>
      </c>
      <c r="F7" s="83" t="n">
        <v>1.44</v>
      </c>
      <c r="G7" s="83" t="n">
        <v>2.98</v>
      </c>
      <c r="H7" s="83" t="n">
        <v>6.03</v>
      </c>
      <c r="I7" s="83" t="n">
        <v>6.461260559886295</v>
      </c>
      <c r="J7" s="83" t="n">
        <v>22.52</v>
      </c>
      <c r="K7" s="17" t="n">
        <v>88.90000000000001</v>
      </c>
      <c r="L7" s="18" t="n">
        <v>0</v>
      </c>
      <c r="M7" s="24" t="n">
        <v>48.9</v>
      </c>
      <c r="N7" s="25" t="inlineStr">
        <is>
          <t>⭐ Strong</t>
        </is>
      </c>
      <c r="O7" s="25" t="inlineStr">
        <is>
          <t>🔴 Not Qualified</t>
        </is>
      </c>
      <c r="P7" s="25" t="inlineStr">
        <is>
          <t>⚠️ Watch</t>
        </is>
      </c>
      <c r="Q7" s="76" t="inlineStr">
        <is>
          <t>FULL</t>
        </is>
      </c>
    </row>
    <row r="8" ht="16" customHeight="1">
      <c r="A8" s="84" t="n">
        <v>4</v>
      </c>
      <c r="B8" s="85" t="inlineStr">
        <is>
          <t>Invesco India Arbitrage Fund - Regular Plan - Growth Option</t>
        </is>
      </c>
      <c r="C8" s="85" t="inlineStr">
        <is>
          <t>Invesco Mutual Fund</t>
        </is>
      </c>
      <c r="D8" s="85" t="inlineStr">
        <is>
          <t>Arbitrage Fund</t>
        </is>
      </c>
      <c r="E8" s="87" t="n">
        <v>0.55</v>
      </c>
      <c r="F8" s="87" t="n">
        <v>1.46</v>
      </c>
      <c r="G8" s="87" t="n">
        <v>2.94</v>
      </c>
      <c r="H8" s="87" t="n">
        <v>6.07</v>
      </c>
      <c r="I8" s="87" t="n">
        <v>6.447169995261026</v>
      </c>
      <c r="J8" s="87" t="n">
        <v>22.21</v>
      </c>
      <c r="K8" s="17" t="n">
        <v>88.59999999999999</v>
      </c>
      <c r="L8" s="18" t="n">
        <v>0</v>
      </c>
      <c r="M8" s="24" t="n">
        <v>48.8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76" t="inlineStr">
        <is>
          <t>FULL</t>
        </is>
      </c>
    </row>
    <row r="9" ht="16" customHeight="1">
      <c r="A9" s="89" t="n">
        <v>5</v>
      </c>
      <c r="B9" s="90" t="inlineStr">
        <is>
          <t>HDFC ARBITRAGE FUND - Regular Plan -Growth Option</t>
        </is>
      </c>
      <c r="C9" s="90" t="inlineStr">
        <is>
          <t>HDFC Mutual Fund</t>
        </is>
      </c>
      <c r="D9" s="90" t="inlineStr">
        <is>
          <t>Arbitrage Fund</t>
        </is>
      </c>
      <c r="E9" s="92" t="n">
        <v>0.54</v>
      </c>
      <c r="F9" s="92" t="n">
        <v>1.43</v>
      </c>
      <c r="G9" s="92" t="n">
        <v>2.95</v>
      </c>
      <c r="H9" s="92" t="n">
        <v>6.02</v>
      </c>
      <c r="I9" s="92" t="n">
        <v>6.404887105809198</v>
      </c>
      <c r="J9" s="92" t="n">
        <v>22.13</v>
      </c>
      <c r="K9" s="17" t="n">
        <v>84.90000000000001</v>
      </c>
      <c r="L9" s="18" t="n">
        <v>0</v>
      </c>
      <c r="M9" s="24" t="n">
        <v>46.7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76" t="inlineStr">
        <is>
          <t>FULL</t>
        </is>
      </c>
    </row>
    <row r="10" ht="16" customHeight="1">
      <c r="A10" s="84" t="n">
        <v>6</v>
      </c>
      <c r="B10" s="85" t="inlineStr">
        <is>
          <t>ICICI Prudential Arbitrage Fund - Growth</t>
        </is>
      </c>
      <c r="C10" s="85" t="inlineStr">
        <is>
          <t>ICICI Prudential Mutual Fund</t>
        </is>
      </c>
      <c r="D10" s="85" t="inlineStr">
        <is>
          <t>Arbitrage Fund</t>
        </is>
      </c>
      <c r="E10" s="87" t="n">
        <v>0.57</v>
      </c>
      <c r="F10" s="87" t="n">
        <v>1.42</v>
      </c>
      <c r="G10" s="87" t="n">
        <v>2.94</v>
      </c>
      <c r="H10" s="87" t="n">
        <v>5.99</v>
      </c>
      <c r="I10" s="87" t="n">
        <v>6.456563912236057</v>
      </c>
      <c r="J10" s="87" t="n">
        <v>22.15</v>
      </c>
      <c r="K10" s="17" t="n">
        <v>84.2</v>
      </c>
      <c r="L10" s="18" t="n">
        <v>0</v>
      </c>
      <c r="M10" s="24" t="n">
        <v>46.3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76" t="inlineStr">
        <is>
          <t>FULL</t>
        </is>
      </c>
    </row>
    <row r="11" ht="16" customHeight="1">
      <c r="A11" s="89" t="n">
        <v>7</v>
      </c>
      <c r="B11" s="90" t="inlineStr">
        <is>
          <t>Edelweiss Arbitrage Fund- Regular Plan- Growth Option</t>
        </is>
      </c>
      <c r="C11" s="90" t="inlineStr">
        <is>
          <t>Edelweiss Mutual Fund</t>
        </is>
      </c>
      <c r="D11" s="90" t="inlineStr">
        <is>
          <t>Arbitrage Fund</t>
        </is>
      </c>
      <c r="E11" s="92" t="n">
        <v>0.57</v>
      </c>
      <c r="F11" s="92" t="n">
        <v>1.44</v>
      </c>
      <c r="G11" s="92" t="n">
        <v>2.93</v>
      </c>
      <c r="H11" s="92" t="n">
        <v>5.93</v>
      </c>
      <c r="I11" s="92" t="n">
        <v>6.376689175777606</v>
      </c>
      <c r="J11" s="92" t="n">
        <v>22.05</v>
      </c>
      <c r="K11" s="17" t="n">
        <v>79.5</v>
      </c>
      <c r="L11" s="18" t="n">
        <v>0</v>
      </c>
      <c r="M11" s="24" t="n">
        <v>43.7</v>
      </c>
      <c r="N11" s="93" t="inlineStr">
        <is>
          <t>⭐ Strong</t>
        </is>
      </c>
      <c r="O11" s="93" t="inlineStr">
        <is>
          <t>🔴 Not Qualified</t>
        </is>
      </c>
      <c r="P11" s="93" t="inlineStr">
        <is>
          <t>⚠️ Watch</t>
        </is>
      </c>
      <c r="Q11" s="76" t="inlineStr">
        <is>
          <t>FULL</t>
        </is>
      </c>
    </row>
    <row r="12" ht="16" customHeight="1">
      <c r="A12" s="84" t="n">
        <v>8</v>
      </c>
      <c r="B12" s="85" t="inlineStr">
        <is>
          <t>LIC MF Arbitrage Fund-Regular Plan-Growth</t>
        </is>
      </c>
      <c r="C12" s="85" t="inlineStr">
        <is>
          <t>LIC Mutual Fund</t>
        </is>
      </c>
      <c r="D12" s="85" t="inlineStr">
        <is>
          <t>Arbitrage Fund</t>
        </is>
      </c>
      <c r="E12" s="87" t="n">
        <v>0.53</v>
      </c>
      <c r="F12" s="87" t="n">
        <v>1.43</v>
      </c>
      <c r="G12" s="87" t="n">
        <v>3.01</v>
      </c>
      <c r="H12" s="87" t="n">
        <v>5.86</v>
      </c>
      <c r="I12" s="87" t="n">
        <v>6.212052046836947</v>
      </c>
      <c r="J12" s="87" t="n">
        <v>20.94</v>
      </c>
      <c r="K12" s="17" t="n">
        <v>75.3</v>
      </c>
      <c r="L12" s="18" t="n">
        <v>0</v>
      </c>
      <c r="M12" s="2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76" t="inlineStr">
        <is>
          <t>FULL</t>
        </is>
      </c>
    </row>
    <row r="13" ht="16" customHeight="1">
      <c r="A13" s="89" t="n">
        <v>9</v>
      </c>
      <c r="B13" s="90" t="inlineStr">
        <is>
          <t>HSBC Arbitrage Fund - Regular Growth</t>
        </is>
      </c>
      <c r="C13" s="90" t="inlineStr">
        <is>
          <t>HSBC Mutual Fund</t>
        </is>
      </c>
      <c r="D13" s="90" t="inlineStr">
        <is>
          <t>Arbitrage Fund</t>
        </is>
      </c>
      <c r="E13" s="92" t="n">
        <v>0.53</v>
      </c>
      <c r="F13" s="92" t="n">
        <v>1.37</v>
      </c>
      <c r="G13" s="92" t="n">
        <v>2.98</v>
      </c>
      <c r="H13" s="92" t="n">
        <v>5.95</v>
      </c>
      <c r="I13" s="92" t="n">
        <v>6.254411673115956</v>
      </c>
      <c r="J13" s="92" t="n">
        <v>21.52</v>
      </c>
      <c r="K13" s="94" t="n">
        <v>72.2</v>
      </c>
      <c r="L13" s="18" t="n">
        <v>0</v>
      </c>
      <c r="M13" s="24" t="n">
        <v>39.7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76" t="inlineStr">
        <is>
          <t>FULL</t>
        </is>
      </c>
    </row>
    <row r="14" ht="16" customHeight="1">
      <c r="A14" s="84" t="n">
        <v>10</v>
      </c>
      <c r="B14" s="85" t="inlineStr">
        <is>
          <t>Aditya BIRLA SUN LIFE ARBITRAGE FUND - REGULAR PLAN - GROWTH</t>
        </is>
      </c>
      <c r="C14" s="85" t="inlineStr">
        <is>
          <t>Aditya Birla Sun Life Mutual Fund</t>
        </is>
      </c>
      <c r="D14" s="85" t="inlineStr">
        <is>
          <t>Arbitrage Fund</t>
        </is>
      </c>
      <c r="E14" s="87" t="n">
        <v>0.5600000000000001</v>
      </c>
      <c r="F14" s="87" t="n">
        <v>1.41</v>
      </c>
      <c r="G14" s="87" t="n">
        <v>2.89</v>
      </c>
      <c r="H14" s="87" t="n">
        <v>5.92</v>
      </c>
      <c r="I14" s="87" t="n">
        <v>6.371988794042949</v>
      </c>
      <c r="J14" s="87" t="n">
        <v>21.9</v>
      </c>
      <c r="K14" s="94" t="n">
        <v>70.5</v>
      </c>
      <c r="L14" s="18" t="n">
        <v>0</v>
      </c>
      <c r="M14" s="24" t="n">
        <v>38.8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76" t="inlineStr">
        <is>
          <t>FULL</t>
        </is>
      </c>
    </row>
    <row r="15" ht="16" customHeight="1">
      <c r="A15" s="89" t="n">
        <v>11</v>
      </c>
      <c r="B15" s="90" t="inlineStr">
        <is>
          <t>Sundaram Arbitrage Fund (Formerly Know as Principal Arbitrage Fund) - Regular Plan - Growth</t>
        </is>
      </c>
      <c r="C15" s="90" t="inlineStr">
        <is>
          <t>Sundaram Mutual Fund</t>
        </is>
      </c>
      <c r="D15" s="90" t="inlineStr">
        <is>
          <t>Arbitrage Fund</t>
        </is>
      </c>
      <c r="E15" s="92" t="n">
        <v>0.5</v>
      </c>
      <c r="F15" s="92" t="n">
        <v>1.44</v>
      </c>
      <c r="G15" s="92" t="n">
        <v>3.01</v>
      </c>
      <c r="H15" s="92" t="n">
        <v>5.93</v>
      </c>
      <c r="I15" s="92" t="n">
        <v>6.226173799116008</v>
      </c>
      <c r="J15" s="92" t="n">
        <v>21.13</v>
      </c>
      <c r="K15" s="94" t="n">
        <v>70.3</v>
      </c>
      <c r="L15" s="18" t="n">
        <v>0</v>
      </c>
      <c r="M15" s="24" t="n">
        <v>38.6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🔴 Avoid</t>
        </is>
      </c>
      <c r="Q15" s="76" t="inlineStr">
        <is>
          <t>FULL</t>
        </is>
      </c>
    </row>
    <row r="16" ht="16" customHeight="1">
      <c r="A16" s="84" t="n">
        <v>12</v>
      </c>
      <c r="B16" s="85" t="inlineStr">
        <is>
          <t>Nippon India Arbitrage Fund - Growth Plan - Growth Option</t>
        </is>
      </c>
      <c r="C16" s="85" t="inlineStr">
        <is>
          <t>Nippon India Mutual Fund</t>
        </is>
      </c>
      <c r="D16" s="85" t="inlineStr">
        <is>
          <t>Arbitrage Fund</t>
        </is>
      </c>
      <c r="E16" s="87" t="n">
        <v>0.53</v>
      </c>
      <c r="F16" s="87" t="n">
        <v>1.42</v>
      </c>
      <c r="G16" s="87" t="n">
        <v>2.9</v>
      </c>
      <c r="H16" s="87" t="n">
        <v>5.91</v>
      </c>
      <c r="I16" s="87" t="n">
        <v>6.240293674292907</v>
      </c>
      <c r="J16" s="87" t="n">
        <v>21.6</v>
      </c>
      <c r="K16" s="94" t="n">
        <v>68.2</v>
      </c>
      <c r="L16" s="18" t="n">
        <v>0</v>
      </c>
      <c r="M16" s="24" t="n">
        <v>37.5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76" t="inlineStr">
        <is>
          <t>FULL</t>
        </is>
      </c>
    </row>
    <row r="17" ht="16" customHeight="1">
      <c r="A17" s="89" t="n">
        <v>13</v>
      </c>
      <c r="B17" s="90" t="inlineStr">
        <is>
          <t>SBI Arbitrage Opportunities Fund - Regular Plan - Gr</t>
        </is>
      </c>
      <c r="C17" s="90" t="inlineStr">
        <is>
          <t>SBI Mutual Fund</t>
        </is>
      </c>
      <c r="D17" s="90" t="inlineStr">
        <is>
          <t>Arbitrage Fund</t>
        </is>
      </c>
      <c r="E17" s="92" t="n">
        <v>0.52</v>
      </c>
      <c r="F17" s="92" t="n">
        <v>1.39</v>
      </c>
      <c r="G17" s="92" t="n">
        <v>2.89</v>
      </c>
      <c r="H17" s="92" t="n">
        <v>5.97</v>
      </c>
      <c r="I17" s="92" t="n">
        <v>6.437775249203703</v>
      </c>
      <c r="J17" s="92" t="n">
        <v>22.14</v>
      </c>
      <c r="K17" s="94" t="n">
        <v>66.8</v>
      </c>
      <c r="L17" s="18" t="n">
        <v>0</v>
      </c>
      <c r="M17" s="24" t="n">
        <v>36.7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76" t="inlineStr">
        <is>
          <t>FULL</t>
        </is>
      </c>
    </row>
    <row r="18" ht="16" customHeight="1">
      <c r="A18" s="26" t="n">
        <v>14</v>
      </c>
      <c r="B18" s="27" t="inlineStr">
        <is>
          <t>Parag Parikh Arbitrage Fund - Regular Plan Growth</t>
        </is>
      </c>
      <c r="C18" s="27" t="inlineStr">
        <is>
          <t>PPFAS Mutual Fund</t>
        </is>
      </c>
      <c r="D18" s="27" t="inlineStr">
        <is>
          <t>Arbitrage Fund</t>
        </is>
      </c>
      <c r="E18" s="29" t="n">
        <v>0.49</v>
      </c>
      <c r="F18" s="29" t="n">
        <v>1.41</v>
      </c>
      <c r="G18" s="29" t="n">
        <v>2.96</v>
      </c>
      <c r="H18" s="29" t="n">
        <v>5.95</v>
      </c>
      <c r="I18" s="29" t="n">
        <v>6.320270880016099</v>
      </c>
      <c r="J18" s="29" t="n">
        <v>0</v>
      </c>
      <c r="K18" s="94" t="n">
        <v>64.90000000000001</v>
      </c>
      <c r="L18" s="18" t="n">
        <v>0</v>
      </c>
      <c r="M18" s="24" t="n">
        <v>35.7</v>
      </c>
      <c r="N18" s="101" t="inlineStr">
        <is>
          <t>📈 Good</t>
        </is>
      </c>
      <c r="O18" s="101" t="inlineStr">
        <is>
          <t>⏳ New Fund</t>
        </is>
      </c>
      <c r="P18" s="101" t="inlineStr">
        <is>
          <t>📈 Momentum Only</t>
        </is>
      </c>
      <c r="Q18" s="102" t="inlineStr">
        <is>
          <t>MOMENTUM_ONLY</t>
        </is>
      </c>
    </row>
    <row r="19" ht="16" customHeight="1">
      <c r="A19" s="26" t="n">
        <v>15</v>
      </c>
      <c r="B19" s="27" t="inlineStr">
        <is>
          <t>Franklin India Arbitrage Fund - Growth</t>
        </is>
      </c>
      <c r="C19" s="27" t="inlineStr">
        <is>
          <t>Franklin Templeton Mutual Fund</t>
        </is>
      </c>
      <c r="D19" s="27" t="inlineStr">
        <is>
          <t>Arbitrage Fund</t>
        </is>
      </c>
      <c r="E19" s="29" t="n">
        <v>0.53</v>
      </c>
      <c r="F19" s="29" t="n">
        <v>1.41</v>
      </c>
      <c r="G19" s="29" t="n">
        <v>2.72</v>
      </c>
      <c r="H19" s="29" t="n">
        <v>6.12</v>
      </c>
      <c r="I19" s="29" t="n">
        <v>0</v>
      </c>
      <c r="J19" s="29" t="n">
        <v>0</v>
      </c>
      <c r="K19" s="94" t="n">
        <v>64.7</v>
      </c>
      <c r="L19" s="18" t="n">
        <v>0</v>
      </c>
      <c r="M19" s="24" t="n">
        <v>35.6</v>
      </c>
      <c r="N19" s="101" t="inlineStr">
        <is>
          <t>📈 Good</t>
        </is>
      </c>
      <c r="O19" s="101" t="inlineStr">
        <is>
          <t>⏳ New Fund</t>
        </is>
      </c>
      <c r="P19" s="101" t="inlineStr">
        <is>
          <t>📈 Momentum Only</t>
        </is>
      </c>
      <c r="Q19" s="102" t="inlineStr">
        <is>
          <t>MOMENTUM_ONLY</t>
        </is>
      </c>
    </row>
    <row r="20" ht="16" customHeight="1">
      <c r="A20" s="84" t="n">
        <v>16</v>
      </c>
      <c r="B20" s="85" t="inlineStr">
        <is>
          <t>PGIM India Arbitrage Fund - Regular Plan - Growth</t>
        </is>
      </c>
      <c r="C20" s="85" t="inlineStr">
        <is>
          <t>PGIM India Mutual Fund</t>
        </is>
      </c>
      <c r="D20" s="85" t="inlineStr">
        <is>
          <t>Arbitrage Fund</t>
        </is>
      </c>
      <c r="E20" s="87" t="n">
        <v>0.52</v>
      </c>
      <c r="F20" s="87" t="n">
        <v>1.48</v>
      </c>
      <c r="G20" s="87" t="n">
        <v>2.92</v>
      </c>
      <c r="H20" s="87" t="n">
        <v>5.6</v>
      </c>
      <c r="I20" s="87" t="n">
        <v>6.122570643572334</v>
      </c>
      <c r="J20" s="87" t="n">
        <v>20.69</v>
      </c>
      <c r="K20" s="94" t="n">
        <v>63.9</v>
      </c>
      <c r="L20" s="18" t="n">
        <v>0</v>
      </c>
      <c r="M20" s="24" t="n">
        <v>35.2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76" t="inlineStr">
        <is>
          <t>FULL</t>
        </is>
      </c>
    </row>
    <row r="21" ht="16" customHeight="1">
      <c r="A21" s="89" t="n">
        <v>17</v>
      </c>
      <c r="B21" s="90" t="inlineStr">
        <is>
          <t>Mirae Asset Arbitrage Fund Regular Growth</t>
        </is>
      </c>
      <c r="C21" s="90" t="inlineStr">
        <is>
          <t>Mirae Asset Mutual Fund</t>
        </is>
      </c>
      <c r="D21" s="90" t="inlineStr">
        <is>
          <t>Arbitrage Fund</t>
        </is>
      </c>
      <c r="E21" s="92" t="n">
        <v>0.58</v>
      </c>
      <c r="F21" s="92" t="n">
        <v>1.41</v>
      </c>
      <c r="G21" s="92" t="n">
        <v>2.82</v>
      </c>
      <c r="H21" s="92" t="n">
        <v>5.85</v>
      </c>
      <c r="I21" s="92" t="n">
        <v>6.174384858119142</v>
      </c>
      <c r="J21" s="92" t="n">
        <v>21.53</v>
      </c>
      <c r="K21" s="94" t="n">
        <v>62.4</v>
      </c>
      <c r="L21" s="18" t="n">
        <v>0</v>
      </c>
      <c r="M21" s="24" t="n">
        <v>34.3</v>
      </c>
      <c r="N21" s="93" t="inlineStr">
        <is>
          <t>📈 Good</t>
        </is>
      </c>
      <c r="O21" s="93" t="inlineStr">
        <is>
          <t>🔴 Not Qualified</t>
        </is>
      </c>
      <c r="P21" s="93" t="inlineStr">
        <is>
          <t>🔴 Avoid</t>
        </is>
      </c>
      <c r="Q21" s="76" t="inlineStr">
        <is>
          <t>FULL</t>
        </is>
      </c>
    </row>
    <row r="22" ht="16" customHeight="1">
      <c r="A22" s="84" t="n">
        <v>18</v>
      </c>
      <c r="B22" s="85" t="inlineStr">
        <is>
          <t>Union Arbitrage Fund - Regular Plan - Growth Option</t>
        </is>
      </c>
      <c r="C22" s="85" t="inlineStr">
        <is>
          <t>Union Mutual Fund</t>
        </is>
      </c>
      <c r="D22" s="85" t="inlineStr">
        <is>
          <t>Arbitrage Fund</t>
        </is>
      </c>
      <c r="E22" s="87" t="n">
        <v>0.57</v>
      </c>
      <c r="F22" s="87" t="n">
        <v>1.4</v>
      </c>
      <c r="G22" s="87" t="n">
        <v>2.87</v>
      </c>
      <c r="H22" s="87" t="n">
        <v>5.74</v>
      </c>
      <c r="I22" s="87" t="n">
        <v>6.164965972772762</v>
      </c>
      <c r="J22" s="87" t="n">
        <v>21.47</v>
      </c>
      <c r="K22" s="94" t="n">
        <v>60.4</v>
      </c>
      <c r="L22" s="18" t="n">
        <v>0</v>
      </c>
      <c r="M22" s="24" t="n">
        <v>33.2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76" t="inlineStr">
        <is>
          <t>FULL</t>
        </is>
      </c>
    </row>
    <row r="23" ht="16" customHeight="1">
      <c r="A23" s="89" t="n">
        <v>19</v>
      </c>
      <c r="B23" s="90" t="inlineStr">
        <is>
          <t>UTI Arbitrage Fund - Regular Plan - Growth Option</t>
        </is>
      </c>
      <c r="C23" s="90" t="inlineStr">
        <is>
          <t>UTI Mutual Fund</t>
        </is>
      </c>
      <c r="D23" s="90" t="inlineStr">
        <is>
          <t>Arbitrage Fund</t>
        </is>
      </c>
      <c r="E23" s="92" t="n">
        <v>0.51</v>
      </c>
      <c r="F23" s="92" t="n">
        <v>1.37</v>
      </c>
      <c r="G23" s="92" t="n">
        <v>2.88</v>
      </c>
      <c r="H23" s="92" t="n">
        <v>5.98</v>
      </c>
      <c r="I23" s="92" t="n">
        <v>6.480045078878516</v>
      </c>
      <c r="J23" s="92" t="n">
        <v>22.32</v>
      </c>
      <c r="K23" s="94" t="n">
        <v>58.6</v>
      </c>
      <c r="L23" s="18" t="n">
        <v>0</v>
      </c>
      <c r="M23" s="24" t="n">
        <v>32.3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76" t="inlineStr">
        <is>
          <t>FULL</t>
        </is>
      </c>
    </row>
    <row r="24" ht="16" customHeight="1">
      <c r="A24" s="84" t="n">
        <v>20</v>
      </c>
      <c r="B24" s="85" t="inlineStr">
        <is>
          <t>Axis Arbitrage Fund - Regular Plan - Growth</t>
        </is>
      </c>
      <c r="C24" s="85" t="inlineStr">
        <is>
          <t>Axis Mutual Fund</t>
        </is>
      </c>
      <c r="D24" s="85" t="inlineStr">
        <is>
          <t>Arbitrage Fund</t>
        </is>
      </c>
      <c r="E24" s="87" t="n">
        <v>0.52</v>
      </c>
      <c r="F24" s="87" t="n">
        <v>1.36</v>
      </c>
      <c r="G24" s="87" t="n">
        <v>2.87</v>
      </c>
      <c r="H24" s="87" t="n">
        <v>5.88</v>
      </c>
      <c r="I24" s="87" t="n">
        <v>6.30616162763098</v>
      </c>
      <c r="J24" s="87" t="n">
        <v>21.77</v>
      </c>
      <c r="K24" s="94" t="n">
        <v>51.4</v>
      </c>
      <c r="L24" s="18" t="n">
        <v>0</v>
      </c>
      <c r="M24" s="24" t="n">
        <v>28.2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76" t="inlineStr">
        <is>
          <t>FULL</t>
        </is>
      </c>
    </row>
    <row r="25" ht="16" customHeight="1">
      <c r="A25" s="89" t="n">
        <v>21</v>
      </c>
      <c r="B25" s="90" t="inlineStr">
        <is>
          <t>Tata Arbitrage Fund-Regular Plan-Growth</t>
        </is>
      </c>
      <c r="C25" s="90" t="inlineStr">
        <is>
          <t>Tata Mutual Fund</t>
        </is>
      </c>
      <c r="D25" s="90" t="inlineStr">
        <is>
          <t>Arbitrage Fund</t>
        </is>
      </c>
      <c r="E25" s="92" t="n">
        <v>0.51</v>
      </c>
      <c r="F25" s="92" t="n">
        <v>1.37</v>
      </c>
      <c r="G25" s="92" t="n">
        <v>2.87</v>
      </c>
      <c r="H25" s="92" t="n">
        <v>5.93</v>
      </c>
      <c r="I25" s="92" t="n">
        <v>6.362587407415021</v>
      </c>
      <c r="J25" s="92" t="n">
        <v>21.82</v>
      </c>
      <c r="K25" s="95" t="n">
        <v>49.2</v>
      </c>
      <c r="L25" s="18" t="n">
        <v>0</v>
      </c>
      <c r="M25" s="24" t="n">
        <v>27.1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76" t="inlineStr">
        <is>
          <t>FULL</t>
        </is>
      </c>
    </row>
    <row r="26" ht="16" customHeight="1">
      <c r="A26" s="84" t="n">
        <v>21</v>
      </c>
      <c r="B26" s="85" t="inlineStr">
        <is>
          <t>TATA Arbitrage Fund Regular Plan - Monthly Payout of Income Distribution cum capital withdrawal option</t>
        </is>
      </c>
      <c r="C26" s="85" t="inlineStr">
        <is>
          <t>Tata Mutual Fund</t>
        </is>
      </c>
      <c r="D26" s="85" t="inlineStr">
        <is>
          <t>Arbitrage Fund</t>
        </is>
      </c>
      <c r="E26" s="87" t="n">
        <v>0.51</v>
      </c>
      <c r="F26" s="87" t="n">
        <v>1.37</v>
      </c>
      <c r="G26" s="87" t="n">
        <v>2.87</v>
      </c>
      <c r="H26" s="87" t="n">
        <v>5.93</v>
      </c>
      <c r="I26" s="87" t="n">
        <v>6.367288204597932</v>
      </c>
      <c r="J26" s="87" t="n">
        <v>21.83</v>
      </c>
      <c r="K26" s="95" t="n">
        <v>49.2</v>
      </c>
      <c r="L26" s="18" t="n">
        <v>0</v>
      </c>
      <c r="M26" s="24" t="n">
        <v>27.1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76" t="inlineStr">
        <is>
          <t>FULL</t>
        </is>
      </c>
    </row>
    <row r="27" ht="16" customHeight="1">
      <c r="A27" s="89" t="n">
        <v>21</v>
      </c>
      <c r="B27" s="90" t="inlineStr">
        <is>
          <t>TATA Arbitrage Fund Regular Plan - Monthly Reinvestment of Income Distribution cum capital withdrawal option</t>
        </is>
      </c>
      <c r="C27" s="90" t="inlineStr">
        <is>
          <t>Tata Mutual Fund</t>
        </is>
      </c>
      <c r="D27" s="90" t="inlineStr">
        <is>
          <t>Arbitrage Fund</t>
        </is>
      </c>
      <c r="E27" s="92" t="n">
        <v>0.51</v>
      </c>
      <c r="F27" s="92" t="n">
        <v>1.37</v>
      </c>
      <c r="G27" s="92" t="n">
        <v>2.87</v>
      </c>
      <c r="H27" s="92" t="n">
        <v>5.93</v>
      </c>
      <c r="I27" s="92" t="n">
        <v>6.367288204597932</v>
      </c>
      <c r="J27" s="92" t="n">
        <v>21.83</v>
      </c>
      <c r="K27" s="95" t="n">
        <v>49.2</v>
      </c>
      <c r="L27" s="18" t="n">
        <v>0</v>
      </c>
      <c r="M27" s="24" t="n">
        <v>27.1</v>
      </c>
      <c r="N27" s="93" t="inlineStr">
        <is>
          <t>➡️ Neutral</t>
        </is>
      </c>
      <c r="O27" s="93" t="inlineStr">
        <is>
          <t>🔴 Not Qualified</t>
        </is>
      </c>
      <c r="P27" s="93" t="inlineStr">
        <is>
          <t>🔴 Avoid</t>
        </is>
      </c>
      <c r="Q27" s="76" t="inlineStr">
        <is>
          <t>FULL</t>
        </is>
      </c>
    </row>
    <row r="28" ht="16" customHeight="1">
      <c r="A28" s="26" t="n">
        <v>24</v>
      </c>
      <c r="B28" s="27" t="inlineStr">
        <is>
          <t>Motilal Oswal Arbitrage Fund-Regular Plan-Growth</t>
        </is>
      </c>
      <c r="C28" s="27" t="inlineStr">
        <is>
          <t>Motilal Oswal Mutual Fund</t>
        </is>
      </c>
      <c r="D28" s="27" t="inlineStr">
        <is>
          <t>Arbitrage Fund</t>
        </is>
      </c>
      <c r="E28" s="29" t="n">
        <v>0.49</v>
      </c>
      <c r="F28" s="29" t="n">
        <v>1.33</v>
      </c>
      <c r="G28" s="29" t="n">
        <v>2.84</v>
      </c>
      <c r="H28" s="29" t="n">
        <v>6.03</v>
      </c>
      <c r="I28" s="29" t="n">
        <v>0</v>
      </c>
      <c r="J28" s="29" t="n">
        <v>0</v>
      </c>
      <c r="K28" s="95" t="n">
        <v>48.9</v>
      </c>
      <c r="L28" s="18" t="n">
        <v>0</v>
      </c>
      <c r="M28" s="24" t="n">
        <v>26.9</v>
      </c>
      <c r="N28" s="101" t="inlineStr">
        <is>
          <t>➡️ Neutral</t>
        </is>
      </c>
      <c r="O28" s="101" t="inlineStr">
        <is>
          <t>⏳ New Fund</t>
        </is>
      </c>
      <c r="P28" s="101" t="inlineStr">
        <is>
          <t>⏳ New Fund</t>
        </is>
      </c>
      <c r="Q28" s="102" t="inlineStr">
        <is>
          <t>MOMENTUM_ONLY</t>
        </is>
      </c>
    </row>
    <row r="29" ht="16" customHeight="1">
      <c r="A29" s="26" t="n">
        <v>25</v>
      </c>
      <c r="B29" s="27" t="inlineStr">
        <is>
          <t>Bajaj Finserv Arbitrage Fund- Regular Plan-Growth</t>
        </is>
      </c>
      <c r="C29" s="27" t="inlineStr">
        <is>
          <t>Bajaj Finserv Mutual Fund</t>
        </is>
      </c>
      <c r="D29" s="27" t="inlineStr">
        <is>
          <t>Arbitrage Fund</t>
        </is>
      </c>
      <c r="E29" s="29" t="n">
        <v>0.51</v>
      </c>
      <c r="F29" s="29" t="n">
        <v>1.35</v>
      </c>
      <c r="G29" s="29" t="n">
        <v>2.86</v>
      </c>
      <c r="H29" s="29" t="n">
        <v>5.8</v>
      </c>
      <c r="I29" s="29" t="n">
        <v>6.028298109514152</v>
      </c>
      <c r="J29" s="29" t="n">
        <v>0</v>
      </c>
      <c r="K29" s="95" t="n">
        <v>43.2</v>
      </c>
      <c r="L29" s="18" t="n">
        <v>0</v>
      </c>
      <c r="M29" s="24" t="n">
        <v>23.8</v>
      </c>
      <c r="N29" s="101" t="inlineStr">
        <is>
          <t>➡️ Neutral</t>
        </is>
      </c>
      <c r="O29" s="101" t="inlineStr">
        <is>
          <t>⏳ New Fund</t>
        </is>
      </c>
      <c r="P29" s="101" t="inlineStr">
        <is>
          <t>⏳ New Fund</t>
        </is>
      </c>
      <c r="Q29" s="102" t="inlineStr">
        <is>
          <t>MOMENTUM_ONLY</t>
        </is>
      </c>
    </row>
    <row r="30" ht="16" customHeight="1">
      <c r="A30" s="26" t="n">
        <v>26</v>
      </c>
      <c r="B30" s="27" t="inlineStr">
        <is>
          <t>THE WEALTH COMPANY ARBITRAGE FUND REGULAR GROWTH</t>
        </is>
      </c>
      <c r="C30" s="27" t="inlineStr">
        <is>
          <t>The Wealth Company Mutual Fund</t>
        </is>
      </c>
      <c r="D30" s="27" t="inlineStr">
        <is>
          <t>Arbitrage Fund</t>
        </is>
      </c>
      <c r="E30" s="29" t="n">
        <v>0.53</v>
      </c>
      <c r="F30" s="29" t="n">
        <v>1.37</v>
      </c>
      <c r="G30" s="29" t="n">
        <v>2.83</v>
      </c>
      <c r="H30" s="29" t="n">
        <v>0</v>
      </c>
      <c r="I30" s="29" t="n">
        <v>0</v>
      </c>
      <c r="J30" s="29" t="n">
        <v>0</v>
      </c>
      <c r="K30" s="95" t="n">
        <v>40.7</v>
      </c>
      <c r="L30" s="18" t="n">
        <v>0</v>
      </c>
      <c r="M30" s="24" t="n">
        <v>22.4</v>
      </c>
      <c r="N30" s="101" t="inlineStr">
        <is>
          <t>➡️ Neutral</t>
        </is>
      </c>
      <c r="O30" s="101" t="inlineStr">
        <is>
          <t>⏳ New Fund</t>
        </is>
      </c>
      <c r="P30" s="101" t="inlineStr">
        <is>
          <t>⏳ New Fund</t>
        </is>
      </c>
      <c r="Q30" s="102" t="inlineStr">
        <is>
          <t>MOMENTUM_ONLY</t>
        </is>
      </c>
    </row>
    <row r="31" ht="16" customHeight="1">
      <c r="A31" s="89" t="n">
        <v>27</v>
      </c>
      <c r="B31" s="90" t="inlineStr">
        <is>
          <t>DSP Arbitrage Fund - Regular - Growth</t>
        </is>
      </c>
      <c r="C31" s="90" t="inlineStr">
        <is>
          <t>DSP Mutual Fund</t>
        </is>
      </c>
      <c r="D31" s="90" t="inlineStr">
        <is>
          <t>Arbitrage Fund</t>
        </is>
      </c>
      <c r="E31" s="92" t="n">
        <v>0.5</v>
      </c>
      <c r="F31" s="92" t="n">
        <v>1.33</v>
      </c>
      <c r="G31" s="92" t="n">
        <v>2.81</v>
      </c>
      <c r="H31" s="92" t="n">
        <v>5.78</v>
      </c>
      <c r="I31" s="92" t="n">
        <v>6.212052046836947</v>
      </c>
      <c r="J31" s="92" t="n">
        <v>21.38</v>
      </c>
      <c r="K31" s="95" t="n">
        <v>35.7</v>
      </c>
      <c r="L31" s="18" t="n">
        <v>0</v>
      </c>
      <c r="M31" s="24" t="n">
        <v>19.6</v>
      </c>
      <c r="N31" s="93" t="inlineStr">
        <is>
          <t>📉 Weak</t>
        </is>
      </c>
      <c r="O31" s="93" t="inlineStr">
        <is>
          <t>🔴 Not Qualified</t>
        </is>
      </c>
      <c r="P31" s="93" t="inlineStr">
        <is>
          <t>🔴 Avoid</t>
        </is>
      </c>
      <c r="Q31" s="76" t="inlineStr">
        <is>
          <t>FULL</t>
        </is>
      </c>
    </row>
    <row r="32" ht="16" customHeight="1">
      <c r="A32" s="84" t="n">
        <v>28</v>
      </c>
      <c r="B32" s="85" t="inlineStr">
        <is>
          <t>BANDHAN Arbitrage Fund - Regular Plan - Growth</t>
        </is>
      </c>
      <c r="C32" s="85" t="inlineStr">
        <is>
          <t>Bandhan Mutual Fund</t>
        </is>
      </c>
      <c r="D32" s="85" t="inlineStr">
        <is>
          <t>Arbitrage Fund</t>
        </is>
      </c>
      <c r="E32" s="87" t="n">
        <v>0.51</v>
      </c>
      <c r="F32" s="87" t="n">
        <v>1.33</v>
      </c>
      <c r="G32" s="87" t="n">
        <v>2.77</v>
      </c>
      <c r="H32" s="87" t="n">
        <v>5.63</v>
      </c>
      <c r="I32" s="87" t="n">
        <v>6.197928416706877</v>
      </c>
      <c r="J32" s="87" t="n">
        <v>21.48</v>
      </c>
      <c r="K32" s="95" t="n">
        <v>34.9</v>
      </c>
      <c r="L32" s="18" t="n">
        <v>0</v>
      </c>
      <c r="M32" s="24" t="n">
        <v>19.2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76" t="inlineStr">
        <is>
          <t>FULL</t>
        </is>
      </c>
    </row>
    <row r="33" ht="16" customHeight="1">
      <c r="A33" s="26" t="n">
        <v>29</v>
      </c>
      <c r="B33" s="27" t="inlineStr">
        <is>
          <t>Old Bridge Arbitrage Fund Regular Growth</t>
        </is>
      </c>
      <c r="C33" s="27" t="inlineStr">
        <is>
          <t>Old Bridge Mutual Fund</t>
        </is>
      </c>
      <c r="D33" s="27" t="inlineStr">
        <is>
          <t>Arbitrage Fund</t>
        </is>
      </c>
      <c r="E33" s="29" t="n">
        <v>0.52</v>
      </c>
      <c r="F33" s="29" t="n">
        <v>1.32</v>
      </c>
      <c r="G33" s="29" t="n">
        <v>2.68</v>
      </c>
      <c r="H33" s="29" t="n">
        <v>0</v>
      </c>
      <c r="I33" s="29" t="n">
        <v>0</v>
      </c>
      <c r="J33" s="29" t="n">
        <v>0</v>
      </c>
      <c r="K33" s="95" t="n">
        <v>29.1</v>
      </c>
      <c r="L33" s="18" t="n">
        <v>0</v>
      </c>
      <c r="M33" s="24" t="n">
        <v>16</v>
      </c>
      <c r="N33" s="101" t="inlineStr">
        <is>
          <t>📉 Weak</t>
        </is>
      </c>
      <c r="O33" s="101" t="inlineStr">
        <is>
          <t>⏳ New Fund</t>
        </is>
      </c>
      <c r="P33" s="101" t="inlineStr">
        <is>
          <t>⏳ New Fund</t>
        </is>
      </c>
      <c r="Q33" s="102" t="inlineStr">
        <is>
          <t>MOMENTUM_ONLY</t>
        </is>
      </c>
    </row>
    <row r="34" ht="16" customHeight="1">
      <c r="A34" s="84" t="n">
        <v>30</v>
      </c>
      <c r="B34" s="85" t="inlineStr">
        <is>
          <t>JM Arbitrage Fund (Regular) - Growth Option</t>
        </is>
      </c>
      <c r="C34" s="85" t="inlineStr">
        <is>
          <t>JM Financial Mutual Fund</t>
        </is>
      </c>
      <c r="D34" s="85" t="inlineStr">
        <is>
          <t>Arbitrage Fund</t>
        </is>
      </c>
      <c r="E34" s="87" t="n">
        <v>0.49</v>
      </c>
      <c r="F34" s="87" t="n">
        <v>1.3</v>
      </c>
      <c r="G34" s="87" t="n">
        <v>2.69</v>
      </c>
      <c r="H34" s="87" t="n">
        <v>5.61</v>
      </c>
      <c r="I34" s="87" t="n">
        <v>5.910339438602485</v>
      </c>
      <c r="J34" s="87" t="n">
        <v>20.43</v>
      </c>
      <c r="K34" s="95" t="n">
        <v>27.6</v>
      </c>
      <c r="L34" s="18" t="n">
        <v>0</v>
      </c>
      <c r="M34" s="24" t="n">
        <v>15.2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76" t="inlineStr">
        <is>
          <t>FULL</t>
        </is>
      </c>
    </row>
    <row r="35" ht="16" customHeight="1">
      <c r="A35" s="89" t="n">
        <v>31</v>
      </c>
      <c r="B35" s="90" t="inlineStr">
        <is>
          <t>NJ Arbitrage Fund - Regular Plan - Growth Option</t>
        </is>
      </c>
      <c r="C35" s="90" t="inlineStr">
        <is>
          <t>NJ Mutual Fund</t>
        </is>
      </c>
      <c r="D35" s="90" t="inlineStr">
        <is>
          <t>Arbitrage Fund</t>
        </is>
      </c>
      <c r="E35" s="92" t="n">
        <v>0.47</v>
      </c>
      <c r="F35" s="92" t="n">
        <v>1.29</v>
      </c>
      <c r="G35" s="92" t="n">
        <v>2.68</v>
      </c>
      <c r="H35" s="92" t="n">
        <v>5.5</v>
      </c>
      <c r="I35" s="92" t="n">
        <v>5.688220724922788</v>
      </c>
      <c r="J35" s="92" t="n">
        <v>19.85</v>
      </c>
      <c r="K35" s="95" t="n">
        <v>22</v>
      </c>
      <c r="L35" s="18" t="n">
        <v>0</v>
      </c>
      <c r="M35" s="24" t="n">
        <v>12.1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76" t="inlineStr">
        <is>
          <t>FULL</t>
        </is>
      </c>
    </row>
    <row r="36" ht="16" customHeight="1">
      <c r="A36" s="84" t="n">
        <v>32</v>
      </c>
      <c r="B36" s="85" t="inlineStr">
        <is>
          <t>ITI Arbitrage Fund - Regular Plan - Growth Option</t>
        </is>
      </c>
      <c r="C36" s="85" t="inlineStr">
        <is>
          <t>ITI Mutual Fund</t>
        </is>
      </c>
      <c r="D36" s="85" t="inlineStr">
        <is>
          <t>Arbitrage Fund</t>
        </is>
      </c>
      <c r="E36" s="87" t="n">
        <v>0.46</v>
      </c>
      <c r="F36" s="87" t="n">
        <v>1.1</v>
      </c>
      <c r="G36" s="87" t="n">
        <v>2.62</v>
      </c>
      <c r="H36" s="87" t="n">
        <v>5.78</v>
      </c>
      <c r="I36" s="87" t="n">
        <v>6.240293674292907</v>
      </c>
      <c r="J36" s="87" t="n">
        <v>21.31</v>
      </c>
      <c r="K36" s="95" t="n">
        <v>20</v>
      </c>
      <c r="L36" s="18" t="n">
        <v>0</v>
      </c>
      <c r="M36" s="24" t="n">
        <v>11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76" t="inlineStr">
        <is>
          <t>FULL</t>
        </is>
      </c>
    </row>
    <row r="37" ht="16" customHeight="1">
      <c r="A37" s="89" t="n">
        <v>33</v>
      </c>
      <c r="B37" s="90" t="inlineStr">
        <is>
          <t>BARODA BNP PARIBAS ARBITRAGE FUND- REGULAR PLAN- GROWTH OPTION</t>
        </is>
      </c>
      <c r="C37" s="90" t="inlineStr">
        <is>
          <t>Baroda BNP Paribas Mutual Fund</t>
        </is>
      </c>
      <c r="D37" s="90" t="inlineStr">
        <is>
          <t>Arbitrage Fund</t>
        </is>
      </c>
      <c r="E37" s="92" t="n">
        <v>0.44</v>
      </c>
      <c r="F37" s="92" t="n">
        <v>1.27</v>
      </c>
      <c r="G37" s="92" t="n">
        <v>2.64</v>
      </c>
      <c r="H37" s="92" t="n">
        <v>5.54</v>
      </c>
      <c r="I37" s="92" t="n">
        <v>6.028298109514152</v>
      </c>
      <c r="J37" s="92" t="n">
        <v>21.19</v>
      </c>
      <c r="K37" s="95" t="n">
        <v>19.2</v>
      </c>
      <c r="L37" s="18" t="n">
        <v>0</v>
      </c>
      <c r="M37" s="24" t="n">
        <v>10.6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76" t="inlineStr">
        <is>
          <t>FULL</t>
        </is>
      </c>
    </row>
    <row r="38" ht="16" customHeight="1">
      <c r="A38" s="26" t="n">
        <v>34</v>
      </c>
      <c r="B38" s="27" t="inlineStr">
        <is>
          <t>TRUSTMF ARBITRAGE FUND -REGULAR PLAN-GROWTH</t>
        </is>
      </c>
      <c r="C38" s="27" t="inlineStr">
        <is>
          <t>Trust Mutual Fund</t>
        </is>
      </c>
      <c r="D38" s="27" t="inlineStr">
        <is>
          <t>Arbitrage Fund</t>
        </is>
      </c>
      <c r="E38" s="29" t="n">
        <v>0.48</v>
      </c>
      <c r="F38" s="29" t="n">
        <v>1.3</v>
      </c>
      <c r="G38" s="29" t="n">
        <v>2.65</v>
      </c>
      <c r="H38" s="29" t="n">
        <v>0</v>
      </c>
      <c r="I38" s="29" t="n">
        <v>0</v>
      </c>
      <c r="J38" s="29" t="n">
        <v>0</v>
      </c>
      <c r="K38" s="95" t="n">
        <v>18.4</v>
      </c>
      <c r="L38" s="18" t="n">
        <v>0</v>
      </c>
      <c r="M38" s="24" t="n">
        <v>10.1</v>
      </c>
      <c r="N38" s="101" t="inlineStr">
        <is>
          <t>📉 Weak</t>
        </is>
      </c>
      <c r="O38" s="101" t="inlineStr">
        <is>
          <t>⏳ New Fund</t>
        </is>
      </c>
      <c r="P38" s="101" t="inlineStr">
        <is>
          <t>⏳ New Fund</t>
        </is>
      </c>
      <c r="Q38" s="102" t="inlineStr">
        <is>
          <t>MOMENTUM_ONLY</t>
        </is>
      </c>
    </row>
    <row r="39" ht="16" customHeight="1">
      <c r="A39" s="89" t="n">
        <v>35</v>
      </c>
      <c r="B39" s="90" t="inlineStr">
        <is>
          <t>Mahindra Manulife Arbitrage Fund - Regular Plan - Growth</t>
        </is>
      </c>
      <c r="C39" s="90" t="inlineStr">
        <is>
          <t>Mahindra Manulife Mutual Fund</t>
        </is>
      </c>
      <c r="D39" s="90" t="inlineStr">
        <is>
          <t>Arbitrage Fund</t>
        </is>
      </c>
      <c r="E39" s="92" t="n">
        <v>0.43</v>
      </c>
      <c r="F39" s="92" t="n">
        <v>1.23</v>
      </c>
      <c r="G39" s="92" t="n">
        <v>2.62</v>
      </c>
      <c r="H39" s="92" t="n">
        <v>5.39</v>
      </c>
      <c r="I39" s="92" t="n">
        <v>5.380263806843844</v>
      </c>
      <c r="J39" s="92" t="n">
        <v>18.08</v>
      </c>
      <c r="K39" s="95" t="n">
        <v>14.3</v>
      </c>
      <c r="L39" s="18" t="n">
        <v>0</v>
      </c>
      <c r="M39" s="24" t="n">
        <v>7.9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76" t="inlineStr">
        <is>
          <t>FULL</t>
        </is>
      </c>
    </row>
    <row r="40" ht="16" customHeight="1">
      <c r="A40" s="84" t="n">
        <v>36</v>
      </c>
      <c r="B40" s="85" t="inlineStr">
        <is>
          <t>BANK OF INDIA Arbitrage Fund Regular Growth</t>
        </is>
      </c>
      <c r="C40" s="85" t="inlineStr">
        <is>
          <t>Bank of India Mutual Fund</t>
        </is>
      </c>
      <c r="D40" s="85" t="inlineStr">
        <is>
          <t>Arbitrage Fund</t>
        </is>
      </c>
      <c r="E40" s="87" t="n">
        <v>0.39</v>
      </c>
      <c r="F40" s="87" t="n">
        <v>1.18</v>
      </c>
      <c r="G40" s="87" t="n">
        <v>2.58</v>
      </c>
      <c r="H40" s="87" t="n">
        <v>5.47</v>
      </c>
      <c r="I40" s="87" t="n">
        <v>5.910339438602485</v>
      </c>
      <c r="J40" s="87" t="n">
        <v>19.95</v>
      </c>
      <c r="K40" s="95" t="n">
        <v>13</v>
      </c>
      <c r="L40" s="18" t="n">
        <v>0</v>
      </c>
      <c r="M40" s="24" t="n">
        <v>7.1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76" t="inlineStr">
        <is>
          <t>FULL</t>
        </is>
      </c>
    </row>
    <row r="41" ht="16" customHeight="1">
      <c r="A41" s="89" t="n">
        <v>37</v>
      </c>
      <c r="B41" s="90" t="inlineStr">
        <is>
          <t>Sundaram Arbitrage Fund (Formerly Known as Principal Arbitrage Fund)- Regular Plan - Monthly Income Distribution CUM Capital Withdrawal</t>
        </is>
      </c>
      <c r="C41" s="90" t="inlineStr">
        <is>
          <t>Sundaram Mutual Fund</t>
        </is>
      </c>
      <c r="D41" s="90" t="inlineStr">
        <is>
          <t>Arbitrage Fund</t>
        </is>
      </c>
      <c r="E41" s="92" t="n">
        <v>0.51</v>
      </c>
      <c r="F41" s="91" t="n">
        <v>-4.62</v>
      </c>
      <c r="G41" s="91" t="n">
        <v>-3.14</v>
      </c>
      <c r="H41" s="91" t="n">
        <v>-0.39</v>
      </c>
      <c r="I41" s="92" t="n">
        <v>3.004854254544709</v>
      </c>
      <c r="J41" s="92" t="n">
        <v>13.89</v>
      </c>
      <c r="K41" s="95" t="n">
        <v>10.6</v>
      </c>
      <c r="L41" s="18" t="n">
        <v>0</v>
      </c>
      <c r="M41" s="24" t="n">
        <v>5.8</v>
      </c>
      <c r="N41" s="93" t="inlineStr">
        <is>
          <t>📉 Weak</t>
        </is>
      </c>
      <c r="O41" s="93" t="inlineStr">
        <is>
          <t>🔴 Not Qualified</t>
        </is>
      </c>
      <c r="P41" s="93" t="inlineStr">
        <is>
          <t>🔴 Avoid</t>
        </is>
      </c>
      <c r="Q41" s="76" t="inlineStr">
        <is>
          <t>FULL</t>
        </is>
      </c>
    </row>
    <row r="42" ht="16" customHeight="1">
      <c r="A42" s="26" t="n">
        <v>38</v>
      </c>
      <c r="B42" s="27" t="inlineStr">
        <is>
          <t>Samco Arbitrage Fund - Regular Plan - Growth</t>
        </is>
      </c>
      <c r="C42" s="27" t="inlineStr">
        <is>
          <t>Samco Mutual Fund</t>
        </is>
      </c>
      <c r="D42" s="27" t="inlineStr">
        <is>
          <t>Arbitrage Fund</t>
        </is>
      </c>
      <c r="E42" s="29" t="n">
        <v>0.28</v>
      </c>
      <c r="F42" s="29" t="n">
        <v>0.85</v>
      </c>
      <c r="G42" s="29" t="n">
        <v>1.81</v>
      </c>
      <c r="H42" s="29" t="n">
        <v>3.79</v>
      </c>
      <c r="I42" s="29" t="n">
        <v>0</v>
      </c>
      <c r="J42" s="29" t="n">
        <v>0</v>
      </c>
      <c r="K42" s="95" t="n">
        <v>9.1</v>
      </c>
      <c r="L42" s="18" t="n">
        <v>0</v>
      </c>
      <c r="M42" s="24" t="n">
        <v>5</v>
      </c>
      <c r="N42" s="101" t="inlineStr">
        <is>
          <t>📉 Weak</t>
        </is>
      </c>
      <c r="O42" s="101" t="inlineStr">
        <is>
          <t>⏳ New Fund</t>
        </is>
      </c>
      <c r="P42" s="101" t="inlineStr">
        <is>
          <t>⏳ New Fund</t>
        </is>
      </c>
      <c r="Q42" s="102" t="inlineStr">
        <is>
          <t>MOMENTUM_ONLY</t>
        </is>
      </c>
    </row>
    <row r="43" ht="16" customHeight="1">
      <c r="A43" s="96" t="n">
        <v>0</v>
      </c>
      <c r="B43" s="97" t="inlineStr">
        <is>
          <t>Capitalmind Arbitrage Fund-regular-Growth</t>
        </is>
      </c>
      <c r="C43" s="97" t="inlineStr">
        <is>
          <t>Capitalmind Mutual Fund</t>
        </is>
      </c>
      <c r="D43" s="97" t="inlineStr">
        <is>
          <t>Arbitrage Fund</t>
        </is>
      </c>
      <c r="E43" s="98" t="n">
        <v>0.3</v>
      </c>
      <c r="F43" s="98" t="n">
        <v>1.2</v>
      </c>
      <c r="G43" s="98" t="n">
        <v>0</v>
      </c>
      <c r="H43" s="98" t="n">
        <v>0</v>
      </c>
      <c r="I43" s="98" t="n">
        <v>0</v>
      </c>
      <c r="J43" s="98" t="n">
        <v>0</v>
      </c>
      <c r="K43" s="95" t="n">
        <v>0</v>
      </c>
      <c r="L43" s="18" t="n">
        <v>0</v>
      </c>
      <c r="M43" s="24" t="n">
        <v>0</v>
      </c>
      <c r="N43" s="99" t="inlineStr">
        <is>
          <t>❌ N/A</t>
        </is>
      </c>
      <c r="O43" s="99" t="inlineStr">
        <is>
          <t>❌ N/A</t>
        </is>
      </c>
      <c r="P43" s="99" t="inlineStr">
        <is>
          <t>❌ Missing Data</t>
        </is>
      </c>
      <c r="Q43" s="100" t="inlineStr">
        <is>
          <t>MISSING</t>
        </is>
      </c>
    </row>
    <row r="44" ht="16" customHeight="1">
      <c r="A44" s="96" t="n">
        <v>0</v>
      </c>
      <c r="B44" s="97" t="inlineStr">
        <is>
          <t>Groww Arbitrage Fund Regular Growth</t>
        </is>
      </c>
      <c r="C44" s="97" t="inlineStr">
        <is>
          <t>Groww Mutual Fund</t>
        </is>
      </c>
      <c r="D44" s="97" t="inlineStr">
        <is>
          <t>Arbitrage Fund</t>
        </is>
      </c>
      <c r="E44" s="98" t="n">
        <v>0.49</v>
      </c>
      <c r="F44" s="98" t="n">
        <v>0</v>
      </c>
      <c r="G44" s="98" t="n">
        <v>0</v>
      </c>
      <c r="H44" s="98" t="n">
        <v>0</v>
      </c>
      <c r="I44" s="98" t="n">
        <v>0</v>
      </c>
      <c r="J44" s="98" t="n">
        <v>0</v>
      </c>
      <c r="K44" s="95" t="n">
        <v>0</v>
      </c>
      <c r="L44" s="18" t="n">
        <v>0</v>
      </c>
      <c r="M44" s="24" t="n">
        <v>0</v>
      </c>
      <c r="N44" s="99" t="inlineStr">
        <is>
          <t>❌ N/A</t>
        </is>
      </c>
      <c r="O44" s="99" t="inlineStr">
        <is>
          <t>❌ N/A</t>
        </is>
      </c>
      <c r="P44" s="99" t="inlineStr">
        <is>
          <t>❌ Missing Data</t>
        </is>
      </c>
      <c r="Q44" s="100" t="inlineStr">
        <is>
          <t>MISSING</t>
        </is>
      </c>
    </row>
    <row r="45" ht="16" customHeight="1">
      <c r="A45" s="96" t="n">
        <v>0</v>
      </c>
      <c r="B45" s="97" t="inlineStr">
        <is>
          <t>Helios Arbitrage Fund - Regular Growth</t>
        </is>
      </c>
      <c r="C45" s="97" t="inlineStr">
        <is>
          <t>Helios Mutual Fund</t>
        </is>
      </c>
      <c r="D45" s="97" t="inlineStr">
        <is>
          <t>Arbitrage Fund</t>
        </is>
      </c>
      <c r="E45" s="98" t="n">
        <v>0.39</v>
      </c>
      <c r="F45" s="98" t="n">
        <v>1.19</v>
      </c>
      <c r="G45" s="98" t="n">
        <v>0</v>
      </c>
      <c r="H45" s="98" t="n">
        <v>0</v>
      </c>
      <c r="I45" s="98" t="n">
        <v>0</v>
      </c>
      <c r="J45" s="98" t="n">
        <v>0</v>
      </c>
      <c r="K45" s="95" t="n">
        <v>0</v>
      </c>
      <c r="L45" s="18" t="n">
        <v>0</v>
      </c>
      <c r="M45" s="24" t="n">
        <v>0</v>
      </c>
      <c r="N45" s="99" t="inlineStr">
        <is>
          <t>❌ N/A</t>
        </is>
      </c>
      <c r="O45" s="99" t="inlineStr">
        <is>
          <t>❌ N/A</t>
        </is>
      </c>
      <c r="P45" s="99" t="inlineStr">
        <is>
          <t>❌ Missing Data</t>
        </is>
      </c>
      <c r="Q45" s="100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7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6" t="n">
        <v>1</v>
      </c>
      <c r="B5" s="27" t="inlineStr">
        <is>
          <t>360 ONE Balanced Hybrid Fund - Regular Plan - Growth</t>
        </is>
      </c>
      <c r="C5" s="27" t="inlineStr">
        <is>
          <t>360 ONE Mutual Fund</t>
        </is>
      </c>
      <c r="D5" s="27" t="inlineStr">
        <is>
          <t>Balanced Hybrid Fund</t>
        </is>
      </c>
      <c r="E5" s="28" t="n">
        <v>-0.18</v>
      </c>
      <c r="F5" s="29" t="n">
        <v>3.67</v>
      </c>
      <c r="G5" s="29" t="n">
        <v>5.25</v>
      </c>
      <c r="H5" s="29" t="n">
        <v>2.52</v>
      </c>
      <c r="I5" s="29" t="n">
        <v>3.846039885977359</v>
      </c>
      <c r="J5" s="29" t="n">
        <v>0</v>
      </c>
      <c r="K5" s="17" t="n">
        <v>80</v>
      </c>
      <c r="L5" s="18" t="n">
        <v>0</v>
      </c>
      <c r="M5" s="24" t="n">
        <v>44</v>
      </c>
      <c r="N5" s="101" t="inlineStr">
        <is>
          <t>⭐ Strong</t>
        </is>
      </c>
      <c r="O5" s="101" t="inlineStr">
        <is>
          <t>⏳ New Fund</t>
        </is>
      </c>
      <c r="P5" s="101" t="inlineStr">
        <is>
          <t>🔥 Hot Momentum</t>
        </is>
      </c>
      <c r="Q5" s="102" t="inlineStr">
        <is>
          <t>MOMENTUM_ONLY</t>
        </is>
      </c>
    </row>
    <row r="6" ht="16" customHeight="1">
      <c r="A6" s="26" t="n">
        <v>2</v>
      </c>
      <c r="B6" s="27" t="inlineStr">
        <is>
          <t>WhiteOak Capital Balanced Hybrid Fund Regular Plan Growth</t>
        </is>
      </c>
      <c r="C6" s="27" t="inlineStr">
        <is>
          <t>WhiteOak Capital Mutual Fund</t>
        </is>
      </c>
      <c r="D6" s="27" t="inlineStr">
        <is>
          <t>Balanced Hybrid Fund</t>
        </is>
      </c>
      <c r="E6" s="29" t="n">
        <v>0.43</v>
      </c>
      <c r="F6" s="29" t="n">
        <v>2.27</v>
      </c>
      <c r="G6" s="29" t="n">
        <v>1.96</v>
      </c>
      <c r="H6" s="29" t="n">
        <v>1.86</v>
      </c>
      <c r="I6" s="29" t="n">
        <v>4.575331699210961</v>
      </c>
      <c r="J6" s="29" t="n">
        <v>0</v>
      </c>
      <c r="K6" s="95" t="n">
        <v>27.5</v>
      </c>
      <c r="L6" s="18" t="n">
        <v>0</v>
      </c>
      <c r="M6" s="24" t="n">
        <v>15.1</v>
      </c>
      <c r="N6" s="101" t="inlineStr">
        <is>
          <t>📉 Weak</t>
        </is>
      </c>
      <c r="O6" s="101" t="inlineStr">
        <is>
          <t>⏳ New Fund</t>
        </is>
      </c>
      <c r="P6" s="101" t="inlineStr">
        <is>
          <t>⏳ New Fund</t>
        </is>
      </c>
      <c r="Q6" s="102" t="inlineStr">
        <is>
          <t>MOMENTUM_ONLY</t>
        </is>
      </c>
    </row>
    <row r="7" ht="16" customHeight="1">
      <c r="A7" s="96" t="n">
        <v>0</v>
      </c>
      <c r="B7" s="97" t="inlineStr">
        <is>
          <t>ICICI Prudential Balanced Hybrid Fund - Growth</t>
        </is>
      </c>
      <c r="C7" s="97" t="inlineStr">
        <is>
          <t>ICICI Prudential Mutual Fund</t>
        </is>
      </c>
      <c r="D7" s="97" t="inlineStr">
        <is>
          <t>Balanced Hybrid Fund</t>
        </is>
      </c>
      <c r="E7" s="98" t="n">
        <v>0</v>
      </c>
      <c r="F7" s="98" t="n">
        <v>0</v>
      </c>
      <c r="G7" s="98" t="n">
        <v>0</v>
      </c>
      <c r="H7" s="98" t="n">
        <v>0</v>
      </c>
      <c r="I7" s="98" t="n">
        <v>0</v>
      </c>
      <c r="J7" s="98" t="n">
        <v>0</v>
      </c>
      <c r="K7" s="95" t="n">
        <v>0</v>
      </c>
      <c r="L7" s="18" t="n">
        <v>0</v>
      </c>
      <c r="M7" s="24" t="n">
        <v>0</v>
      </c>
      <c r="N7" s="99" t="inlineStr">
        <is>
          <t>❌ N/A</t>
        </is>
      </c>
      <c r="O7" s="99" t="inlineStr">
        <is>
          <t>❌ N/A</t>
        </is>
      </c>
      <c r="P7" s="99" t="inlineStr">
        <is>
          <t>❌ Missing Data</t>
        </is>
      </c>
      <c r="Q7" s="100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7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2" t="n">
        <v>1</v>
      </c>
      <c r="B5" s="73" t="inlineStr">
        <is>
          <t>Aditya Birla Sun Life Regular Savings Fund - Growth / Payment - Direct Plan</t>
        </is>
      </c>
      <c r="C5" s="73" t="inlineStr">
        <is>
          <t>Aditya Birla Sun Life Mutual Fund</t>
        </is>
      </c>
      <c r="D5" s="73" t="inlineStr">
        <is>
          <t>Conservative Hybrid Fund</t>
        </is>
      </c>
      <c r="E5" s="75" t="n">
        <v>0.59</v>
      </c>
      <c r="F5" s="75" t="n">
        <v>2.17</v>
      </c>
      <c r="G5" s="75" t="n">
        <v>3.24</v>
      </c>
      <c r="H5" s="75" t="n">
        <v>4.98</v>
      </c>
      <c r="I5" s="75" t="n">
        <v>7.461621056077505</v>
      </c>
      <c r="J5" s="75" t="n">
        <v>29.74</v>
      </c>
      <c r="K5" s="17" t="n">
        <v>96.2</v>
      </c>
      <c r="L5" s="18" t="n">
        <v>0</v>
      </c>
      <c r="M5" s="19" t="n">
        <v>52.9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6" t="inlineStr">
        <is>
          <t>FULL</t>
        </is>
      </c>
    </row>
    <row r="6" ht="16" customHeight="1">
      <c r="A6" s="77" t="n">
        <v>2</v>
      </c>
      <c r="B6" s="78" t="inlineStr">
        <is>
          <t>Parag Parikh Conservative Hybrid Fund - Regular Plan - Growth</t>
        </is>
      </c>
      <c r="C6" s="78" t="inlineStr">
        <is>
          <t>PPFAS Mutual Fund</t>
        </is>
      </c>
      <c r="D6" s="78" t="inlineStr">
        <is>
          <t>Conservative Hybrid Fund</t>
        </is>
      </c>
      <c r="E6" s="79" t="n">
        <v>0.6899999999999999</v>
      </c>
      <c r="F6" s="79" t="n">
        <v>1.96</v>
      </c>
      <c r="G6" s="79" t="n">
        <v>3.17</v>
      </c>
      <c r="H6" s="79" t="n">
        <v>4.68</v>
      </c>
      <c r="I6" s="79" t="n">
        <v>6.831643252362274</v>
      </c>
      <c r="J6" s="79" t="n">
        <v>34.65</v>
      </c>
      <c r="K6" s="17" t="n">
        <v>95.2</v>
      </c>
      <c r="L6" s="18" t="n">
        <v>0</v>
      </c>
      <c r="M6" s="19" t="n">
        <v>52.4</v>
      </c>
      <c r="N6" s="34" t="inlineStr">
        <is>
          <t>🔥 Hot</t>
        </is>
      </c>
      <c r="O6" s="34" t="inlineStr">
        <is>
          <t>🔴 Not Qualified</t>
        </is>
      </c>
      <c r="P6" s="34" t="inlineStr">
        <is>
          <t>⚠️ Watch</t>
        </is>
      </c>
      <c r="Q6" s="76" t="inlineStr">
        <is>
          <t>FULL</t>
        </is>
      </c>
    </row>
    <row r="7" ht="16" customHeight="1">
      <c r="A7" s="80" t="n">
        <v>3</v>
      </c>
      <c r="B7" s="81" t="inlineStr">
        <is>
          <t>Nippon India Conservative Hybrid  Fund-Growth Plan</t>
        </is>
      </c>
      <c r="C7" s="81" t="inlineStr">
        <is>
          <t>Nippon India Mutual Fund</t>
        </is>
      </c>
      <c r="D7" s="81" t="inlineStr">
        <is>
          <t>Conservative Hybrid Fund</t>
        </is>
      </c>
      <c r="E7" s="83" t="n">
        <v>0.6</v>
      </c>
      <c r="F7" s="83" t="n">
        <v>1.68</v>
      </c>
      <c r="G7" s="83" t="n">
        <v>2.77</v>
      </c>
      <c r="H7" s="83" t="n">
        <v>6.22</v>
      </c>
      <c r="I7" s="83" t="n">
        <v>7.270685650833797</v>
      </c>
      <c r="J7" s="83" t="n">
        <v>25.67</v>
      </c>
      <c r="K7" s="17" t="n">
        <v>89.3</v>
      </c>
      <c r="L7" s="18" t="n">
        <v>0</v>
      </c>
      <c r="M7" s="24" t="n">
        <v>49.1</v>
      </c>
      <c r="N7" s="25" t="inlineStr">
        <is>
          <t>⭐ Strong</t>
        </is>
      </c>
      <c r="O7" s="25" t="inlineStr">
        <is>
          <t>🔴 Not Qualified</t>
        </is>
      </c>
      <c r="P7" s="25" t="inlineStr">
        <is>
          <t>⚠️ Watch</t>
        </is>
      </c>
      <c r="Q7" s="76" t="inlineStr">
        <is>
          <t>FULL</t>
        </is>
      </c>
    </row>
    <row r="8" ht="16" customHeight="1">
      <c r="A8" s="84" t="n">
        <v>4</v>
      </c>
      <c r="B8" s="85" t="inlineStr">
        <is>
          <t>Aditya Birla Sun Life Regular Savings Fund - Growth / Payment - Regular Plan</t>
        </is>
      </c>
      <c r="C8" s="85" t="inlineStr">
        <is>
          <t>Aditya Birla Sun Life Mutual Fund</t>
        </is>
      </c>
      <c r="D8" s="85" t="inlineStr">
        <is>
          <t>Conservative Hybrid Fund</t>
        </is>
      </c>
      <c r="E8" s="87" t="n">
        <v>0.52</v>
      </c>
      <c r="F8" s="87" t="n">
        <v>1.96</v>
      </c>
      <c r="G8" s="87" t="n">
        <v>2.8</v>
      </c>
      <c r="H8" s="87" t="n">
        <v>4.06</v>
      </c>
      <c r="I8" s="87" t="n">
        <v>6.508215645554793</v>
      </c>
      <c r="J8" s="87" t="n">
        <v>26.28</v>
      </c>
      <c r="K8" s="17" t="n">
        <v>84.3</v>
      </c>
      <c r="L8" s="18" t="n">
        <v>0</v>
      </c>
      <c r="M8" s="24" t="n">
        <v>46.4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76" t="inlineStr">
        <is>
          <t>FULL</t>
        </is>
      </c>
    </row>
    <row r="9" ht="16" customHeight="1">
      <c r="A9" s="89" t="n">
        <v>5</v>
      </c>
      <c r="B9" s="90" t="inlineStr">
        <is>
          <t>CANARA ROBECO CONSERVATIVE HYBRID FUND - REGULAR PLAN - GROWTH OPTION</t>
        </is>
      </c>
      <c r="C9" s="90" t="inlineStr">
        <is>
          <t>Canara Robeco Mutual Fund</t>
        </is>
      </c>
      <c r="D9" s="90" t="inlineStr">
        <is>
          <t>Conservative Hybrid Fund</t>
        </is>
      </c>
      <c r="E9" s="92" t="n">
        <v>0.52</v>
      </c>
      <c r="F9" s="92" t="n">
        <v>1.92</v>
      </c>
      <c r="G9" s="92" t="n">
        <v>2.79</v>
      </c>
      <c r="H9" s="92" t="n">
        <v>1.55</v>
      </c>
      <c r="I9" s="92" t="n">
        <v>4.508372870311206</v>
      </c>
      <c r="J9" s="92" t="n">
        <v>21.83</v>
      </c>
      <c r="K9" s="94" t="n">
        <v>72.40000000000001</v>
      </c>
      <c r="L9" s="18" t="n">
        <v>0</v>
      </c>
      <c r="M9" s="24" t="n">
        <v>39.8</v>
      </c>
      <c r="N9" s="93" t="inlineStr">
        <is>
          <t>📈 Good</t>
        </is>
      </c>
      <c r="O9" s="93" t="inlineStr">
        <is>
          <t>🔴 Not Qualified</t>
        </is>
      </c>
      <c r="P9" s="93" t="inlineStr">
        <is>
          <t>🔴 Avoid</t>
        </is>
      </c>
      <c r="Q9" s="76" t="inlineStr">
        <is>
          <t>FULL</t>
        </is>
      </c>
    </row>
    <row r="10" ht="16" customHeight="1">
      <c r="A10" s="84" t="n">
        <v>6</v>
      </c>
      <c r="B10" s="85" t="inlineStr">
        <is>
          <t>ICICI Prudential Regular Savings Fund - Direct Plan - Growth</t>
        </is>
      </c>
      <c r="C10" s="85" t="inlineStr">
        <is>
          <t>ICICI Prudential Mutual Fund</t>
        </is>
      </c>
      <c r="D10" s="85" t="inlineStr">
        <is>
          <t>Conservative Hybrid Fund</t>
        </is>
      </c>
      <c r="E10" s="87" t="n">
        <v>0.21</v>
      </c>
      <c r="F10" s="87" t="n">
        <v>1.67</v>
      </c>
      <c r="G10" s="87" t="n">
        <v>2.61</v>
      </c>
      <c r="H10" s="87" t="n">
        <v>4.4</v>
      </c>
      <c r="I10" s="87" t="n">
        <v>6.90182411914213</v>
      </c>
      <c r="J10" s="87" t="n">
        <v>31.19</v>
      </c>
      <c r="K10" s="94" t="n">
        <v>69</v>
      </c>
      <c r="L10" s="18" t="n">
        <v>0</v>
      </c>
      <c r="M10" s="24" t="n">
        <v>38</v>
      </c>
      <c r="N10" s="88" t="inlineStr">
        <is>
          <t>📈 Good</t>
        </is>
      </c>
      <c r="O10" s="88" t="inlineStr">
        <is>
          <t>🔴 Not Qualified</t>
        </is>
      </c>
      <c r="P10" s="88" t="inlineStr">
        <is>
          <t>🔴 Avoid</t>
        </is>
      </c>
      <c r="Q10" s="76" t="inlineStr">
        <is>
          <t>FULL</t>
        </is>
      </c>
    </row>
    <row r="11" ht="16" customHeight="1">
      <c r="A11" s="89" t="n">
        <v>7</v>
      </c>
      <c r="B11" s="90" t="inlineStr">
        <is>
          <t>DSP Regular Savings Fund - Direct Plan - Growth</t>
        </is>
      </c>
      <c r="C11" s="90" t="inlineStr">
        <is>
          <t>DSP Mutual Fund</t>
        </is>
      </c>
      <c r="D11" s="90" t="inlineStr">
        <is>
          <t>Conservative Hybrid Fund</t>
        </is>
      </c>
      <c r="E11" s="92" t="n">
        <v>0.28</v>
      </c>
      <c r="F11" s="92" t="n">
        <v>1.55</v>
      </c>
      <c r="G11" s="92" t="n">
        <v>2.24</v>
      </c>
      <c r="H11" s="92" t="n">
        <v>3.67</v>
      </c>
      <c r="I11" s="92" t="n">
        <v>6.390789074994641</v>
      </c>
      <c r="J11" s="92" t="n">
        <v>29.6</v>
      </c>
      <c r="K11" s="94" t="n">
        <v>68.09999999999999</v>
      </c>
      <c r="L11" s="18" t="n">
        <v>0</v>
      </c>
      <c r="M11" s="24" t="n">
        <v>37.5</v>
      </c>
      <c r="N11" s="93" t="inlineStr">
        <is>
          <t>📈 Good</t>
        </is>
      </c>
      <c r="O11" s="93" t="inlineStr">
        <is>
          <t>🔴 Not Qualified</t>
        </is>
      </c>
      <c r="P11" s="93" t="inlineStr">
        <is>
          <t>🔴 Avoid</t>
        </is>
      </c>
      <c r="Q11" s="76" t="inlineStr">
        <is>
          <t>FULL</t>
        </is>
      </c>
    </row>
    <row r="12" ht="16" customHeight="1">
      <c r="A12" s="84" t="n">
        <v>8</v>
      </c>
      <c r="B12" s="85" t="inlineStr">
        <is>
          <t>LIC MF Conservative Hybrid Fund-Regular Plan-Growth</t>
        </is>
      </c>
      <c r="C12" s="85" t="inlineStr">
        <is>
          <t>LIC Mutual Fund</t>
        </is>
      </c>
      <c r="D12" s="85" t="inlineStr">
        <is>
          <t>Conservative Hybrid Fund</t>
        </is>
      </c>
      <c r="E12" s="87" t="n">
        <v>0.77</v>
      </c>
      <c r="F12" s="87" t="n">
        <v>1.83</v>
      </c>
      <c r="G12" s="87" t="n">
        <v>1.32</v>
      </c>
      <c r="H12" s="87" t="n">
        <v>2.35</v>
      </c>
      <c r="I12" s="87" t="n">
        <v>3.961531346936198</v>
      </c>
      <c r="J12" s="87" t="n">
        <v>18.27</v>
      </c>
      <c r="K12" s="94" t="n">
        <v>65.59999999999999</v>
      </c>
      <c r="L12" s="18" t="n">
        <v>0</v>
      </c>
      <c r="M12" s="24" t="n">
        <v>36.1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76" t="inlineStr">
        <is>
          <t>FULL</t>
        </is>
      </c>
    </row>
    <row r="13" ht="16" customHeight="1">
      <c r="A13" s="89" t="n">
        <v>9</v>
      </c>
      <c r="B13" s="90" t="inlineStr">
        <is>
          <t>SBI Conservative Hybrid Fund - Regular Plan - Growth</t>
        </is>
      </c>
      <c r="C13" s="90" t="inlineStr">
        <is>
          <t>SBI Mutual Fund</t>
        </is>
      </c>
      <c r="D13" s="90" t="inlineStr">
        <is>
          <t>Conservative Hybrid Fund</t>
        </is>
      </c>
      <c r="E13" s="92" t="n">
        <v>0.05</v>
      </c>
      <c r="F13" s="92" t="n">
        <v>1.4</v>
      </c>
      <c r="G13" s="92" t="n">
        <v>3.69</v>
      </c>
      <c r="H13" s="92" t="n">
        <v>4.16</v>
      </c>
      <c r="I13" s="92" t="n">
        <v>5.460893225877816</v>
      </c>
      <c r="J13" s="92" t="n">
        <v>27.32</v>
      </c>
      <c r="K13" s="94" t="n">
        <v>65</v>
      </c>
      <c r="L13" s="18" t="n">
        <v>0</v>
      </c>
      <c r="M13" s="24" t="n">
        <v>35.7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76" t="inlineStr">
        <is>
          <t>FULL</t>
        </is>
      </c>
    </row>
    <row r="14" ht="16" customHeight="1">
      <c r="A14" s="84" t="n">
        <v>10</v>
      </c>
      <c r="B14" s="85" t="inlineStr">
        <is>
          <t>HSBC Conservative Hybrid Fund - Regular Growth</t>
        </is>
      </c>
      <c r="C14" s="85" t="inlineStr">
        <is>
          <t>HSBC Mutual Fund</t>
        </is>
      </c>
      <c r="D14" s="85" t="inlineStr">
        <is>
          <t>Conservative Hybrid Fund</t>
        </is>
      </c>
      <c r="E14" s="86" t="n">
        <v>-0.38</v>
      </c>
      <c r="F14" s="87" t="n">
        <v>1.42</v>
      </c>
      <c r="G14" s="87" t="n">
        <v>5.08</v>
      </c>
      <c r="H14" s="87" t="n">
        <v>2.59</v>
      </c>
      <c r="I14" s="87" t="n">
        <v>5.057127316522414</v>
      </c>
      <c r="J14" s="87" t="n">
        <v>28.7</v>
      </c>
      <c r="K14" s="94" t="n">
        <v>57.9</v>
      </c>
      <c r="L14" s="18" t="n">
        <v>0</v>
      </c>
      <c r="M14" s="24" t="n">
        <v>31.8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76" t="inlineStr">
        <is>
          <t>FULL</t>
        </is>
      </c>
    </row>
    <row r="15" ht="16" customHeight="1">
      <c r="A15" s="89" t="n">
        <v>11</v>
      </c>
      <c r="B15" s="90" t="inlineStr">
        <is>
          <t>ICICI Prudential Regular Savings Fund - Plan - Growth</t>
        </is>
      </c>
      <c r="C15" s="90" t="inlineStr">
        <is>
          <t>ICICI Prudential Mutual Fund</t>
        </is>
      </c>
      <c r="D15" s="90" t="inlineStr">
        <is>
          <t>Conservative Hybrid Fund</t>
        </is>
      </c>
      <c r="E15" s="92" t="n">
        <v>0.15</v>
      </c>
      <c r="F15" s="92" t="n">
        <v>1.49</v>
      </c>
      <c r="G15" s="92" t="n">
        <v>2.23</v>
      </c>
      <c r="H15" s="92" t="n">
        <v>3.63</v>
      </c>
      <c r="I15" s="92" t="n">
        <v>6.117859005918524</v>
      </c>
      <c r="J15" s="92" t="n">
        <v>28.26</v>
      </c>
      <c r="K15" s="94" t="n">
        <v>52.9</v>
      </c>
      <c r="L15" s="18" t="n">
        <v>0</v>
      </c>
      <c r="M15" s="24" t="n">
        <v>29.1</v>
      </c>
      <c r="N15" s="93" t="inlineStr">
        <is>
          <t>➡️ Neutral</t>
        </is>
      </c>
      <c r="O15" s="93" t="inlineStr">
        <is>
          <t>🔴 Not Qualified</t>
        </is>
      </c>
      <c r="P15" s="93" t="inlineStr">
        <is>
          <t>🔴 Avoid</t>
        </is>
      </c>
      <c r="Q15" s="76" t="inlineStr">
        <is>
          <t>FULL</t>
        </is>
      </c>
    </row>
    <row r="16" ht="16" customHeight="1">
      <c r="A16" s="84" t="n">
        <v>12</v>
      </c>
      <c r="B16" s="85" t="inlineStr">
        <is>
          <t>DSP Regular Savings Fund- Regular Plan - Growth</t>
        </is>
      </c>
      <c r="C16" s="85" t="inlineStr">
        <is>
          <t>DSP Mutual Fund</t>
        </is>
      </c>
      <c r="D16" s="85" t="inlineStr">
        <is>
          <t>Conservative Hybrid Fund</t>
        </is>
      </c>
      <c r="E16" s="87" t="n">
        <v>0.23</v>
      </c>
      <c r="F16" s="87" t="n">
        <v>1.39</v>
      </c>
      <c r="G16" s="87" t="n">
        <v>1.9</v>
      </c>
      <c r="H16" s="87" t="n">
        <v>2.95</v>
      </c>
      <c r="I16" s="87" t="n">
        <v>5.688220724922788</v>
      </c>
      <c r="J16" s="87" t="n">
        <v>27.11</v>
      </c>
      <c r="K16" s="94" t="n">
        <v>51</v>
      </c>
      <c r="L16" s="18" t="n">
        <v>0</v>
      </c>
      <c r="M16" s="24" t="n">
        <v>28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76" t="inlineStr">
        <is>
          <t>FULL</t>
        </is>
      </c>
    </row>
    <row r="17" ht="16" customHeight="1">
      <c r="A17" s="89" t="n">
        <v>13</v>
      </c>
      <c r="B17" s="90" t="inlineStr">
        <is>
          <t>BARODA BNP PARIBAS Conservative Hybrid Fund-Regular Plan-Growth Option</t>
        </is>
      </c>
      <c r="C17" s="90" t="inlineStr">
        <is>
          <t>Baroda BNP Paribas Mutual Fund</t>
        </is>
      </c>
      <c r="D17" s="90" t="inlineStr">
        <is>
          <t>Conservative Hybrid Fund</t>
        </is>
      </c>
      <c r="E17" s="92" t="n">
        <v>0.03</v>
      </c>
      <c r="F17" s="92" t="n">
        <v>1.52</v>
      </c>
      <c r="G17" s="92" t="n">
        <v>2.59</v>
      </c>
      <c r="H17" s="92" t="n">
        <v>2.74</v>
      </c>
      <c r="I17" s="92" t="n">
        <v>4.704345659576137</v>
      </c>
      <c r="J17" s="92" t="n">
        <v>22.94</v>
      </c>
      <c r="K17" s="94" t="n">
        <v>50.7</v>
      </c>
      <c r="L17" s="18" t="n">
        <v>0</v>
      </c>
      <c r="M17" s="24" t="n">
        <v>27.9</v>
      </c>
      <c r="N17" s="93" t="inlineStr">
        <is>
          <t>➡️ Neutral</t>
        </is>
      </c>
      <c r="O17" s="93" t="inlineStr">
        <is>
          <t>🔴 Not Qualified</t>
        </is>
      </c>
      <c r="P17" s="93" t="inlineStr">
        <is>
          <t>🔴 Avoid</t>
        </is>
      </c>
      <c r="Q17" s="76" t="inlineStr">
        <is>
          <t>FULL</t>
        </is>
      </c>
    </row>
    <row r="18" ht="16" customHeight="1">
      <c r="A18" s="84" t="n">
        <v>14</v>
      </c>
      <c r="B18" s="85" t="inlineStr">
        <is>
          <t>UTI Conservative Hybrd Fund - Regular Plan - Monthly Payment Option</t>
        </is>
      </c>
      <c r="C18" s="85" t="inlineStr">
        <is>
          <t>UTI Mutual Fund</t>
        </is>
      </c>
      <c r="D18" s="85" t="inlineStr">
        <is>
          <t>Conservative Hybrid Fund</t>
        </is>
      </c>
      <c r="E18" s="87" t="n">
        <v>0.27</v>
      </c>
      <c r="F18" s="87" t="n">
        <v>1.59</v>
      </c>
      <c r="G18" s="87" t="n">
        <v>1.33</v>
      </c>
      <c r="H18" s="87" t="n">
        <v>1.11</v>
      </c>
      <c r="I18" s="87" t="n">
        <v>4.350371345769544</v>
      </c>
      <c r="J18" s="87" t="n">
        <v>25.1</v>
      </c>
      <c r="K18" s="95" t="n">
        <v>45.4</v>
      </c>
      <c r="L18" s="18" t="n">
        <v>0</v>
      </c>
      <c r="M18" s="24" t="n">
        <v>24.9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76" t="inlineStr">
        <is>
          <t>FULL</t>
        </is>
      </c>
    </row>
    <row r="19" ht="16" customHeight="1">
      <c r="A19" s="89" t="n">
        <v>14</v>
      </c>
      <c r="B19" s="90" t="inlineStr">
        <is>
          <t>UTI Conservative Hybrid Fund - Regular Plan - Growth Option</t>
        </is>
      </c>
      <c r="C19" s="90" t="inlineStr">
        <is>
          <t>UTI Mutual Fund</t>
        </is>
      </c>
      <c r="D19" s="90" t="inlineStr">
        <is>
          <t>Conservative Hybrid Fund</t>
        </is>
      </c>
      <c r="E19" s="92" t="n">
        <v>0.27</v>
      </c>
      <c r="F19" s="92" t="n">
        <v>1.59</v>
      </c>
      <c r="G19" s="92" t="n">
        <v>1.33</v>
      </c>
      <c r="H19" s="92" t="n">
        <v>1.11</v>
      </c>
      <c r="I19" s="92" t="n">
        <v>4.350371345769544</v>
      </c>
      <c r="J19" s="92" t="n">
        <v>25.1</v>
      </c>
      <c r="K19" s="95" t="n">
        <v>45.4</v>
      </c>
      <c r="L19" s="18" t="n">
        <v>0</v>
      </c>
      <c r="M19" s="24" t="n">
        <v>24.9</v>
      </c>
      <c r="N19" s="93" t="inlineStr">
        <is>
          <t>➡️ Neutral</t>
        </is>
      </c>
      <c r="O19" s="93" t="inlineStr">
        <is>
          <t>🔴 Not Qualified</t>
        </is>
      </c>
      <c r="P19" s="93" t="inlineStr">
        <is>
          <t>🔴 Avoid</t>
        </is>
      </c>
      <c r="Q19" s="76" t="inlineStr">
        <is>
          <t>FULL</t>
        </is>
      </c>
    </row>
    <row r="20" ht="16" customHeight="1">
      <c r="A20" s="84" t="n">
        <v>16</v>
      </c>
      <c r="B20" s="85" t="inlineStr">
        <is>
          <t>BANDHAN Conservative Hybrid Fund - Regular Plan - Growth</t>
        </is>
      </c>
      <c r="C20" s="85" t="inlineStr">
        <is>
          <t>Bandhan Mutual Fund</t>
        </is>
      </c>
      <c r="D20" s="85" t="inlineStr">
        <is>
          <t>Conservative Hybrid Fund</t>
        </is>
      </c>
      <c r="E20" s="87" t="n">
        <v>0.59</v>
      </c>
      <c r="F20" s="87" t="n">
        <v>1.14</v>
      </c>
      <c r="G20" s="87" t="n">
        <v>1.08</v>
      </c>
      <c r="H20" s="87" t="n">
        <v>2.09</v>
      </c>
      <c r="I20" s="87" t="n">
        <v>3.759336929261448</v>
      </c>
      <c r="J20" s="87" t="n">
        <v>20.24</v>
      </c>
      <c r="K20" s="95" t="n">
        <v>42.5</v>
      </c>
      <c r="L20" s="18" t="n">
        <v>0</v>
      </c>
      <c r="M20" s="24" t="n">
        <v>23.4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76" t="inlineStr">
        <is>
          <t>FULL</t>
        </is>
      </c>
    </row>
    <row r="21" ht="16" customHeight="1">
      <c r="A21" s="89" t="n">
        <v>17</v>
      </c>
      <c r="B21" s="90" t="inlineStr">
        <is>
          <t>Kotak Debt Hybrid - Growth</t>
        </is>
      </c>
      <c r="C21" s="90" t="inlineStr">
        <is>
          <t>Kotak Mahindra Mutual Fund</t>
        </is>
      </c>
      <c r="D21" s="90" t="inlineStr">
        <is>
          <t>Conservative Hybrid Fund</t>
        </is>
      </c>
      <c r="E21" s="92" t="n">
        <v>0.24</v>
      </c>
      <c r="F21" s="92" t="n">
        <v>1.31</v>
      </c>
      <c r="G21" s="92" t="n">
        <v>1.25</v>
      </c>
      <c r="H21" s="92" t="n">
        <v>1.16</v>
      </c>
      <c r="I21" s="92" t="n">
        <v>3.841224954254074</v>
      </c>
      <c r="J21" s="92" t="n">
        <v>25.21</v>
      </c>
      <c r="K21" s="95" t="n">
        <v>33.2</v>
      </c>
      <c r="L21" s="18" t="n">
        <v>0</v>
      </c>
      <c r="M21" s="24" t="n">
        <v>18.3</v>
      </c>
      <c r="N21" s="93" t="inlineStr">
        <is>
          <t>📉 Weak</t>
        </is>
      </c>
      <c r="O21" s="93" t="inlineStr">
        <is>
          <t>🔴 Not Qualified</t>
        </is>
      </c>
      <c r="P21" s="93" t="inlineStr">
        <is>
          <t>🔴 Avoid</t>
        </is>
      </c>
      <c r="Q21" s="76" t="inlineStr">
        <is>
          <t>FULL</t>
        </is>
      </c>
    </row>
    <row r="22" ht="16" customHeight="1">
      <c r="A22" s="84" t="n">
        <v>18</v>
      </c>
      <c r="B22" s="85" t="inlineStr">
        <is>
          <t>HDFC Hybrid Debt Fund - Growth Plan</t>
        </is>
      </c>
      <c r="C22" s="85" t="inlineStr">
        <is>
          <t>HDFC Mutual Fund</t>
        </is>
      </c>
      <c r="D22" s="85" t="inlineStr">
        <is>
          <t>Conservative Hybrid Fund</t>
        </is>
      </c>
      <c r="E22" s="87" t="n">
        <v>0.19</v>
      </c>
      <c r="F22" s="87" t="n">
        <v>1.11</v>
      </c>
      <c r="G22" s="87" t="n">
        <v>1.31</v>
      </c>
      <c r="H22" s="87" t="n">
        <v>1.49</v>
      </c>
      <c r="I22" s="87" t="n">
        <v>3.648444271971596</v>
      </c>
      <c r="J22" s="87" t="n">
        <v>24.28</v>
      </c>
      <c r="K22" s="95" t="n">
        <v>32.9</v>
      </c>
      <c r="L22" s="18" t="n">
        <v>0</v>
      </c>
      <c r="M22" s="24" t="n">
        <v>18.1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76" t="inlineStr">
        <is>
          <t>FULL</t>
        </is>
      </c>
    </row>
    <row r="23" ht="16" customHeight="1">
      <c r="A23" s="89" t="n">
        <v>19</v>
      </c>
      <c r="B23" s="90" t="inlineStr">
        <is>
          <t>Axis Conservative Hybrid Fund - Regular Plan - Growth Option</t>
        </is>
      </c>
      <c r="C23" s="90" t="inlineStr">
        <is>
          <t>Axis Mutual Fund</t>
        </is>
      </c>
      <c r="D23" s="90" t="inlineStr">
        <is>
          <t>Conservative Hybrid Fund</t>
        </is>
      </c>
      <c r="E23" s="92" t="n">
        <v>0.25</v>
      </c>
      <c r="F23" s="92" t="n">
        <v>1.02</v>
      </c>
      <c r="G23" s="92" t="n">
        <v>0.42</v>
      </c>
      <c r="H23" s="92" t="n">
        <v>0.95</v>
      </c>
      <c r="I23" s="92" t="n">
        <v>3.730419839119525</v>
      </c>
      <c r="J23" s="92" t="n">
        <v>17.95</v>
      </c>
      <c r="K23" s="95" t="n">
        <v>23.7</v>
      </c>
      <c r="L23" s="18" t="n">
        <v>0</v>
      </c>
      <c r="M23" s="24" t="n">
        <v>13</v>
      </c>
      <c r="N23" s="93" t="inlineStr">
        <is>
          <t>📉 Weak</t>
        </is>
      </c>
      <c r="O23" s="93" t="inlineStr">
        <is>
          <t>🔴 Not Qualified</t>
        </is>
      </c>
      <c r="P23" s="93" t="inlineStr">
        <is>
          <t>🔴 Avoid</t>
        </is>
      </c>
      <c r="Q23" s="76" t="inlineStr">
        <is>
          <t>FULL</t>
        </is>
      </c>
    </row>
    <row r="24" ht="16" customHeight="1">
      <c r="A24" s="84" t="n">
        <v>20</v>
      </c>
      <c r="B24" s="85" t="inlineStr">
        <is>
          <t>Sundaram Conservative Hybrid Fund (Formerly Known as Sundaram Debt Oriented Hybrid Fund) Regular Plan - Growth</t>
        </is>
      </c>
      <c r="C24" s="85" t="inlineStr">
        <is>
          <t>Sundaram Mutual Fund</t>
        </is>
      </c>
      <c r="D24" s="85" t="inlineStr">
        <is>
          <t>Conservative Hybrid Fund</t>
        </is>
      </c>
      <c r="E24" s="87" t="n">
        <v>0.26</v>
      </c>
      <c r="F24" s="87" t="n">
        <v>0.76</v>
      </c>
      <c r="G24" s="86" t="n">
        <v>-1</v>
      </c>
      <c r="H24" s="86" t="n">
        <v>-1.2</v>
      </c>
      <c r="I24" s="87" t="n">
        <v>2.068604379603434</v>
      </c>
      <c r="J24" s="87" t="n">
        <v>14.87</v>
      </c>
      <c r="K24" s="95" t="n">
        <v>19.2</v>
      </c>
      <c r="L24" s="18" t="n">
        <v>0</v>
      </c>
      <c r="M24" s="24" t="n">
        <v>10.5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76" t="inlineStr">
        <is>
          <t>FULL</t>
        </is>
      </c>
    </row>
    <row r="25" ht="16" customHeight="1">
      <c r="A25" s="89" t="n">
        <v>21</v>
      </c>
      <c r="B25" s="90" t="inlineStr">
        <is>
          <t>Franklin India Conservative Hybrid Fund - Growth</t>
        </is>
      </c>
      <c r="C25" s="90" t="inlineStr">
        <is>
          <t>Franklin Templeton Mutual Fund</t>
        </is>
      </c>
      <c r="D25" s="90" t="inlineStr">
        <is>
          <t>Conservative Hybrid Fund</t>
        </is>
      </c>
      <c r="E25" s="92" t="n">
        <v>0.14</v>
      </c>
      <c r="F25" s="92" t="n">
        <v>0.83</v>
      </c>
      <c r="G25" s="92" t="n">
        <v>1.08</v>
      </c>
      <c r="H25" s="92" t="n">
        <v>0.78</v>
      </c>
      <c r="I25" s="92" t="n">
        <v>4.22091920531118</v>
      </c>
      <c r="J25" s="92" t="n">
        <v>24.14</v>
      </c>
      <c r="K25" s="95" t="n">
        <v>18.3</v>
      </c>
      <c r="L25" s="18" t="n">
        <v>0</v>
      </c>
      <c r="M25" s="24" t="n">
        <v>10.1</v>
      </c>
      <c r="N25" s="93" t="inlineStr">
        <is>
          <t>📉 Weak</t>
        </is>
      </c>
      <c r="O25" s="93" t="inlineStr">
        <is>
          <t>🔴 Not Qualified</t>
        </is>
      </c>
      <c r="P25" s="93" t="inlineStr">
        <is>
          <t>🔴 Avoid</t>
        </is>
      </c>
      <c r="Q25" s="76" t="inlineStr">
        <is>
          <t>FULL</t>
        </is>
      </c>
    </row>
    <row r="26" ht="16" customHeight="1">
      <c r="A26" s="84" t="n">
        <v>22</v>
      </c>
      <c r="B26" s="85" t="inlineStr">
        <is>
          <t>Kotak Debt Hybrid - Monthly Payout of Income Distribution cum capital withdrawal option</t>
        </is>
      </c>
      <c r="C26" s="85" t="inlineStr">
        <is>
          <t>Kotak Mahindra Mutual Fund</t>
        </is>
      </c>
      <c r="D26" s="85" t="inlineStr">
        <is>
          <t>Conservative Hybrid Fund</t>
        </is>
      </c>
      <c r="E26" s="86" t="n">
        <v>-0.39</v>
      </c>
      <c r="F26" s="86" t="n">
        <v>-0.5600000000000001</v>
      </c>
      <c r="G26" s="86" t="n">
        <v>-2.48</v>
      </c>
      <c r="H26" s="86" t="n">
        <v>-6.14</v>
      </c>
      <c r="I26" s="86" t="n">
        <v>-3.651673600420025</v>
      </c>
      <c r="J26" s="86" t="n">
        <v>-1.27</v>
      </c>
      <c r="K26" s="95" t="n">
        <v>0</v>
      </c>
      <c r="L26" s="18" t="n">
        <v>0</v>
      </c>
      <c r="M26" s="24" t="n">
        <v>0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76" t="inlineStr">
        <is>
          <t>FULL</t>
        </is>
      </c>
    </row>
    <row r="27" ht="16" customHeight="1">
      <c r="A27" s="96" t="n">
        <v>0</v>
      </c>
      <c r="B27" s="97" t="inlineStr">
        <is>
          <t>Nippon India Conservative Hybrid  Fund - Segregated Portfolio 2 - Growth Plan</t>
        </is>
      </c>
      <c r="C27" s="97" t="inlineStr">
        <is>
          <t>Nippon India Mutual Fund</t>
        </is>
      </c>
      <c r="D27" s="97" t="inlineStr">
        <is>
          <t>Conservative Hybrid Fund</t>
        </is>
      </c>
      <c r="E27" s="98" t="n">
        <v>0</v>
      </c>
      <c r="F27" s="98" t="n">
        <v>0</v>
      </c>
      <c r="G27" s="98" t="n">
        <v>0</v>
      </c>
      <c r="H27" s="98" t="n">
        <v>0</v>
      </c>
      <c r="I27" s="98" t="n">
        <v>0</v>
      </c>
      <c r="J27" s="98" t="n">
        <v>0</v>
      </c>
      <c r="K27" s="95" t="n">
        <v>0</v>
      </c>
      <c r="L27" s="18" t="n">
        <v>0</v>
      </c>
      <c r="M27" s="24" t="n">
        <v>0</v>
      </c>
      <c r="N27" s="99" t="inlineStr">
        <is>
          <t>❌ N/A</t>
        </is>
      </c>
      <c r="O27" s="99" t="inlineStr">
        <is>
          <t>❌ N/A</t>
        </is>
      </c>
      <c r="P27" s="99" t="inlineStr">
        <is>
          <t>❌ Missing Data</t>
        </is>
      </c>
      <c r="Q27" s="100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7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6" t="n">
        <v>1</v>
      </c>
      <c r="B5" s="27" t="inlineStr">
        <is>
          <t>Unifi Dynamic Asset Allocation Fund - Regular Growth</t>
        </is>
      </c>
      <c r="C5" s="27" t="inlineStr">
        <is>
          <t>Unifi Mutual Fund</t>
        </is>
      </c>
      <c r="D5" s="27" t="inlineStr">
        <is>
          <t>Dynamic Asset Allocation Or Balanced Advantage</t>
        </is>
      </c>
      <c r="E5" s="29" t="n">
        <v>0.68</v>
      </c>
      <c r="F5" s="29" t="n">
        <v>2.06</v>
      </c>
      <c r="G5" s="29" t="n">
        <v>3.75</v>
      </c>
      <c r="H5" s="29" t="n">
        <v>7.35</v>
      </c>
      <c r="I5" s="29" t="n">
        <v>0</v>
      </c>
      <c r="J5" s="29" t="n">
        <v>0</v>
      </c>
      <c r="K5" s="17" t="n">
        <v>98.3</v>
      </c>
      <c r="L5" s="18" t="n">
        <v>0</v>
      </c>
      <c r="M5" s="19" t="n">
        <v>54.1</v>
      </c>
      <c r="N5" s="101" t="inlineStr">
        <is>
          <t>🔥 Hot</t>
        </is>
      </c>
      <c r="O5" s="101" t="inlineStr">
        <is>
          <t>⏳ New Fund</t>
        </is>
      </c>
      <c r="P5" s="101" t="inlineStr">
        <is>
          <t>🔥 Hot Momentum</t>
        </is>
      </c>
      <c r="Q5" s="102" t="inlineStr">
        <is>
          <t>MOMENTUM_ONLY</t>
        </is>
      </c>
    </row>
    <row r="6" ht="16" customHeight="1">
      <c r="A6" s="77" t="n">
        <v>2</v>
      </c>
      <c r="B6" s="78" t="inlineStr">
        <is>
          <t>Aditya Birla Sun Life Balanced Advantage Fund - Regular Plan - Growth Option</t>
        </is>
      </c>
      <c r="C6" s="78" t="inlineStr">
        <is>
          <t>Aditya Birla Sun Life Mutual Fund</t>
        </is>
      </c>
      <c r="D6" s="78" t="inlineStr">
        <is>
          <t>Dynamic Asset Allocation Or Balanced Advantage</t>
        </is>
      </c>
      <c r="E6" s="79" t="n">
        <v>0.67</v>
      </c>
      <c r="F6" s="79" t="n">
        <v>1.99</v>
      </c>
      <c r="G6" s="79" t="n">
        <v>3.63</v>
      </c>
      <c r="H6" s="79" t="n">
        <v>4.2</v>
      </c>
      <c r="I6" s="79" t="n">
        <v>5.834776893042104</v>
      </c>
      <c r="J6" s="79" t="n">
        <v>36.31</v>
      </c>
      <c r="K6" s="17" t="n">
        <v>94.3</v>
      </c>
      <c r="L6" s="18" t="n">
        <v>0</v>
      </c>
      <c r="M6" s="19" t="n">
        <v>51.9</v>
      </c>
      <c r="N6" s="34" t="inlineStr">
        <is>
          <t>🔥 Hot</t>
        </is>
      </c>
      <c r="O6" s="34" t="inlineStr">
        <is>
          <t>🔴 Not Qualified</t>
        </is>
      </c>
      <c r="P6" s="34" t="inlineStr">
        <is>
          <t>⚠️ Watch</t>
        </is>
      </c>
      <c r="Q6" s="76" t="inlineStr">
        <is>
          <t>FULL</t>
        </is>
      </c>
    </row>
    <row r="7" ht="16" customHeight="1">
      <c r="A7" s="26" t="n">
        <v>3</v>
      </c>
      <c r="B7" s="27" t="inlineStr">
        <is>
          <t>Parag Parikh Dynamic Asset Allocation Fund - Regular Plan Growth</t>
        </is>
      </c>
      <c r="C7" s="27" t="inlineStr">
        <is>
          <t>PPFAS Mutual Fund</t>
        </is>
      </c>
      <c r="D7" s="27" t="inlineStr">
        <is>
          <t>Dynamic Asset Allocation Or Balanced Advantage</t>
        </is>
      </c>
      <c r="E7" s="29" t="n">
        <v>0.27</v>
      </c>
      <c r="F7" s="29" t="n">
        <v>1.28</v>
      </c>
      <c r="G7" s="29" t="n">
        <v>2.83</v>
      </c>
      <c r="H7" s="29" t="n">
        <v>3.22</v>
      </c>
      <c r="I7" s="29" t="n">
        <v>5.242576935382948</v>
      </c>
      <c r="J7" s="29" t="n">
        <v>0</v>
      </c>
      <c r="K7" s="17" t="n">
        <v>84.2</v>
      </c>
      <c r="L7" s="18" t="n">
        <v>0</v>
      </c>
      <c r="M7" s="24" t="n">
        <v>46.3</v>
      </c>
      <c r="N7" s="101" t="inlineStr">
        <is>
          <t>⭐ Strong</t>
        </is>
      </c>
      <c r="O7" s="101" t="inlineStr">
        <is>
          <t>⏳ New Fund</t>
        </is>
      </c>
      <c r="P7" s="101" t="inlineStr">
        <is>
          <t>🔥 Hot Momentum</t>
        </is>
      </c>
      <c r="Q7" s="102" t="inlineStr">
        <is>
          <t>MOMENTUM_ONLY</t>
        </is>
      </c>
    </row>
    <row r="8" ht="16" customHeight="1">
      <c r="A8" s="84" t="n">
        <v>4</v>
      </c>
      <c r="B8" s="85" t="inlineStr">
        <is>
          <t>ICICI Prudential Balanced Advantage Fund - Growth</t>
        </is>
      </c>
      <c r="C8" s="85" t="inlineStr">
        <is>
          <t>ICICI Prudential Mutual Fund</t>
        </is>
      </c>
      <c r="D8" s="85" t="inlineStr">
        <is>
          <t>Dynamic Asset Allocation Or Balanced Advantage</t>
        </is>
      </c>
      <c r="E8" s="87" t="n">
        <v>0.25</v>
      </c>
      <c r="F8" s="87" t="n">
        <v>1.78</v>
      </c>
      <c r="G8" s="87" t="n">
        <v>1.95</v>
      </c>
      <c r="H8" s="87" t="n">
        <v>5.07</v>
      </c>
      <c r="I8" s="87" t="n">
        <v>6.296754418937933</v>
      </c>
      <c r="J8" s="87" t="n">
        <v>37.85</v>
      </c>
      <c r="K8" s="17" t="n">
        <v>81.59999999999999</v>
      </c>
      <c r="L8" s="18" t="n">
        <v>0</v>
      </c>
      <c r="M8" s="24" t="n">
        <v>44.9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76" t="inlineStr">
        <is>
          <t>FULL</t>
        </is>
      </c>
    </row>
    <row r="9" ht="16" customHeight="1">
      <c r="A9" s="89" t="n">
        <v>5</v>
      </c>
      <c r="B9" s="90" t="inlineStr">
        <is>
          <t>UTI - Unit Linked Insurance Plan</t>
        </is>
      </c>
      <c r="C9" s="90" t="inlineStr">
        <is>
          <t>UTI Mutual Fund</t>
        </is>
      </c>
      <c r="D9" s="90" t="inlineStr">
        <is>
          <t>Dynamic Asset Allocation Or Balanced Advantage</t>
        </is>
      </c>
      <c r="E9" s="92" t="n">
        <v>1.27</v>
      </c>
      <c r="F9" s="92" t="n">
        <v>3.66</v>
      </c>
      <c r="G9" s="92" t="n">
        <v>2.63</v>
      </c>
      <c r="H9" s="92" t="n">
        <v>0.03</v>
      </c>
      <c r="I9" s="92" t="n">
        <v>4.541857645633973</v>
      </c>
      <c r="J9" s="92" t="n">
        <v>23.53</v>
      </c>
      <c r="K9" s="17" t="n">
        <v>81.59999999999999</v>
      </c>
      <c r="L9" s="18" t="n">
        <v>0</v>
      </c>
      <c r="M9" s="24" t="n">
        <v>44.9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76" t="inlineStr">
        <is>
          <t>FULL</t>
        </is>
      </c>
    </row>
    <row r="10" ht="16" customHeight="1">
      <c r="A10" s="84" t="n">
        <v>6</v>
      </c>
      <c r="B10" s="85" t="inlineStr">
        <is>
          <t>WhiteOak Capital Balanced Advantage Fund Regular Plan Growth</t>
        </is>
      </c>
      <c r="C10" s="85" t="inlineStr">
        <is>
          <t>WhiteOak Capital Mutual Fund</t>
        </is>
      </c>
      <c r="D10" s="85" t="inlineStr">
        <is>
          <t>Dynamic Asset Allocation Or Balanced Advantage</t>
        </is>
      </c>
      <c r="E10" s="87" t="n">
        <v>1.01</v>
      </c>
      <c r="F10" s="87" t="n">
        <v>2.64</v>
      </c>
      <c r="G10" s="87" t="n">
        <v>2.2</v>
      </c>
      <c r="H10" s="87" t="n">
        <v>1.16</v>
      </c>
      <c r="I10" s="87" t="n">
        <v>5.133248784578126</v>
      </c>
      <c r="J10" s="87" t="n">
        <v>34.84</v>
      </c>
      <c r="K10" s="17" t="n">
        <v>79.59999999999999</v>
      </c>
      <c r="L10" s="18" t="n">
        <v>0</v>
      </c>
      <c r="M10" s="24" t="n">
        <v>43.8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76" t="inlineStr">
        <is>
          <t>FULL</t>
        </is>
      </c>
    </row>
    <row r="11" ht="16" customHeight="1">
      <c r="A11" s="89" t="n">
        <v>7</v>
      </c>
      <c r="B11" s="90" t="inlineStr">
        <is>
          <t>BANDHAN Balanced Advantage Fund Regular Plan Growth</t>
        </is>
      </c>
      <c r="C11" s="90" t="inlineStr">
        <is>
          <t>Bandhan Mutual Fund</t>
        </is>
      </c>
      <c r="D11" s="90" t="inlineStr">
        <is>
          <t>Dynamic Asset Allocation Or Balanced Advantage</t>
        </is>
      </c>
      <c r="E11" s="91" t="n">
        <v>-0.15</v>
      </c>
      <c r="F11" s="92" t="n">
        <v>1.5</v>
      </c>
      <c r="G11" s="92" t="n">
        <v>2.67</v>
      </c>
      <c r="H11" s="92" t="n">
        <v>2.57</v>
      </c>
      <c r="I11" s="92" t="n">
        <v>4.086502487114041</v>
      </c>
      <c r="J11" s="92" t="n">
        <v>28.52</v>
      </c>
      <c r="K11" s="17" t="n">
        <v>78.90000000000001</v>
      </c>
      <c r="L11" s="18" t="n">
        <v>0</v>
      </c>
      <c r="M11" s="24" t="n">
        <v>43.4</v>
      </c>
      <c r="N11" s="93" t="inlineStr">
        <is>
          <t>⭐ Strong</t>
        </is>
      </c>
      <c r="O11" s="93" t="inlineStr">
        <is>
          <t>🔴 Not Qualified</t>
        </is>
      </c>
      <c r="P11" s="93" t="inlineStr">
        <is>
          <t>⚠️ Watch</t>
        </is>
      </c>
      <c r="Q11" s="76" t="inlineStr">
        <is>
          <t>FULL</t>
        </is>
      </c>
    </row>
    <row r="12" ht="16" customHeight="1">
      <c r="A12" s="84" t="n">
        <v>8</v>
      </c>
      <c r="B12" s="85" t="inlineStr">
        <is>
          <t>Baroda BNP Paribas Balanced Advantage Fund-Regular Plan -Growth Option</t>
        </is>
      </c>
      <c r="C12" s="85" t="inlineStr">
        <is>
          <t>Baroda BNP Paribas Mutual Fund</t>
        </is>
      </c>
      <c r="D12" s="85" t="inlineStr">
        <is>
          <t>Dynamic Asset Allocation Or Balanced Advantage</t>
        </is>
      </c>
      <c r="E12" s="86" t="n">
        <v>-0.82</v>
      </c>
      <c r="F12" s="87" t="n">
        <v>2.23</v>
      </c>
      <c r="G12" s="87" t="n">
        <v>4.63</v>
      </c>
      <c r="H12" s="87" t="n">
        <v>3.27</v>
      </c>
      <c r="I12" s="87" t="n">
        <v>5.550935571410265</v>
      </c>
      <c r="J12" s="87" t="n">
        <v>38.08</v>
      </c>
      <c r="K12" s="17" t="n">
        <v>77.09999999999999</v>
      </c>
      <c r="L12" s="18" t="n">
        <v>0</v>
      </c>
      <c r="M12" s="24" t="n">
        <v>42.4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76" t="inlineStr">
        <is>
          <t>FULL</t>
        </is>
      </c>
    </row>
    <row r="13" ht="16" customHeight="1">
      <c r="A13" s="89" t="n">
        <v>9</v>
      </c>
      <c r="B13" s="90" t="inlineStr">
        <is>
          <t>Nippon India Balanced Advantage Fund-Growth Plan-Growth Option</t>
        </is>
      </c>
      <c r="C13" s="90" t="inlineStr">
        <is>
          <t>Nippon India Mutual Fund</t>
        </is>
      </c>
      <c r="D13" s="90" t="inlineStr">
        <is>
          <t>Dynamic Asset Allocation Or Balanced Advantage</t>
        </is>
      </c>
      <c r="E13" s="91" t="n">
        <v>-0.12</v>
      </c>
      <c r="F13" s="92" t="n">
        <v>1.15</v>
      </c>
      <c r="G13" s="92" t="n">
        <v>3.03</v>
      </c>
      <c r="H13" s="92" t="n">
        <v>2.45</v>
      </c>
      <c r="I13" s="92" t="n">
        <v>3.614670775908935</v>
      </c>
      <c r="J13" s="92" t="n">
        <v>33.35</v>
      </c>
      <c r="K13" s="17" t="n">
        <v>75.09999999999999</v>
      </c>
      <c r="L13" s="18" t="n">
        <v>0</v>
      </c>
      <c r="M13" s="24" t="n">
        <v>41.3</v>
      </c>
      <c r="N13" s="93" t="inlineStr">
        <is>
          <t>⭐ Strong</t>
        </is>
      </c>
      <c r="O13" s="93" t="inlineStr">
        <is>
          <t>🔴 Not Qualified</t>
        </is>
      </c>
      <c r="P13" s="93" t="inlineStr">
        <is>
          <t>⚠️ Watch</t>
        </is>
      </c>
      <c r="Q13" s="76" t="inlineStr">
        <is>
          <t>FULL</t>
        </is>
      </c>
    </row>
    <row r="14" ht="16" customHeight="1">
      <c r="A14" s="84" t="n">
        <v>9</v>
      </c>
      <c r="B14" s="85" t="inlineStr">
        <is>
          <t>Nippon India Balanced Advantage Fund-Growth Plan-Bonus Option</t>
        </is>
      </c>
      <c r="C14" s="85" t="inlineStr">
        <is>
          <t>Nippon India Mutual Fund</t>
        </is>
      </c>
      <c r="D14" s="85" t="inlineStr">
        <is>
          <t>Dynamic Asset Allocation Or Balanced Advantage</t>
        </is>
      </c>
      <c r="E14" s="86" t="n">
        <v>-0.12</v>
      </c>
      <c r="F14" s="87" t="n">
        <v>1.15</v>
      </c>
      <c r="G14" s="87" t="n">
        <v>3.03</v>
      </c>
      <c r="H14" s="87" t="n">
        <v>2.45</v>
      </c>
      <c r="I14" s="87" t="n">
        <v>3.614670775908935</v>
      </c>
      <c r="J14" s="87" t="n">
        <v>33.35</v>
      </c>
      <c r="K14" s="17" t="n">
        <v>75.09999999999999</v>
      </c>
      <c r="L14" s="18" t="n">
        <v>0</v>
      </c>
      <c r="M14" s="24" t="n">
        <v>41.3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76" t="inlineStr">
        <is>
          <t>FULL</t>
        </is>
      </c>
    </row>
    <row r="15" ht="16" customHeight="1">
      <c r="A15" s="89" t="n">
        <v>11</v>
      </c>
      <c r="B15" s="90" t="inlineStr">
        <is>
          <t>Tata Balanced Advantage Fund-Regular Plan-Growth</t>
        </is>
      </c>
      <c r="C15" s="90" t="inlineStr">
        <is>
          <t>Tata Mutual Fund</t>
        </is>
      </c>
      <c r="D15" s="90" t="inlineStr">
        <is>
          <t>Dynamic Asset Allocation Or Balanced Advantage</t>
        </is>
      </c>
      <c r="E15" s="91" t="n">
        <v>-0.18</v>
      </c>
      <c r="F15" s="92" t="n">
        <v>2.17</v>
      </c>
      <c r="G15" s="92" t="n">
        <v>2.55</v>
      </c>
      <c r="H15" s="92" t="n">
        <v>1.95</v>
      </c>
      <c r="I15" s="92" t="n">
        <v>2.591422643415964</v>
      </c>
      <c r="J15" s="92" t="n">
        <v>27.19</v>
      </c>
      <c r="K15" s="94" t="n">
        <v>74.59999999999999</v>
      </c>
      <c r="L15" s="18" t="n">
        <v>0</v>
      </c>
      <c r="M15" s="24" t="n">
        <v>41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⚠️ Watch</t>
        </is>
      </c>
      <c r="Q15" s="76" t="inlineStr">
        <is>
          <t>FULL</t>
        </is>
      </c>
    </row>
    <row r="16" ht="16" customHeight="1">
      <c r="A16" s="84" t="n">
        <v>12</v>
      </c>
      <c r="B16" s="85" t="inlineStr">
        <is>
          <t>Motilal Oswal Balanced Advantage Fund (MOFDYNAMIC) - Regular Plan - Growth Option</t>
        </is>
      </c>
      <c r="C16" s="85" t="inlineStr">
        <is>
          <t>Motilal Oswal Mutual Fund</t>
        </is>
      </c>
      <c r="D16" s="85" t="inlineStr">
        <is>
          <t>Dynamic Asset Allocation Or Balanced Advantage</t>
        </is>
      </c>
      <c r="E16" s="87" t="n">
        <v>0.4</v>
      </c>
      <c r="F16" s="87" t="n">
        <v>3.25</v>
      </c>
      <c r="G16" s="87" t="n">
        <v>3.27</v>
      </c>
      <c r="H16" s="86" t="n">
        <v>-6.6</v>
      </c>
      <c r="I16" s="86" t="n">
        <v>-6.095793491452151</v>
      </c>
      <c r="J16" s="87" t="n">
        <v>8.800000000000001</v>
      </c>
      <c r="K16" s="94" t="n">
        <v>73.7</v>
      </c>
      <c r="L16" s="18" t="n">
        <v>0</v>
      </c>
      <c r="M16" s="24" t="n">
        <v>40.5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76" t="inlineStr">
        <is>
          <t>FULL</t>
        </is>
      </c>
    </row>
    <row r="17" ht="16" customHeight="1">
      <c r="A17" s="89" t="n">
        <v>12</v>
      </c>
      <c r="B17" s="90" t="inlineStr">
        <is>
          <t>NJ Balanced Advantage Fund - Regular Plan - Growth Option</t>
        </is>
      </c>
      <c r="C17" s="90" t="inlineStr">
        <is>
          <t>NJ Mutual Fund</t>
        </is>
      </c>
      <c r="D17" s="90" t="inlineStr">
        <is>
          <t>Dynamic Asset Allocation Or Balanced Advantage</t>
        </is>
      </c>
      <c r="E17" s="92" t="n">
        <v>1.34</v>
      </c>
      <c r="F17" s="92" t="n">
        <v>2.71</v>
      </c>
      <c r="G17" s="92" t="n">
        <v>2.02</v>
      </c>
      <c r="H17" s="91" t="n">
        <v>-0.73</v>
      </c>
      <c r="I17" s="91" t="n">
        <v>-1.187045383714991</v>
      </c>
      <c r="J17" s="92" t="n">
        <v>28.1</v>
      </c>
      <c r="K17" s="94" t="n">
        <v>73.7</v>
      </c>
      <c r="L17" s="18" t="n">
        <v>0</v>
      </c>
      <c r="M17" s="24" t="n">
        <v>40.5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⚠️ Watch</t>
        </is>
      </c>
      <c r="Q17" s="76" t="inlineStr">
        <is>
          <t>FULL</t>
        </is>
      </c>
    </row>
    <row r="18" ht="16" customHeight="1">
      <c r="A18" s="26" t="n">
        <v>14</v>
      </c>
      <c r="B18" s="27" t="inlineStr">
        <is>
          <t>Bajaj Finserv Balanced Advantage Fund-Regular Plan-Growth</t>
        </is>
      </c>
      <c r="C18" s="27" t="inlineStr">
        <is>
          <t>Bajaj Finserv Mutual Fund</t>
        </is>
      </c>
      <c r="D18" s="27" t="inlineStr">
        <is>
          <t>Dynamic Asset Allocation Or Balanced Advantage</t>
        </is>
      </c>
      <c r="E18" s="29" t="n">
        <v>0.23</v>
      </c>
      <c r="F18" s="29" t="n">
        <v>1.89</v>
      </c>
      <c r="G18" s="29" t="n">
        <v>1.36</v>
      </c>
      <c r="H18" s="29" t="n">
        <v>1.35</v>
      </c>
      <c r="I18" s="29" t="n">
        <v>1.646446076584485</v>
      </c>
      <c r="J18" s="29" t="n">
        <v>0</v>
      </c>
      <c r="K18" s="94" t="n">
        <v>67.40000000000001</v>
      </c>
      <c r="L18" s="18" t="n">
        <v>0</v>
      </c>
      <c r="M18" s="24" t="n">
        <v>37.1</v>
      </c>
      <c r="N18" s="101" t="inlineStr">
        <is>
          <t>📈 Good</t>
        </is>
      </c>
      <c r="O18" s="101" t="inlineStr">
        <is>
          <t>⏳ New Fund</t>
        </is>
      </c>
      <c r="P18" s="101" t="inlineStr">
        <is>
          <t>📈 Momentum Only</t>
        </is>
      </c>
      <c r="Q18" s="102" t="inlineStr">
        <is>
          <t>MOMENTUM_ONLY</t>
        </is>
      </c>
    </row>
    <row r="19" ht="16" customHeight="1">
      <c r="A19" s="89" t="n">
        <v>15</v>
      </c>
      <c r="B19" s="90" t="inlineStr">
        <is>
          <t>Edelweiss Balanced Advantage Fund - Regular Plan - Growth Option</t>
        </is>
      </c>
      <c r="C19" s="90" t="inlineStr">
        <is>
          <t>Edelweiss Mutual Fund</t>
        </is>
      </c>
      <c r="D19" s="90" t="inlineStr">
        <is>
          <t>Dynamic Asset Allocation Or Balanced Advantage</t>
        </is>
      </c>
      <c r="E19" s="91" t="n">
        <v>-0.31</v>
      </c>
      <c r="F19" s="92" t="n">
        <v>1.18</v>
      </c>
      <c r="G19" s="92" t="n">
        <v>2.07</v>
      </c>
      <c r="H19" s="92" t="n">
        <v>3.06</v>
      </c>
      <c r="I19" s="92" t="n">
        <v>2.791050194070888</v>
      </c>
      <c r="J19" s="92" t="n">
        <v>30.92</v>
      </c>
      <c r="K19" s="94" t="n">
        <v>67</v>
      </c>
      <c r="L19" s="18" t="n">
        <v>0</v>
      </c>
      <c r="M19" s="24" t="n">
        <v>36.8</v>
      </c>
      <c r="N19" s="93" t="inlineStr">
        <is>
          <t>📈 Good</t>
        </is>
      </c>
      <c r="O19" s="93" t="inlineStr">
        <is>
          <t>🔴 Not Qualified</t>
        </is>
      </c>
      <c r="P19" s="93" t="inlineStr">
        <is>
          <t>🔴 Avoid</t>
        </is>
      </c>
      <c r="Q19" s="76" t="inlineStr">
        <is>
          <t>FULL</t>
        </is>
      </c>
    </row>
    <row r="20" ht="16" customHeight="1">
      <c r="A20" s="84" t="n">
        <v>16</v>
      </c>
      <c r="B20" s="85" t="inlineStr">
        <is>
          <t>Kotak Balanced Advantage Fund - Regular Plan - Payout of Income Distribution cum capital withdrawal option Option</t>
        </is>
      </c>
      <c r="C20" s="85" t="inlineStr">
        <is>
          <t>Kotak Mahindra Mutual Fund</t>
        </is>
      </c>
      <c r="D20" s="85" t="inlineStr">
        <is>
          <t>Dynamic Asset Allocation Or Balanced Advantage</t>
        </is>
      </c>
      <c r="E20" s="86" t="n">
        <v>-0.27</v>
      </c>
      <c r="F20" s="87" t="n">
        <v>1.36</v>
      </c>
      <c r="G20" s="87" t="n">
        <v>2.07</v>
      </c>
      <c r="H20" s="87" t="n">
        <v>0.9</v>
      </c>
      <c r="I20" s="87" t="n">
        <v>3.464969917358984</v>
      </c>
      <c r="J20" s="87" t="n">
        <v>28.99</v>
      </c>
      <c r="K20" s="94" t="n">
        <v>63.8</v>
      </c>
      <c r="L20" s="18" t="n">
        <v>0</v>
      </c>
      <c r="M20" s="24" t="n">
        <v>35.1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76" t="inlineStr">
        <is>
          <t>FULL</t>
        </is>
      </c>
    </row>
    <row r="21" ht="16" customHeight="1">
      <c r="A21" s="89" t="n">
        <v>17</v>
      </c>
      <c r="B21" s="90" t="inlineStr">
        <is>
          <t>DSP Dynamic Asset Allocation Fund - Regular Plan - Growth</t>
        </is>
      </c>
      <c r="C21" s="90" t="inlineStr">
        <is>
          <t>DSP Mutual Fund</t>
        </is>
      </c>
      <c r="D21" s="90" t="inlineStr">
        <is>
          <t>Dynamic Asset Allocation Or Balanced Advantage</t>
        </is>
      </c>
      <c r="E21" s="91" t="n">
        <v>-0.3</v>
      </c>
      <c r="F21" s="92" t="n">
        <v>0.92</v>
      </c>
      <c r="G21" s="92" t="n">
        <v>1.59</v>
      </c>
      <c r="H21" s="92" t="n">
        <v>3.41</v>
      </c>
      <c r="I21" s="92" t="n">
        <v>5.261578935526146</v>
      </c>
      <c r="J21" s="92" t="n">
        <v>32.84</v>
      </c>
      <c r="K21" s="94" t="n">
        <v>63.3</v>
      </c>
      <c r="L21" s="18" t="n">
        <v>0</v>
      </c>
      <c r="M21" s="24" t="n">
        <v>34.8</v>
      </c>
      <c r="N21" s="93" t="inlineStr">
        <is>
          <t>📈 Good</t>
        </is>
      </c>
      <c r="O21" s="93" t="inlineStr">
        <is>
          <t>🔴 Not Qualified</t>
        </is>
      </c>
      <c r="P21" s="93" t="inlineStr">
        <is>
          <t>🔴 Avoid</t>
        </is>
      </c>
      <c r="Q21" s="76" t="inlineStr">
        <is>
          <t>FULL</t>
        </is>
      </c>
    </row>
    <row r="22" ht="16" customHeight="1">
      <c r="A22" s="84" t="n">
        <v>18</v>
      </c>
      <c r="B22" s="85" t="inlineStr">
        <is>
          <t>Kotak Balanced Advantage Fund -Regular Plan - Growth Option</t>
        </is>
      </c>
      <c r="C22" s="85" t="inlineStr">
        <is>
          <t>Kotak Mahindra Mutual Fund</t>
        </is>
      </c>
      <c r="D22" s="85" t="inlineStr">
        <is>
          <t>Dynamic Asset Allocation Or Balanced Advantage</t>
        </is>
      </c>
      <c r="E22" s="86" t="n">
        <v>-0.28</v>
      </c>
      <c r="F22" s="87" t="n">
        <v>1.36</v>
      </c>
      <c r="G22" s="87" t="n">
        <v>2.07</v>
      </c>
      <c r="H22" s="87" t="n">
        <v>0.9</v>
      </c>
      <c r="I22" s="87" t="n">
        <v>3.460137251020501</v>
      </c>
      <c r="J22" s="87" t="n">
        <v>28.98</v>
      </c>
      <c r="K22" s="94" t="n">
        <v>63.2</v>
      </c>
      <c r="L22" s="18" t="n">
        <v>0</v>
      </c>
      <c r="M22" s="24" t="n">
        <v>34.7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76" t="inlineStr">
        <is>
          <t>FULL</t>
        </is>
      </c>
    </row>
    <row r="23" ht="16" customHeight="1">
      <c r="A23" s="89" t="n">
        <v>19</v>
      </c>
      <c r="B23" s="90" t="inlineStr">
        <is>
          <t>BANK OF INDIA BALANCED ADVANTAGE FUND REGULAR PLAN  GROWTH</t>
        </is>
      </c>
      <c r="C23" s="90" t="inlineStr">
        <is>
          <t>Bank of India Mutual Fund</t>
        </is>
      </c>
      <c r="D23" s="90" t="inlineStr">
        <is>
          <t>Dynamic Asset Allocation Or Balanced Advantage</t>
        </is>
      </c>
      <c r="E23" s="91" t="n">
        <v>-0.41</v>
      </c>
      <c r="F23" s="91" t="n">
        <v>-0.43</v>
      </c>
      <c r="G23" s="92" t="n">
        <v>2.55</v>
      </c>
      <c r="H23" s="92" t="n">
        <v>4.38</v>
      </c>
      <c r="I23" s="92" t="n">
        <v>1.955872807798564</v>
      </c>
      <c r="J23" s="92" t="n">
        <v>27.47</v>
      </c>
      <c r="K23" s="94" t="n">
        <v>57.6</v>
      </c>
      <c r="L23" s="18" t="n">
        <v>0</v>
      </c>
      <c r="M23" s="24" t="n">
        <v>31.7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76" t="inlineStr">
        <is>
          <t>FULL</t>
        </is>
      </c>
    </row>
    <row r="24" ht="16" customHeight="1">
      <c r="A24" s="84" t="n">
        <v>20</v>
      </c>
      <c r="B24" s="85" t="inlineStr">
        <is>
          <t>Mirae Asset Balanced Advantage Fund Regular Plan- Growth</t>
        </is>
      </c>
      <c r="C24" s="85" t="inlineStr">
        <is>
          <t>Mirae Asset Mutual Fund</t>
        </is>
      </c>
      <c r="D24" s="85" t="inlineStr">
        <is>
          <t>Dynamic Asset Allocation Or Balanced Advantage</t>
        </is>
      </c>
      <c r="E24" s="86" t="n">
        <v>-0.34</v>
      </c>
      <c r="F24" s="87" t="n">
        <v>0.64</v>
      </c>
      <c r="G24" s="87" t="n">
        <v>1.77</v>
      </c>
      <c r="H24" s="87" t="n">
        <v>2.31</v>
      </c>
      <c r="I24" s="87" t="n">
        <v>4.235310715707086</v>
      </c>
      <c r="J24" s="87" t="n">
        <v>30.36</v>
      </c>
      <c r="K24" s="94" t="n">
        <v>57</v>
      </c>
      <c r="L24" s="18" t="n">
        <v>0</v>
      </c>
      <c r="M24" s="24" t="n">
        <v>31.3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76" t="inlineStr">
        <is>
          <t>FULL</t>
        </is>
      </c>
    </row>
    <row r="25" ht="16" customHeight="1">
      <c r="A25" s="89" t="n">
        <v>21</v>
      </c>
      <c r="B25" s="90" t="inlineStr">
        <is>
          <t>Axis Balanced Advantage Fund - Regular Plan - Growth</t>
        </is>
      </c>
      <c r="C25" s="90" t="inlineStr">
        <is>
          <t>Axis Mutual Fund</t>
        </is>
      </c>
      <c r="D25" s="90" t="inlineStr">
        <is>
          <t>Dynamic Asset Allocation Or Balanced Advantage</t>
        </is>
      </c>
      <c r="E25" s="91" t="n">
        <v>-0.05</v>
      </c>
      <c r="F25" s="92" t="n">
        <v>0.95</v>
      </c>
      <c r="G25" s="92" t="n">
        <v>0.8</v>
      </c>
      <c r="H25" s="92" t="n">
        <v>1.72</v>
      </c>
      <c r="I25" s="92" t="n">
        <v>3.821962994349137</v>
      </c>
      <c r="J25" s="92" t="n">
        <v>36.75</v>
      </c>
      <c r="K25" s="94" t="n">
        <v>56.7</v>
      </c>
      <c r="L25" s="18" t="n">
        <v>0</v>
      </c>
      <c r="M25" s="24" t="n">
        <v>31.2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76" t="inlineStr">
        <is>
          <t>FULL</t>
        </is>
      </c>
    </row>
    <row r="26" ht="16" customHeight="1">
      <c r="A26" s="84" t="n">
        <v>22</v>
      </c>
      <c r="B26" s="85" t="inlineStr">
        <is>
          <t>quant Dynamic Asset Allocation Fund - Growth Option - Regular Plan</t>
        </is>
      </c>
      <c r="C26" s="85" t="inlineStr">
        <is>
          <t>quant Mutual Fund</t>
        </is>
      </c>
      <c r="D26" s="85" t="inlineStr">
        <is>
          <t>Dynamic Asset Allocation Or Balanced Advantage</t>
        </is>
      </c>
      <c r="E26" s="86" t="n">
        <v>-2.18</v>
      </c>
      <c r="F26" s="87" t="n">
        <v>1.2</v>
      </c>
      <c r="G26" s="87" t="n">
        <v>5.63</v>
      </c>
      <c r="H26" s="86" t="n">
        <v>-1.87</v>
      </c>
      <c r="I26" s="86" t="n">
        <v>-2.368038020328611</v>
      </c>
      <c r="J26" s="87" t="n">
        <v>45.75</v>
      </c>
      <c r="K26" s="94" t="n">
        <v>55.7</v>
      </c>
      <c r="L26" s="18" t="n">
        <v>0</v>
      </c>
      <c r="M26" s="24" t="n">
        <v>30.6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76" t="inlineStr">
        <is>
          <t>FULL</t>
        </is>
      </c>
    </row>
    <row r="27" ht="16" customHeight="1">
      <c r="A27" s="89" t="n">
        <v>23</v>
      </c>
      <c r="B27" s="90" t="inlineStr">
        <is>
          <t>Union Balanced Advantage Fund - Regular Plan - Growth Option</t>
        </is>
      </c>
      <c r="C27" s="90" t="inlineStr">
        <is>
          <t>Union Mutual Fund</t>
        </is>
      </c>
      <c r="D27" s="90" t="inlineStr">
        <is>
          <t>Dynamic Asset Allocation Or Balanced Advantage</t>
        </is>
      </c>
      <c r="E27" s="91" t="n">
        <v>-0.39</v>
      </c>
      <c r="F27" s="92" t="n">
        <v>0.99</v>
      </c>
      <c r="G27" s="92" t="n">
        <v>1.25</v>
      </c>
      <c r="H27" s="92" t="n">
        <v>0.15</v>
      </c>
      <c r="I27" s="92" t="n">
        <v>1.926444066297139</v>
      </c>
      <c r="J27" s="92" t="n">
        <v>23.9</v>
      </c>
      <c r="K27" s="95" t="n">
        <v>49.5</v>
      </c>
      <c r="L27" s="18" t="n">
        <v>0</v>
      </c>
      <c r="M27" s="24" t="n">
        <v>27.2</v>
      </c>
      <c r="N27" s="93" t="inlineStr">
        <is>
          <t>➡️ Neutral</t>
        </is>
      </c>
      <c r="O27" s="93" t="inlineStr">
        <is>
          <t>🔴 Not Qualified</t>
        </is>
      </c>
      <c r="P27" s="93" t="inlineStr">
        <is>
          <t>🔴 Avoid</t>
        </is>
      </c>
      <c r="Q27" s="76" t="inlineStr">
        <is>
          <t>FULL</t>
        </is>
      </c>
    </row>
    <row r="28" ht="16" customHeight="1">
      <c r="A28" s="84" t="n">
        <v>24</v>
      </c>
      <c r="B28" s="85" t="inlineStr">
        <is>
          <t>HSBC Balanced Advantage Fund - Regular Growth</t>
        </is>
      </c>
      <c r="C28" s="85" t="inlineStr">
        <is>
          <t>HSBC Mutual Fund</t>
        </is>
      </c>
      <c r="D28" s="85" t="inlineStr">
        <is>
          <t>Dynamic Asset Allocation Or Balanced Advantage</t>
        </is>
      </c>
      <c r="E28" s="86" t="n">
        <v>-0.45</v>
      </c>
      <c r="F28" s="87" t="n">
        <v>1.17</v>
      </c>
      <c r="G28" s="87" t="n">
        <v>1.25</v>
      </c>
      <c r="H28" s="86" t="n">
        <v>-0.16</v>
      </c>
      <c r="I28" s="87" t="n">
        <v>2.440226473783236</v>
      </c>
      <c r="J28" s="87" t="n">
        <v>28.34</v>
      </c>
      <c r="K28" s="95" t="n">
        <v>47.8</v>
      </c>
      <c r="L28" s="18" t="n">
        <v>0</v>
      </c>
      <c r="M28" s="24" t="n">
        <v>26.3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76" t="inlineStr">
        <is>
          <t>FULL</t>
        </is>
      </c>
    </row>
    <row r="29" ht="16" customHeight="1">
      <c r="A29" s="89" t="n">
        <v>25</v>
      </c>
      <c r="B29" s="90" t="inlineStr">
        <is>
          <t>SBI Balanced Advantage Fund - Regular Plan - Growth</t>
        </is>
      </c>
      <c r="C29" s="90" t="inlineStr">
        <is>
          <t>SBI Mutual Fund</t>
        </is>
      </c>
      <c r="D29" s="90" t="inlineStr">
        <is>
          <t>Dynamic Asset Allocation Or Balanced Advantage</t>
        </is>
      </c>
      <c r="E29" s="91" t="n">
        <v>-0.51</v>
      </c>
      <c r="F29" s="92" t="n">
        <v>0.15</v>
      </c>
      <c r="G29" s="92" t="n">
        <v>0.32</v>
      </c>
      <c r="H29" s="92" t="n">
        <v>2.68</v>
      </c>
      <c r="I29" s="92" t="n">
        <v>4.297650980259382</v>
      </c>
      <c r="J29" s="92" t="n">
        <v>32.44</v>
      </c>
      <c r="K29" s="95" t="n">
        <v>45.4</v>
      </c>
      <c r="L29" s="18" t="n">
        <v>0</v>
      </c>
      <c r="M29" s="24" t="n">
        <v>25</v>
      </c>
      <c r="N29" s="93" t="inlineStr">
        <is>
          <t>➡️ Neutral</t>
        </is>
      </c>
      <c r="O29" s="93" t="inlineStr">
        <is>
          <t>🔴 Not Qualified</t>
        </is>
      </c>
      <c r="P29" s="93" t="inlineStr">
        <is>
          <t>🔴 Avoid</t>
        </is>
      </c>
      <c r="Q29" s="76" t="inlineStr">
        <is>
          <t>FULL</t>
        </is>
      </c>
    </row>
    <row r="30" ht="16" customHeight="1">
      <c r="A30" s="84" t="n">
        <v>26</v>
      </c>
      <c r="B30" s="85" t="inlineStr">
        <is>
          <t>LIC MF Balanced Advantage Fund-Regular Plan-Growth</t>
        </is>
      </c>
      <c r="C30" s="85" t="inlineStr">
        <is>
          <t>LIC Mutual Fund</t>
        </is>
      </c>
      <c r="D30" s="85" t="inlineStr">
        <is>
          <t>Dynamic Asset Allocation Or Balanced Advantage</t>
        </is>
      </c>
      <c r="E30" s="86" t="n">
        <v>-0.38</v>
      </c>
      <c r="F30" s="87" t="n">
        <v>1.33</v>
      </c>
      <c r="G30" s="87" t="n">
        <v>0.96</v>
      </c>
      <c r="H30" s="86" t="n">
        <v>-3.32</v>
      </c>
      <c r="I30" s="87" t="n">
        <v>1.730034896288113</v>
      </c>
      <c r="J30" s="87" t="n">
        <v>19.11</v>
      </c>
      <c r="K30" s="95" t="n">
        <v>41.3</v>
      </c>
      <c r="L30" s="18" t="n">
        <v>0</v>
      </c>
      <c r="M30" s="24" t="n">
        <v>22.7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76" t="inlineStr">
        <is>
          <t>FULL</t>
        </is>
      </c>
    </row>
    <row r="31" ht="16" customHeight="1">
      <c r="A31" s="26" t="n">
        <v>27</v>
      </c>
      <c r="B31" s="27" t="inlineStr">
        <is>
          <t>UTI Balanced Advantage Fund - Regular Plan - Growth Option</t>
        </is>
      </c>
      <c r="C31" s="27" t="inlineStr">
        <is>
          <t>UTI Mutual Fund</t>
        </is>
      </c>
      <c r="D31" s="27" t="inlineStr">
        <is>
          <t>Dynamic Asset Allocation Or Balanced Advantage</t>
        </is>
      </c>
      <c r="E31" s="28" t="n">
        <v>-0.04</v>
      </c>
      <c r="F31" s="29" t="n">
        <v>0.17</v>
      </c>
      <c r="G31" s="28" t="n">
        <v>-2.42</v>
      </c>
      <c r="H31" s="28" t="n">
        <v>-2.1</v>
      </c>
      <c r="I31" s="29" t="n">
        <v>2.327904307671624</v>
      </c>
      <c r="J31" s="29" t="n">
        <v>0</v>
      </c>
      <c r="K31" s="95" t="n">
        <v>35.5</v>
      </c>
      <c r="L31" s="18" t="n">
        <v>0</v>
      </c>
      <c r="M31" s="24" t="n">
        <v>19.5</v>
      </c>
      <c r="N31" s="101" t="inlineStr">
        <is>
          <t>📉 Weak</t>
        </is>
      </c>
      <c r="O31" s="101" t="inlineStr">
        <is>
          <t>⏳ New Fund</t>
        </is>
      </c>
      <c r="P31" s="101" t="inlineStr">
        <is>
          <t>⏳ New Fund</t>
        </is>
      </c>
      <c r="Q31" s="102" t="inlineStr">
        <is>
          <t>MOMENTUM_ONLY</t>
        </is>
      </c>
    </row>
    <row r="32" ht="16" customHeight="1">
      <c r="A32" s="84" t="n">
        <v>28</v>
      </c>
      <c r="B32" s="85" t="inlineStr">
        <is>
          <t>Franklin India Balanced Advantage Fund- Growth</t>
        </is>
      </c>
      <c r="C32" s="85" t="inlineStr">
        <is>
          <t>Franklin Templeton Mutual Fund</t>
        </is>
      </c>
      <c r="D32" s="85" t="inlineStr">
        <is>
          <t>Dynamic Asset Allocation Or Balanced Advantage</t>
        </is>
      </c>
      <c r="E32" s="86" t="n">
        <v>-0.64</v>
      </c>
      <c r="F32" s="87" t="n">
        <v>0.05</v>
      </c>
      <c r="G32" s="87" t="n">
        <v>0.53</v>
      </c>
      <c r="H32" s="86" t="n">
        <v>-0.91</v>
      </c>
      <c r="I32" s="87" t="n">
        <v>2.40117186829456</v>
      </c>
      <c r="J32" s="87" t="n">
        <v>30.98</v>
      </c>
      <c r="K32" s="95" t="n">
        <v>33.4</v>
      </c>
      <c r="L32" s="18" t="n">
        <v>0</v>
      </c>
      <c r="M32" s="24" t="n">
        <v>18.4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76" t="inlineStr">
        <is>
          <t>FULL</t>
        </is>
      </c>
    </row>
    <row r="33" ht="16" customHeight="1">
      <c r="A33" s="89" t="n">
        <v>29</v>
      </c>
      <c r="B33" s="90" t="inlineStr">
        <is>
          <t>PGIM India Balanced Advantage Fund - Regular Plan - Growth Option</t>
        </is>
      </c>
      <c r="C33" s="90" t="inlineStr">
        <is>
          <t>PGIM India Mutual Fund</t>
        </is>
      </c>
      <c r="D33" s="90" t="inlineStr">
        <is>
          <t>Dynamic Asset Allocation Or Balanced Advantage</t>
        </is>
      </c>
      <c r="E33" s="91" t="n">
        <v>-0.4</v>
      </c>
      <c r="F33" s="92" t="n">
        <v>0.4</v>
      </c>
      <c r="G33" s="92" t="n">
        <v>0</v>
      </c>
      <c r="H33" s="91" t="n">
        <v>-2.79</v>
      </c>
      <c r="I33" s="92" t="n">
        <v>1.049492824061216</v>
      </c>
      <c r="J33" s="92" t="n">
        <v>17.75</v>
      </c>
      <c r="K33" s="95" t="n">
        <v>29.9</v>
      </c>
      <c r="L33" s="18" t="n">
        <v>0</v>
      </c>
      <c r="M33" s="24" t="n">
        <v>16.4</v>
      </c>
      <c r="N33" s="93" t="inlineStr">
        <is>
          <t>📉 Weak</t>
        </is>
      </c>
      <c r="O33" s="93" t="inlineStr">
        <is>
          <t>🔴 Not Qualified</t>
        </is>
      </c>
      <c r="P33" s="93" t="inlineStr">
        <is>
          <t>🔴 Avoid</t>
        </is>
      </c>
      <c r="Q33" s="76" t="inlineStr">
        <is>
          <t>FULL</t>
        </is>
      </c>
    </row>
    <row r="34" ht="16" customHeight="1">
      <c r="A34" s="26" t="n">
        <v>30</v>
      </c>
      <c r="B34" s="27" t="inlineStr">
        <is>
          <t>Canara Robeco Balanced Advantage Fund - Regular Plan - Growth Option</t>
        </is>
      </c>
      <c r="C34" s="27" t="inlineStr">
        <is>
          <t>Canara Robeco Mutual Fund</t>
        </is>
      </c>
      <c r="D34" s="27" t="inlineStr">
        <is>
          <t>Dynamic Asset Allocation Or Balanced Advantage</t>
        </is>
      </c>
      <c r="E34" s="28" t="n">
        <v>-0.49</v>
      </c>
      <c r="F34" s="28" t="n">
        <v>-0.2</v>
      </c>
      <c r="G34" s="28" t="n">
        <v>-0.1</v>
      </c>
      <c r="H34" s="28" t="n">
        <v>-2.03</v>
      </c>
      <c r="I34" s="29" t="n">
        <v>0</v>
      </c>
      <c r="J34" s="29" t="n">
        <v>0</v>
      </c>
      <c r="K34" s="95" t="n">
        <v>28</v>
      </c>
      <c r="L34" s="18" t="n">
        <v>0</v>
      </c>
      <c r="M34" s="24" t="n">
        <v>15.4</v>
      </c>
      <c r="N34" s="101" t="inlineStr">
        <is>
          <t>📉 Weak</t>
        </is>
      </c>
      <c r="O34" s="101" t="inlineStr">
        <is>
          <t>⏳ New Fund</t>
        </is>
      </c>
      <c r="P34" s="101" t="inlineStr">
        <is>
          <t>⏳ New Fund</t>
        </is>
      </c>
      <c r="Q34" s="102" t="inlineStr">
        <is>
          <t>MOMENTUM_ONLY</t>
        </is>
      </c>
    </row>
    <row r="35" ht="16" customHeight="1">
      <c r="A35" s="89" t="n">
        <v>31</v>
      </c>
      <c r="B35" s="90" t="inlineStr">
        <is>
          <t>HDFC Balanced Advantage Fund - Growth Plan</t>
        </is>
      </c>
      <c r="C35" s="90" t="inlineStr">
        <is>
          <t>HDFC Mutual Fund</t>
        </is>
      </c>
      <c r="D35" s="90" t="inlineStr">
        <is>
          <t>Dynamic Asset Allocation Or Balanced Advantage</t>
        </is>
      </c>
      <c r="E35" s="91" t="n">
        <v>-0.78</v>
      </c>
      <c r="F35" s="91" t="n">
        <v>-0.06</v>
      </c>
      <c r="G35" s="91" t="n">
        <v>-0.4</v>
      </c>
      <c r="H35" s="91" t="n">
        <v>-0.44</v>
      </c>
      <c r="I35" s="92" t="n">
        <v>1.459351466486325</v>
      </c>
      <c r="J35" s="92" t="n">
        <v>43.32</v>
      </c>
      <c r="K35" s="95" t="n">
        <v>25.9</v>
      </c>
      <c r="L35" s="18" t="n">
        <v>0</v>
      </c>
      <c r="M35" s="24" t="n">
        <v>14.3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76" t="inlineStr">
        <is>
          <t>FULL</t>
        </is>
      </c>
    </row>
    <row r="36" ht="16" customHeight="1">
      <c r="A36" s="84" t="n">
        <v>32</v>
      </c>
      <c r="B36" s="85" t="inlineStr">
        <is>
          <t>TATA Balanced Advantage Fund Regular Plan - Reinvestment of Income Distribution cum capital withdrawal option</t>
        </is>
      </c>
      <c r="C36" s="85" t="inlineStr">
        <is>
          <t>Tata Mutual Fund</t>
        </is>
      </c>
      <c r="D36" s="85" t="inlineStr">
        <is>
          <t>Dynamic Asset Allocation Or Balanced Advantage</t>
        </is>
      </c>
      <c r="E36" s="86" t="n">
        <v>-0.18</v>
      </c>
      <c r="F36" s="86" t="n">
        <v>-1.98</v>
      </c>
      <c r="G36" s="86" t="n">
        <v>-1.62</v>
      </c>
      <c r="H36" s="86" t="n">
        <v>-2.19</v>
      </c>
      <c r="I36" s="87" t="n">
        <v>0.4888053466653552</v>
      </c>
      <c r="J36" s="87" t="n">
        <v>22.02</v>
      </c>
      <c r="K36" s="95" t="n">
        <v>25.1</v>
      </c>
      <c r="L36" s="18" t="n">
        <v>0</v>
      </c>
      <c r="M36" s="24" t="n">
        <v>13.8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76" t="inlineStr">
        <is>
          <t>FULL</t>
        </is>
      </c>
    </row>
    <row r="37" ht="16" customHeight="1">
      <c r="A37" s="89" t="n">
        <v>32</v>
      </c>
      <c r="B37" s="90" t="inlineStr">
        <is>
          <t>TATA Balanced Advantage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Dynamic Asset Allocation Or Balanced Advantage</t>
        </is>
      </c>
      <c r="E37" s="91" t="n">
        <v>-0.18</v>
      </c>
      <c r="F37" s="91" t="n">
        <v>-1.98</v>
      </c>
      <c r="G37" s="91" t="n">
        <v>-1.62</v>
      </c>
      <c r="H37" s="91" t="n">
        <v>-2.19</v>
      </c>
      <c r="I37" s="92" t="n">
        <v>0.4888053466653552</v>
      </c>
      <c r="J37" s="92" t="n">
        <v>22.02</v>
      </c>
      <c r="K37" s="95" t="n">
        <v>25.1</v>
      </c>
      <c r="L37" s="18" t="n">
        <v>0</v>
      </c>
      <c r="M37" s="24" t="n">
        <v>13.8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76" t="inlineStr">
        <is>
          <t>FULL</t>
        </is>
      </c>
    </row>
    <row r="38" ht="16" customHeight="1">
      <c r="A38" s="84" t="n">
        <v>34</v>
      </c>
      <c r="B38" s="85" t="inlineStr">
        <is>
          <t>Shriram Balanced Advantage Fund - Regular Growth</t>
        </is>
      </c>
      <c r="C38" s="85" t="inlineStr">
        <is>
          <t>Shriram Mutual Fund</t>
        </is>
      </c>
      <c r="D38" s="85" t="inlineStr">
        <is>
          <t>Dynamic Asset Allocation Or Balanced Advantage</t>
        </is>
      </c>
      <c r="E38" s="86" t="n">
        <v>-0.47</v>
      </c>
      <c r="F38" s="87" t="n">
        <v>0.09</v>
      </c>
      <c r="G38" s="86" t="n">
        <v>-1.07</v>
      </c>
      <c r="H38" s="86" t="n">
        <v>-2.27</v>
      </c>
      <c r="I38" s="86" t="n">
        <v>-3.625729574745939</v>
      </c>
      <c r="J38" s="87" t="n">
        <v>16.17</v>
      </c>
      <c r="K38" s="95" t="n">
        <v>23.3</v>
      </c>
      <c r="L38" s="18" t="n">
        <v>0</v>
      </c>
      <c r="M38" s="24" t="n">
        <v>12.8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76" t="inlineStr">
        <is>
          <t>FULL</t>
        </is>
      </c>
    </row>
    <row r="39" ht="16" customHeight="1">
      <c r="A39" s="89" t="n">
        <v>35</v>
      </c>
      <c r="B39" s="90" t="inlineStr">
        <is>
          <t>Sundaram Balanced Advantage Fund (Formerly Known as Principal Balanced Advantage Fund) - Growth Option</t>
        </is>
      </c>
      <c r="C39" s="90" t="inlineStr">
        <is>
          <t>Sundaram Mutual Fund</t>
        </is>
      </c>
      <c r="D39" s="90" t="inlineStr">
        <is>
          <t>Dynamic Asset Allocation Or Balanced Advantage</t>
        </is>
      </c>
      <c r="E39" s="91" t="n">
        <v>-0.86</v>
      </c>
      <c r="F39" s="91" t="n">
        <v>-0.05</v>
      </c>
      <c r="G39" s="91" t="n">
        <v>-1.04</v>
      </c>
      <c r="H39" s="91" t="n">
        <v>-1.58</v>
      </c>
      <c r="I39" s="92" t="n">
        <v>1.321271211922714</v>
      </c>
      <c r="J39" s="92" t="n">
        <v>23.8</v>
      </c>
      <c r="K39" s="95" t="n">
        <v>22.4</v>
      </c>
      <c r="L39" s="18" t="n">
        <v>0</v>
      </c>
      <c r="M39" s="24" t="n">
        <v>12.3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76" t="inlineStr">
        <is>
          <t>FULL</t>
        </is>
      </c>
    </row>
    <row r="40" ht="16" customHeight="1">
      <c r="A40" s="26" t="n">
        <v>36</v>
      </c>
      <c r="B40" s="27" t="inlineStr">
        <is>
          <t>Samco Dynamic Asset Allocation Fund - Regular Plan - Growth Option</t>
        </is>
      </c>
      <c r="C40" s="27" t="inlineStr">
        <is>
          <t>Samco Mutual Fund</t>
        </is>
      </c>
      <c r="D40" s="27" t="inlineStr">
        <is>
          <t>Dynamic Asset Allocation Or Balanced Advantage</t>
        </is>
      </c>
      <c r="E40" s="28" t="n">
        <v>-3.16</v>
      </c>
      <c r="F40" s="29" t="n">
        <v>0.1</v>
      </c>
      <c r="G40" s="29" t="n">
        <v>0.2</v>
      </c>
      <c r="H40" s="28" t="n">
        <v>-5.68</v>
      </c>
      <c r="I40" s="28" t="n">
        <v>-4.344367651455039</v>
      </c>
      <c r="J40" s="29" t="n">
        <v>0</v>
      </c>
      <c r="K40" s="95" t="n">
        <v>19.7</v>
      </c>
      <c r="L40" s="18" t="n">
        <v>0</v>
      </c>
      <c r="M40" s="24" t="n">
        <v>10.9</v>
      </c>
      <c r="N40" s="101" t="inlineStr">
        <is>
          <t>📉 Weak</t>
        </is>
      </c>
      <c r="O40" s="101" t="inlineStr">
        <is>
          <t>⏳ New Fund</t>
        </is>
      </c>
      <c r="P40" s="101" t="inlineStr">
        <is>
          <t>⏳ New Fund</t>
        </is>
      </c>
      <c r="Q40" s="102" t="inlineStr">
        <is>
          <t>MOMENTUM_ONLY</t>
        </is>
      </c>
    </row>
    <row r="41" ht="16" customHeight="1">
      <c r="A41" s="89" t="n">
        <v>37</v>
      </c>
      <c r="B41" s="90" t="inlineStr">
        <is>
          <t>ITI Balanced Advantage Fund - Regular Plan - Growth Option</t>
        </is>
      </c>
      <c r="C41" s="90" t="inlineStr">
        <is>
          <t>ITI Mutual Fund</t>
        </is>
      </c>
      <c r="D41" s="90" t="inlineStr">
        <is>
          <t>Dynamic Asset Allocation Or Balanced Advantage</t>
        </is>
      </c>
      <c r="E41" s="91" t="n">
        <v>-1.71</v>
      </c>
      <c r="F41" s="92" t="n">
        <v>0.62</v>
      </c>
      <c r="G41" s="91" t="n">
        <v>-1.47</v>
      </c>
      <c r="H41" s="91" t="n">
        <v>-3.42</v>
      </c>
      <c r="I41" s="92" t="n">
        <v>0.3444069193694554</v>
      </c>
      <c r="J41" s="92" t="n">
        <v>24.69</v>
      </c>
      <c r="K41" s="95" t="n">
        <v>17.8</v>
      </c>
      <c r="L41" s="18" t="n">
        <v>0</v>
      </c>
      <c r="M41" s="24" t="n">
        <v>9.800000000000001</v>
      </c>
      <c r="N41" s="93" t="inlineStr">
        <is>
          <t>📉 Weak</t>
        </is>
      </c>
      <c r="O41" s="93" t="inlineStr">
        <is>
          <t>🔴 Not Qualified</t>
        </is>
      </c>
      <c r="P41" s="93" t="inlineStr">
        <is>
          <t>🔴 Avoid</t>
        </is>
      </c>
      <c r="Q41" s="76" t="inlineStr">
        <is>
          <t>FULL</t>
        </is>
      </c>
    </row>
    <row r="42" ht="16" customHeight="1">
      <c r="A42" s="84" t="n">
        <v>38</v>
      </c>
      <c r="B42" s="85" t="inlineStr">
        <is>
          <t>Invesco India Balanced Advantage Fund - Regular Plan - Growth</t>
        </is>
      </c>
      <c r="C42" s="85" t="inlineStr">
        <is>
          <t>Invesco Mutual Fund</t>
        </is>
      </c>
      <c r="D42" s="85" t="inlineStr">
        <is>
          <t>Dynamic Asset Allocation Or Balanced Advantage</t>
        </is>
      </c>
      <c r="E42" s="86" t="n">
        <v>-0.6899999999999999</v>
      </c>
      <c r="F42" s="87" t="n">
        <v>0.42</v>
      </c>
      <c r="G42" s="86" t="n">
        <v>-2.46</v>
      </c>
      <c r="H42" s="86" t="n">
        <v>-3.67</v>
      </c>
      <c r="I42" s="87" t="n">
        <v>0.379280730636844</v>
      </c>
      <c r="J42" s="87" t="n">
        <v>26.47</v>
      </c>
      <c r="K42" s="95" t="n">
        <v>16.7</v>
      </c>
      <c r="L42" s="18" t="n">
        <v>0</v>
      </c>
      <c r="M42" s="24" t="n">
        <v>9.199999999999999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76" t="inlineStr">
        <is>
          <t>FULL</t>
        </is>
      </c>
    </row>
    <row r="43" ht="16" customHeight="1">
      <c r="A43" s="89" t="n">
        <v>39</v>
      </c>
      <c r="B43" s="90" t="inlineStr">
        <is>
          <t>Sundaram Balanced Advantage Fund (Formerly Known as Principal Balanced Advantage Fund) - Monthly Income Distribution CUM Capital Withdrawal Option</t>
        </is>
      </c>
      <c r="C43" s="90" t="inlineStr">
        <is>
          <t>Sundaram Mutual Fund</t>
        </is>
      </c>
      <c r="D43" s="90" t="inlineStr">
        <is>
          <t>Dynamic Asset Allocation Or Balanced Advantage</t>
        </is>
      </c>
      <c r="E43" s="91" t="n">
        <v>-1.66</v>
      </c>
      <c r="F43" s="91" t="n">
        <v>-2.44</v>
      </c>
      <c r="G43" s="91" t="n">
        <v>-5.65</v>
      </c>
      <c r="H43" s="91" t="n">
        <v>-10.26</v>
      </c>
      <c r="I43" s="91" t="n">
        <v>-7.17758891302166</v>
      </c>
      <c r="J43" s="91" t="n">
        <v>-2.47</v>
      </c>
      <c r="K43" s="95" t="n">
        <v>0</v>
      </c>
      <c r="L43" s="18" t="n">
        <v>0</v>
      </c>
      <c r="M43" s="24" t="n">
        <v>0</v>
      </c>
      <c r="N43" s="93" t="inlineStr">
        <is>
          <t>📉 Weak</t>
        </is>
      </c>
      <c r="O43" s="93" t="inlineStr">
        <is>
          <t>🔴 Not Qualified</t>
        </is>
      </c>
      <c r="P43" s="93" t="inlineStr">
        <is>
          <t>🔴 Avoid</t>
        </is>
      </c>
      <c r="Q43" s="76" t="inlineStr">
        <is>
          <t>FULL</t>
        </is>
      </c>
    </row>
    <row r="44" ht="16" customHeight="1">
      <c r="A44" s="96" t="n">
        <v>0</v>
      </c>
      <c r="B44" s="97" t="inlineStr">
        <is>
          <t>The Wealth Company Balanced Advantage Fund - Regular Growth</t>
        </is>
      </c>
      <c r="C44" s="97" t="inlineStr">
        <is>
          <t>The Wealth Company Mutual Fund</t>
        </is>
      </c>
      <c r="D44" s="97" t="inlineStr">
        <is>
          <t>Dynamic Asset Allocation Or Balanced Advantage</t>
        </is>
      </c>
      <c r="E44" s="103" t="n">
        <v>-1.32</v>
      </c>
      <c r="F44" s="103" t="n">
        <v>-0.8</v>
      </c>
      <c r="G44" s="98" t="n">
        <v>0</v>
      </c>
      <c r="H44" s="98" t="n">
        <v>0</v>
      </c>
      <c r="I44" s="98" t="n">
        <v>0</v>
      </c>
      <c r="J44" s="98" t="n">
        <v>0</v>
      </c>
      <c r="K44" s="95" t="n">
        <v>0</v>
      </c>
      <c r="L44" s="18" t="n">
        <v>0</v>
      </c>
      <c r="M44" s="24" t="n">
        <v>0</v>
      </c>
      <c r="N44" s="99" t="inlineStr">
        <is>
          <t>❌ N/A</t>
        </is>
      </c>
      <c r="O44" s="99" t="inlineStr">
        <is>
          <t>❌ N/A</t>
        </is>
      </c>
      <c r="P44" s="99" t="inlineStr">
        <is>
          <t>❌ Missing Data</t>
        </is>
      </c>
      <c r="Q44" s="100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7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6" t="n">
        <v>1</v>
      </c>
      <c r="B5" s="27" t="inlineStr">
        <is>
          <t>WhiteOak Capital Equity Savings Fund Regular Plan Growth</t>
        </is>
      </c>
      <c r="C5" s="27" t="inlineStr">
        <is>
          <t>WhiteOak Capital Mutual Fund</t>
        </is>
      </c>
      <c r="D5" s="27" t="inlineStr">
        <is>
          <t>Equity Savings</t>
        </is>
      </c>
      <c r="E5" s="29" t="n">
        <v>1.08</v>
      </c>
      <c r="F5" s="29" t="n">
        <v>2.19</v>
      </c>
      <c r="G5" s="29" t="n">
        <v>2.37</v>
      </c>
      <c r="H5" s="29" t="n">
        <v>6.94</v>
      </c>
      <c r="I5" s="29" t="n">
        <v>0</v>
      </c>
      <c r="J5" s="29" t="n">
        <v>0</v>
      </c>
      <c r="K5" s="17" t="n">
        <v>92.59999999999999</v>
      </c>
      <c r="L5" s="18" t="n">
        <v>0</v>
      </c>
      <c r="M5" s="19" t="n">
        <v>50.9</v>
      </c>
      <c r="N5" s="101" t="inlineStr">
        <is>
          <t>🔥 Hot</t>
        </is>
      </c>
      <c r="O5" s="101" t="inlineStr">
        <is>
          <t>⏳ New Fund</t>
        </is>
      </c>
      <c r="P5" s="101" t="inlineStr">
        <is>
          <t>🔥 Hot Momentum</t>
        </is>
      </c>
      <c r="Q5" s="102" t="inlineStr">
        <is>
          <t>MOMENTUM_ONLY</t>
        </is>
      </c>
    </row>
    <row r="6" ht="16" customHeight="1">
      <c r="A6" s="77" t="n">
        <v>2</v>
      </c>
      <c r="B6" s="78" t="inlineStr">
        <is>
          <t>Edelweiss Equity Savings Fund - Regular Plan - Growth Option</t>
        </is>
      </c>
      <c r="C6" s="78" t="inlineStr">
        <is>
          <t>Edelweiss Mutual Fund</t>
        </is>
      </c>
      <c r="D6" s="78" t="inlineStr">
        <is>
          <t>Equity Savings</t>
        </is>
      </c>
      <c r="E6" s="79" t="n">
        <v>0.48</v>
      </c>
      <c r="F6" s="79" t="n">
        <v>2.42</v>
      </c>
      <c r="G6" s="79" t="n">
        <v>4.41</v>
      </c>
      <c r="H6" s="79" t="n">
        <v>6.73</v>
      </c>
      <c r="I6" s="79" t="n">
        <v>7.517440445724888</v>
      </c>
      <c r="J6" s="79" t="n">
        <v>33.95</v>
      </c>
      <c r="K6" s="17" t="n">
        <v>92.2</v>
      </c>
      <c r="L6" s="18" t="n">
        <v>0</v>
      </c>
      <c r="M6" s="19" t="n">
        <v>50.7</v>
      </c>
      <c r="N6" s="34" t="inlineStr">
        <is>
          <t>🔥 Hot</t>
        </is>
      </c>
      <c r="O6" s="34" t="inlineStr">
        <is>
          <t>🔴 Not Qualified</t>
        </is>
      </c>
      <c r="P6" s="34" t="inlineStr">
        <is>
          <t>⚠️ Watch</t>
        </is>
      </c>
      <c r="Q6" s="76" t="inlineStr">
        <is>
          <t>FULL</t>
        </is>
      </c>
    </row>
    <row r="7" ht="16" customHeight="1">
      <c r="A7" s="80" t="n">
        <v>3</v>
      </c>
      <c r="B7" s="81" t="inlineStr">
        <is>
          <t>HSBC Equity Savings Fund - Regular Growth</t>
        </is>
      </c>
      <c r="C7" s="81" t="inlineStr">
        <is>
          <t>HSBC Mutual Fund</t>
        </is>
      </c>
      <c r="D7" s="81" t="inlineStr">
        <is>
          <t>Equity Savings</t>
        </is>
      </c>
      <c r="E7" s="82" t="n">
        <v>-0.23</v>
      </c>
      <c r="F7" s="83" t="n">
        <v>3.29</v>
      </c>
      <c r="G7" s="83" t="n">
        <v>8.73</v>
      </c>
      <c r="H7" s="83" t="n">
        <v>10.56</v>
      </c>
      <c r="I7" s="83" t="n">
        <v>7.610408418516834</v>
      </c>
      <c r="J7" s="83" t="n">
        <v>43.46</v>
      </c>
      <c r="K7" s="17" t="n">
        <v>85</v>
      </c>
      <c r="L7" s="18" t="n">
        <v>0</v>
      </c>
      <c r="M7" s="24" t="n">
        <v>46.8</v>
      </c>
      <c r="N7" s="25" t="inlineStr">
        <is>
          <t>⭐ Strong</t>
        </is>
      </c>
      <c r="O7" s="25" t="inlineStr">
        <is>
          <t>🔴 Not Qualified</t>
        </is>
      </c>
      <c r="P7" s="25" t="inlineStr">
        <is>
          <t>⚠️ Watch</t>
        </is>
      </c>
      <c r="Q7" s="76" t="inlineStr">
        <is>
          <t>FULL</t>
        </is>
      </c>
    </row>
    <row r="8" ht="16" customHeight="1">
      <c r="A8" s="84" t="n">
        <v>4</v>
      </c>
      <c r="B8" s="85" t="inlineStr">
        <is>
          <t>Axis Equity Savings Fund - Regular Plan - Growth</t>
        </is>
      </c>
      <c r="C8" s="85" t="inlineStr">
        <is>
          <t>Axis Mutual Fund</t>
        </is>
      </c>
      <c r="D8" s="85" t="inlineStr">
        <is>
          <t>Equity Savings</t>
        </is>
      </c>
      <c r="E8" s="87" t="n">
        <v>0.7</v>
      </c>
      <c r="F8" s="87" t="n">
        <v>2.59</v>
      </c>
      <c r="G8" s="87" t="n">
        <v>2.59</v>
      </c>
      <c r="H8" s="87" t="n">
        <v>3.79</v>
      </c>
      <c r="I8" s="87" t="n">
        <v>4.259292151826921</v>
      </c>
      <c r="J8" s="87" t="n">
        <v>27.6</v>
      </c>
      <c r="K8" s="17" t="n">
        <v>84.09999999999999</v>
      </c>
      <c r="L8" s="18" t="n">
        <v>0</v>
      </c>
      <c r="M8" s="24" t="n">
        <v>46.3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76" t="inlineStr">
        <is>
          <t>FULL</t>
        </is>
      </c>
    </row>
    <row r="9" ht="16" customHeight="1">
      <c r="A9" s="89" t="n">
        <v>5</v>
      </c>
      <c r="B9" s="90" t="inlineStr">
        <is>
          <t>Mahindra Manulife Equity Savings Fund - Regular Plan - Growth</t>
        </is>
      </c>
      <c r="C9" s="90" t="inlineStr">
        <is>
          <t>Mahindra Manulife Mutual Fund</t>
        </is>
      </c>
      <c r="D9" s="90" t="inlineStr">
        <is>
          <t>Equity Savings</t>
        </is>
      </c>
      <c r="E9" s="92" t="n">
        <v>0.27</v>
      </c>
      <c r="F9" s="92" t="n">
        <v>1.51</v>
      </c>
      <c r="G9" s="92" t="n">
        <v>2.41</v>
      </c>
      <c r="H9" s="92" t="n">
        <v>4.29</v>
      </c>
      <c r="I9" s="92" t="n">
        <v>4.297650980259382</v>
      </c>
      <c r="J9" s="92" t="n">
        <v>27.37</v>
      </c>
      <c r="K9" s="17" t="n">
        <v>81.40000000000001</v>
      </c>
      <c r="L9" s="18" t="n">
        <v>0</v>
      </c>
      <c r="M9" s="24" t="n">
        <v>44.8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76" t="inlineStr">
        <is>
          <t>FULL</t>
        </is>
      </c>
    </row>
    <row r="10" ht="16" customHeight="1">
      <c r="A10" s="26" t="n">
        <v>6</v>
      </c>
      <c r="B10" s="27" t="inlineStr">
        <is>
          <t>quant Equity Savings Fund - Growth Option - Regular Plan</t>
        </is>
      </c>
      <c r="C10" s="27" t="inlineStr">
        <is>
          <t>quant Mutual Fund</t>
        </is>
      </c>
      <c r="D10" s="27" t="inlineStr">
        <is>
          <t>Equity Savings</t>
        </is>
      </c>
      <c r="E10" s="29" t="n">
        <v>1.25</v>
      </c>
      <c r="F10" s="29" t="n">
        <v>3.26</v>
      </c>
      <c r="G10" s="29" t="n">
        <v>5.11</v>
      </c>
      <c r="H10" s="29" t="n">
        <v>0</v>
      </c>
      <c r="I10" s="29" t="n">
        <v>0</v>
      </c>
      <c r="J10" s="29" t="n">
        <v>0</v>
      </c>
      <c r="K10" s="17" t="n">
        <v>80</v>
      </c>
      <c r="L10" s="18" t="n">
        <v>0</v>
      </c>
      <c r="M10" s="24" t="n">
        <v>44</v>
      </c>
      <c r="N10" s="101" t="inlineStr">
        <is>
          <t>⭐ Strong</t>
        </is>
      </c>
      <c r="O10" s="101" t="inlineStr">
        <is>
          <t>⏳ New Fund</t>
        </is>
      </c>
      <c r="P10" s="101" t="inlineStr">
        <is>
          <t>🔥 Hot Momentum</t>
        </is>
      </c>
      <c r="Q10" s="102" t="inlineStr">
        <is>
          <t>MOMENTUM_ONLY</t>
        </is>
      </c>
    </row>
    <row r="11" ht="16" customHeight="1">
      <c r="A11" s="89" t="n">
        <v>7</v>
      </c>
      <c r="B11" s="90" t="inlineStr">
        <is>
          <t>BANDHAN Equity Savings Fund - Regular Plan - Growth</t>
        </is>
      </c>
      <c r="C11" s="90" t="inlineStr">
        <is>
          <t>Bandhan Mutual Fund</t>
        </is>
      </c>
      <c r="D11" s="90" t="inlineStr">
        <is>
          <t>Equity Savings</t>
        </is>
      </c>
      <c r="E11" s="92" t="n">
        <v>0.71</v>
      </c>
      <c r="F11" s="92" t="n">
        <v>1.72</v>
      </c>
      <c r="G11" s="92" t="n">
        <v>1.97</v>
      </c>
      <c r="H11" s="92" t="n">
        <v>3.85</v>
      </c>
      <c r="I11" s="92" t="n">
        <v>4.709120901667396</v>
      </c>
      <c r="J11" s="92" t="n">
        <v>21.09</v>
      </c>
      <c r="K11" s="17" t="n">
        <v>75.40000000000001</v>
      </c>
      <c r="L11" s="18" t="n">
        <v>0</v>
      </c>
      <c r="M11" s="24" t="n">
        <v>41.5</v>
      </c>
      <c r="N11" s="93" t="inlineStr">
        <is>
          <t>⭐ Strong</t>
        </is>
      </c>
      <c r="O11" s="93" t="inlineStr">
        <is>
          <t>🔴 Not Qualified</t>
        </is>
      </c>
      <c r="P11" s="93" t="inlineStr">
        <is>
          <t>⚠️ Watch</t>
        </is>
      </c>
      <c r="Q11" s="76" t="inlineStr">
        <is>
          <t>FULL</t>
        </is>
      </c>
    </row>
    <row r="12" ht="16" customHeight="1">
      <c r="A12" s="84" t="n">
        <v>8</v>
      </c>
      <c r="B12" s="85" t="inlineStr">
        <is>
          <t>Aditya Birla Sun Life Equity Savings Fund - Regular Plan - Growth</t>
        </is>
      </c>
      <c r="C12" s="85" t="inlineStr">
        <is>
          <t>Aditya Birla Sun Life Mutual Fund</t>
        </is>
      </c>
      <c r="D12" s="85" t="inlineStr">
        <is>
          <t>Equity Savings</t>
        </is>
      </c>
      <c r="E12" s="87" t="n">
        <v>0.39</v>
      </c>
      <c r="F12" s="87" t="n">
        <v>1.35</v>
      </c>
      <c r="G12" s="87" t="n">
        <v>2.25</v>
      </c>
      <c r="H12" s="87" t="n">
        <v>5.07</v>
      </c>
      <c r="I12" s="87" t="n">
        <v>6.230880632704916</v>
      </c>
      <c r="J12" s="87" t="n">
        <v>25.01</v>
      </c>
      <c r="K12" s="94" t="n">
        <v>74.59999999999999</v>
      </c>
      <c r="L12" s="18" t="n">
        <v>0</v>
      </c>
      <c r="M12" s="24" t="n">
        <v>41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76" t="inlineStr">
        <is>
          <t>FULL</t>
        </is>
      </c>
    </row>
    <row r="13" ht="16" customHeight="1">
      <c r="A13" s="89" t="n">
        <v>9</v>
      </c>
      <c r="B13" s="90" t="inlineStr">
        <is>
          <t>PGIM India Equity Savings Fund - Growth Option</t>
        </is>
      </c>
      <c r="C13" s="90" t="inlineStr">
        <is>
          <t>PGIM India Mutual Fund</t>
        </is>
      </c>
      <c r="D13" s="90" t="inlineStr">
        <is>
          <t>Equity Savings</t>
        </is>
      </c>
      <c r="E13" s="92" t="n">
        <v>0.71</v>
      </c>
      <c r="F13" s="92" t="n">
        <v>1.6</v>
      </c>
      <c r="G13" s="92" t="n">
        <v>1.84</v>
      </c>
      <c r="H13" s="92" t="n">
        <v>3.18</v>
      </c>
      <c r="I13" s="92" t="n">
        <v>4.503588455133922</v>
      </c>
      <c r="J13" s="92" t="n">
        <v>19.26</v>
      </c>
      <c r="K13" s="94" t="n">
        <v>68.2</v>
      </c>
      <c r="L13" s="18" t="n">
        <v>0</v>
      </c>
      <c r="M13" s="24" t="n">
        <v>37.5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76" t="inlineStr">
        <is>
          <t>FULL</t>
        </is>
      </c>
    </row>
    <row r="14" ht="16" customHeight="1">
      <c r="A14" s="84" t="n">
        <v>10</v>
      </c>
      <c r="B14" s="85" t="inlineStr">
        <is>
          <t>Kotak Equity Savings Fund - Regular - Growth</t>
        </is>
      </c>
      <c r="C14" s="85" t="inlineStr">
        <is>
          <t>Kotak Mahindra Mutual Fund</t>
        </is>
      </c>
      <c r="D14" s="85" t="inlineStr">
        <is>
          <t>Equity Savings</t>
        </is>
      </c>
      <c r="E14" s="87" t="n">
        <v>0.21</v>
      </c>
      <c r="F14" s="87" t="n">
        <v>0.92</v>
      </c>
      <c r="G14" s="87" t="n">
        <v>2.34</v>
      </c>
      <c r="H14" s="87" t="n">
        <v>4.25</v>
      </c>
      <c r="I14" s="87" t="n">
        <v>4.709120901667396</v>
      </c>
      <c r="J14" s="87" t="n">
        <v>30.63</v>
      </c>
      <c r="K14" s="94" t="n">
        <v>66.40000000000001</v>
      </c>
      <c r="L14" s="18" t="n">
        <v>0</v>
      </c>
      <c r="M14" s="24" t="n">
        <v>36.5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76" t="inlineStr">
        <is>
          <t>FULL</t>
        </is>
      </c>
    </row>
    <row r="15" ht="16" customHeight="1">
      <c r="A15" s="89" t="n">
        <v>10</v>
      </c>
      <c r="B15" s="90" t="inlineStr">
        <is>
          <t>Kotak Equity Savings Fund - Regular - Monthly Payout of Income Distribution cum capital withdrawal option</t>
        </is>
      </c>
      <c r="C15" s="90" t="inlineStr">
        <is>
          <t>Kotak Mahindra Mutual Fund</t>
        </is>
      </c>
      <c r="D15" s="90" t="inlineStr">
        <is>
          <t>Equity Savings</t>
        </is>
      </c>
      <c r="E15" s="92" t="n">
        <v>0.21</v>
      </c>
      <c r="F15" s="92" t="n">
        <v>0.92</v>
      </c>
      <c r="G15" s="92" t="n">
        <v>2.34</v>
      </c>
      <c r="H15" s="92" t="n">
        <v>4.25</v>
      </c>
      <c r="I15" s="92" t="n">
        <v>4.709120901667396</v>
      </c>
      <c r="J15" s="92" t="n">
        <v>30.63</v>
      </c>
      <c r="K15" s="94" t="n">
        <v>66.40000000000001</v>
      </c>
      <c r="L15" s="18" t="n">
        <v>0</v>
      </c>
      <c r="M15" s="24" t="n">
        <v>36.5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🔴 Avoid</t>
        </is>
      </c>
      <c r="Q15" s="76" t="inlineStr">
        <is>
          <t>FULL</t>
        </is>
      </c>
    </row>
    <row r="16" ht="16" customHeight="1">
      <c r="A16" s="84" t="n">
        <v>12</v>
      </c>
      <c r="B16" s="85" t="inlineStr">
        <is>
          <t>Mirae Asset Equity Savings Fund- Regular Plan- Growth</t>
        </is>
      </c>
      <c r="C16" s="85" t="inlineStr">
        <is>
          <t>Mirae Asset Mutual Fund</t>
        </is>
      </c>
      <c r="D16" s="85" t="inlineStr">
        <is>
          <t>Equity Savings</t>
        </is>
      </c>
      <c r="E16" s="86" t="n">
        <v>-0.07000000000000001</v>
      </c>
      <c r="F16" s="87" t="n">
        <v>0.97</v>
      </c>
      <c r="G16" s="87" t="n">
        <v>2.29</v>
      </c>
      <c r="H16" s="87" t="n">
        <v>3.52</v>
      </c>
      <c r="I16" s="87" t="n">
        <v>5.574618161753264</v>
      </c>
      <c r="J16" s="87" t="n">
        <v>29.95</v>
      </c>
      <c r="K16" s="94" t="n">
        <v>59.6</v>
      </c>
      <c r="L16" s="18" t="n">
        <v>0</v>
      </c>
      <c r="M16" s="24" t="n">
        <v>32.8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76" t="inlineStr">
        <is>
          <t>FULL</t>
        </is>
      </c>
    </row>
    <row r="17" ht="16" customHeight="1">
      <c r="A17" s="89" t="n">
        <v>13</v>
      </c>
      <c r="B17" s="90" t="inlineStr">
        <is>
          <t>Union Equity Savings Fund - Regular Plan - Growth Option</t>
        </is>
      </c>
      <c r="C17" s="90" t="inlineStr">
        <is>
          <t>Union Mutual Fund</t>
        </is>
      </c>
      <c r="D17" s="90" t="inlineStr">
        <is>
          <t>Equity Savings</t>
        </is>
      </c>
      <c r="E17" s="91" t="n">
        <v>-0.12</v>
      </c>
      <c r="F17" s="92" t="n">
        <v>1.47</v>
      </c>
      <c r="G17" s="92" t="n">
        <v>2.31</v>
      </c>
      <c r="H17" s="92" t="n">
        <v>2.55</v>
      </c>
      <c r="I17" s="92" t="n">
        <v>3.469802357982688</v>
      </c>
      <c r="J17" s="92" t="n">
        <v>21.16</v>
      </c>
      <c r="K17" s="94" t="n">
        <v>57.8</v>
      </c>
      <c r="L17" s="18" t="n">
        <v>0</v>
      </c>
      <c r="M17" s="24" t="n">
        <v>31.8</v>
      </c>
      <c r="N17" s="93" t="inlineStr">
        <is>
          <t>➡️ Neutral</t>
        </is>
      </c>
      <c r="O17" s="93" t="inlineStr">
        <is>
          <t>🔴 Not Qualified</t>
        </is>
      </c>
      <c r="P17" s="93" t="inlineStr">
        <is>
          <t>🔴 Avoid</t>
        </is>
      </c>
      <c r="Q17" s="76" t="inlineStr">
        <is>
          <t>FULL</t>
        </is>
      </c>
    </row>
    <row r="18" ht="16" customHeight="1">
      <c r="A18" s="84" t="n">
        <v>14</v>
      </c>
      <c r="B18" s="85" t="inlineStr">
        <is>
          <t>Franklin India Equity Savings Fund- Growth</t>
        </is>
      </c>
      <c r="C18" s="85" t="inlineStr">
        <is>
          <t>Franklin Templeton Mutual Fund</t>
        </is>
      </c>
      <c r="D18" s="85" t="inlineStr">
        <is>
          <t>Equity Savings</t>
        </is>
      </c>
      <c r="E18" s="87" t="n">
        <v>0.26</v>
      </c>
      <c r="F18" s="87" t="n">
        <v>0.88</v>
      </c>
      <c r="G18" s="87" t="n">
        <v>1.24</v>
      </c>
      <c r="H18" s="87" t="n">
        <v>3.2</v>
      </c>
      <c r="I18" s="87" t="n">
        <v>4.551422754546963</v>
      </c>
      <c r="J18" s="87" t="n">
        <v>22.17</v>
      </c>
      <c r="K18" s="94" t="n">
        <v>52.8</v>
      </c>
      <c r="L18" s="18" t="n">
        <v>0</v>
      </c>
      <c r="M18" s="24" t="n">
        <v>29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76" t="inlineStr">
        <is>
          <t>FULL</t>
        </is>
      </c>
    </row>
    <row r="19" ht="16" customHeight="1">
      <c r="A19" s="26" t="n">
        <v>15</v>
      </c>
      <c r="B19" s="27" t="inlineStr">
        <is>
          <t>LIC MF Equity Savings Fund-Regular Plan-Growth</t>
        </is>
      </c>
      <c r="C19" s="27" t="inlineStr">
        <is>
          <t>LIC Mutual Fund</t>
        </is>
      </c>
      <c r="D19" s="27" t="inlineStr">
        <is>
          <t>Equity Savings</t>
        </is>
      </c>
      <c r="E19" s="28" t="n">
        <v>-0.15</v>
      </c>
      <c r="F19" s="29" t="n">
        <v>0.53</v>
      </c>
      <c r="G19" s="29" t="n">
        <v>3.11</v>
      </c>
      <c r="H19" s="29" t="n">
        <v>1.09</v>
      </c>
      <c r="I19" s="29" t="n">
        <v>4.575331699210961</v>
      </c>
      <c r="J19" s="29" t="n">
        <v>0</v>
      </c>
      <c r="K19" s="95" t="n">
        <v>49.2</v>
      </c>
      <c r="L19" s="18" t="n">
        <v>0</v>
      </c>
      <c r="M19" s="24" t="n">
        <v>27.1</v>
      </c>
      <c r="N19" s="101" t="inlineStr">
        <is>
          <t>➡️ Neutral</t>
        </is>
      </c>
      <c r="O19" s="101" t="inlineStr">
        <is>
          <t>⏳ New Fund</t>
        </is>
      </c>
      <c r="P19" s="101" t="inlineStr">
        <is>
          <t>⏳ New Fund</t>
        </is>
      </c>
      <c r="Q19" s="102" t="inlineStr">
        <is>
          <t>MOMENTUM_ONLY</t>
        </is>
      </c>
    </row>
    <row r="20" ht="16" customHeight="1">
      <c r="A20" s="84" t="n">
        <v>16</v>
      </c>
      <c r="B20" s="85" t="inlineStr">
        <is>
          <t>ICICI Prudential Equity Savings Fund - Cumulative option</t>
        </is>
      </c>
      <c r="C20" s="85" t="inlineStr">
        <is>
          <t>ICICI Prudential Mutual Fund</t>
        </is>
      </c>
      <c r="D20" s="85" t="inlineStr">
        <is>
          <t>Equity Savings</t>
        </is>
      </c>
      <c r="E20" s="87" t="n">
        <v>0.52</v>
      </c>
      <c r="F20" s="87" t="n">
        <v>1.04</v>
      </c>
      <c r="G20" s="87" t="n">
        <v>0.3</v>
      </c>
      <c r="H20" s="87" t="n">
        <v>2.7</v>
      </c>
      <c r="I20" s="87" t="n">
        <v>5.099952426249943</v>
      </c>
      <c r="J20" s="87" t="n">
        <v>22.13</v>
      </c>
      <c r="K20" s="95" t="n">
        <v>47.5</v>
      </c>
      <c r="L20" s="18" t="n">
        <v>0</v>
      </c>
      <c r="M20" s="24" t="n">
        <v>26.1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76" t="inlineStr">
        <is>
          <t>FULL</t>
        </is>
      </c>
    </row>
    <row r="21" ht="16" customHeight="1">
      <c r="A21" s="89" t="n">
        <v>17</v>
      </c>
      <c r="B21" s="90" t="inlineStr">
        <is>
          <t>Baroda BNP Paribas Equity Savings Fund - Regular Plan - Growth</t>
        </is>
      </c>
      <c r="C21" s="90" t="inlineStr">
        <is>
          <t>Baroda BNP Paribas Mutual Fund</t>
        </is>
      </c>
      <c r="D21" s="90" t="inlineStr">
        <is>
          <t>Equity Savings</t>
        </is>
      </c>
      <c r="E21" s="91" t="n">
        <v>-0.35</v>
      </c>
      <c r="F21" s="92" t="n">
        <v>1.04</v>
      </c>
      <c r="G21" s="92" t="n">
        <v>1.92</v>
      </c>
      <c r="H21" s="92" t="n">
        <v>2.95</v>
      </c>
      <c r="I21" s="92" t="n">
        <v>4.990475758518209</v>
      </c>
      <c r="J21" s="92" t="n">
        <v>27.02</v>
      </c>
      <c r="K21" s="95" t="n">
        <v>43.6</v>
      </c>
      <c r="L21" s="18" t="n">
        <v>0</v>
      </c>
      <c r="M21" s="24" t="n">
        <v>24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76" t="inlineStr">
        <is>
          <t>FULL</t>
        </is>
      </c>
    </row>
    <row r="22" ht="16" customHeight="1">
      <c r="A22" s="84" t="n">
        <v>18</v>
      </c>
      <c r="B22" s="85" t="inlineStr">
        <is>
          <t>HDFC Equity Savings Fund - GROWTH PLAN</t>
        </is>
      </c>
      <c r="C22" s="85" t="inlineStr">
        <is>
          <t>HDFC Mutual Fund</t>
        </is>
      </c>
      <c r="D22" s="85" t="inlineStr">
        <is>
          <t>Equity Savings</t>
        </is>
      </c>
      <c r="E22" s="87" t="n">
        <v>0.02</v>
      </c>
      <c r="F22" s="87" t="n">
        <v>0.62</v>
      </c>
      <c r="G22" s="87" t="n">
        <v>0.44</v>
      </c>
      <c r="H22" s="87" t="n">
        <v>2.2</v>
      </c>
      <c r="I22" s="87" t="n">
        <v>3.498792263484884</v>
      </c>
      <c r="J22" s="87" t="n">
        <v>25.4</v>
      </c>
      <c r="K22" s="95" t="n">
        <v>32.9</v>
      </c>
      <c r="L22" s="18" t="n">
        <v>0</v>
      </c>
      <c r="M22" s="24" t="n">
        <v>18.1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76" t="inlineStr">
        <is>
          <t>FULL</t>
        </is>
      </c>
    </row>
    <row r="23" ht="16" customHeight="1">
      <c r="A23" s="89" t="n">
        <v>19</v>
      </c>
      <c r="B23" s="90" t="inlineStr">
        <is>
          <t>SBI Equity Savings Fund - Regular Plan - Growth</t>
        </is>
      </c>
      <c r="C23" s="90" t="inlineStr">
        <is>
          <t>SBI Mutual Fund</t>
        </is>
      </c>
      <c r="D23" s="90" t="inlineStr">
        <is>
          <t>Equity Savings</t>
        </is>
      </c>
      <c r="E23" s="91" t="n">
        <v>-0.22</v>
      </c>
      <c r="F23" s="92" t="n">
        <v>0.47</v>
      </c>
      <c r="G23" s="92" t="n">
        <v>1.4</v>
      </c>
      <c r="H23" s="92" t="n">
        <v>1.43</v>
      </c>
      <c r="I23" s="92" t="n">
        <v>4.412642912628173</v>
      </c>
      <c r="J23" s="92" t="n">
        <v>27.54</v>
      </c>
      <c r="K23" s="95" t="n">
        <v>31.8</v>
      </c>
      <c r="L23" s="18" t="n">
        <v>0</v>
      </c>
      <c r="M23" s="24" t="n">
        <v>17.5</v>
      </c>
      <c r="N23" s="93" t="inlineStr">
        <is>
          <t>📉 Weak</t>
        </is>
      </c>
      <c r="O23" s="93" t="inlineStr">
        <is>
          <t>🔴 Not Qualified</t>
        </is>
      </c>
      <c r="P23" s="93" t="inlineStr">
        <is>
          <t>🔴 Avoid</t>
        </is>
      </c>
      <c r="Q23" s="76" t="inlineStr">
        <is>
          <t>FULL</t>
        </is>
      </c>
    </row>
    <row r="24" ht="16" customHeight="1">
      <c r="A24" s="84" t="n">
        <v>20</v>
      </c>
      <c r="B24" s="85" t="inlineStr">
        <is>
          <t>DSP Equity Savings Fund - Regular Plan - Growth</t>
        </is>
      </c>
      <c r="C24" s="85" t="inlineStr">
        <is>
          <t>DSP Mutual Fund</t>
        </is>
      </c>
      <c r="D24" s="85" t="inlineStr">
        <is>
          <t>Equity Savings</t>
        </is>
      </c>
      <c r="E24" s="86" t="n">
        <v>-0.16</v>
      </c>
      <c r="F24" s="87" t="n">
        <v>0.78</v>
      </c>
      <c r="G24" s="87" t="n">
        <v>0.75</v>
      </c>
      <c r="H24" s="87" t="n">
        <v>1.59</v>
      </c>
      <c r="I24" s="87" t="n">
        <v>4.513157066467</v>
      </c>
      <c r="J24" s="87" t="n">
        <v>25.53</v>
      </c>
      <c r="K24" s="95" t="n">
        <v>31.3</v>
      </c>
      <c r="L24" s="18" t="n">
        <v>0</v>
      </c>
      <c r="M24" s="24" t="n">
        <v>17.2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76" t="inlineStr">
        <is>
          <t>FULL</t>
        </is>
      </c>
    </row>
    <row r="25" ht="16" customHeight="1">
      <c r="A25" s="89" t="n">
        <v>21</v>
      </c>
      <c r="B25" s="90" t="inlineStr">
        <is>
          <t>Invesco India Equity Savings Fund - Regular Plan - Growth</t>
        </is>
      </c>
      <c r="C25" s="90" t="inlineStr">
        <is>
          <t>Invesco Mutual Fund</t>
        </is>
      </c>
      <c r="D25" s="90" t="inlineStr">
        <is>
          <t>Equity Savings</t>
        </is>
      </c>
      <c r="E25" s="91" t="n">
        <v>-0.05</v>
      </c>
      <c r="F25" s="92" t="n">
        <v>1.18</v>
      </c>
      <c r="G25" s="91" t="n">
        <v>-0.29</v>
      </c>
      <c r="H25" s="91" t="n">
        <v>-3.14</v>
      </c>
      <c r="I25" s="92" t="n">
        <v>1.370607179793493</v>
      </c>
      <c r="J25" s="92" t="n">
        <v>23.43</v>
      </c>
      <c r="K25" s="95" t="n">
        <v>27.7</v>
      </c>
      <c r="L25" s="18" t="n">
        <v>0</v>
      </c>
      <c r="M25" s="24" t="n">
        <v>15.2</v>
      </c>
      <c r="N25" s="93" t="inlineStr">
        <is>
          <t>📉 Weak</t>
        </is>
      </c>
      <c r="O25" s="93" t="inlineStr">
        <is>
          <t>🔴 Not Qualified</t>
        </is>
      </c>
      <c r="P25" s="93" t="inlineStr">
        <is>
          <t>🔴 Avoid</t>
        </is>
      </c>
      <c r="Q25" s="76" t="inlineStr">
        <is>
          <t>FULL</t>
        </is>
      </c>
    </row>
    <row r="26" ht="16" customHeight="1">
      <c r="A26" s="26" t="n">
        <v>22</v>
      </c>
      <c r="B26" s="27" t="inlineStr">
        <is>
          <t>BAJAJ FINSERV EQUITY SAVINGS FUND - REGULAR - GROWTH</t>
        </is>
      </c>
      <c r="C26" s="27" t="inlineStr">
        <is>
          <t>Bajaj Finserv Mutual Fund</t>
        </is>
      </c>
      <c r="D26" s="27" t="inlineStr">
        <is>
          <t>Equity Savings</t>
        </is>
      </c>
      <c r="E26" s="28" t="n">
        <v>-0.39</v>
      </c>
      <c r="F26" s="29" t="n">
        <v>0.27</v>
      </c>
      <c r="G26" s="29" t="n">
        <v>2.02</v>
      </c>
      <c r="H26" s="29" t="n">
        <v>0</v>
      </c>
      <c r="I26" s="29" t="n">
        <v>0</v>
      </c>
      <c r="J26" s="29" t="n">
        <v>0</v>
      </c>
      <c r="K26" s="95" t="n">
        <v>25.2</v>
      </c>
      <c r="L26" s="18" t="n">
        <v>0</v>
      </c>
      <c r="M26" s="24" t="n">
        <v>13.9</v>
      </c>
      <c r="N26" s="101" t="inlineStr">
        <is>
          <t>📉 Weak</t>
        </is>
      </c>
      <c r="O26" s="101" t="inlineStr">
        <is>
          <t>⏳ New Fund</t>
        </is>
      </c>
      <c r="P26" s="101" t="inlineStr">
        <is>
          <t>⏳ New Fund</t>
        </is>
      </c>
      <c r="Q26" s="102" t="inlineStr">
        <is>
          <t>MOMENTUM_ONLY</t>
        </is>
      </c>
    </row>
    <row r="27" ht="16" customHeight="1">
      <c r="A27" s="89" t="n">
        <v>23</v>
      </c>
      <c r="B27" s="90" t="inlineStr">
        <is>
          <t>Nippon India Equity Savings Fund- Growth Plan- Growth Option</t>
        </is>
      </c>
      <c r="C27" s="90" t="inlineStr">
        <is>
          <t>Nippon India Mutual Fund</t>
        </is>
      </c>
      <c r="D27" s="90" t="inlineStr">
        <is>
          <t>Equity Savings</t>
        </is>
      </c>
      <c r="E27" s="91" t="n">
        <v>-0.29</v>
      </c>
      <c r="F27" s="92" t="n">
        <v>0.41</v>
      </c>
      <c r="G27" s="92" t="n">
        <v>0.61</v>
      </c>
      <c r="H27" s="92" t="n">
        <v>2.42</v>
      </c>
      <c r="I27" s="92" t="n">
        <v>3.406963015069731</v>
      </c>
      <c r="J27" s="92" t="n">
        <v>19.78</v>
      </c>
      <c r="K27" s="95" t="n">
        <v>24.4</v>
      </c>
      <c r="L27" s="18" t="n">
        <v>0</v>
      </c>
      <c r="M27" s="24" t="n">
        <v>13.4</v>
      </c>
      <c r="N27" s="93" t="inlineStr">
        <is>
          <t>📉 Weak</t>
        </is>
      </c>
      <c r="O27" s="93" t="inlineStr">
        <is>
          <t>🔴 Not Qualified</t>
        </is>
      </c>
      <c r="P27" s="93" t="inlineStr">
        <is>
          <t>🔴 Avoid</t>
        </is>
      </c>
      <c r="Q27" s="76" t="inlineStr">
        <is>
          <t>FULL</t>
        </is>
      </c>
    </row>
    <row r="28" ht="16" customHeight="1">
      <c r="A28" s="84" t="n">
        <v>23</v>
      </c>
      <c r="B28" s="85" t="inlineStr">
        <is>
          <t>Nippon India Equity Savings Fund- Growth Plan- Bonus Option</t>
        </is>
      </c>
      <c r="C28" s="85" t="inlineStr">
        <is>
          <t>Nippon India Mutual Fund</t>
        </is>
      </c>
      <c r="D28" s="85" t="inlineStr">
        <is>
          <t>Equity Savings</t>
        </is>
      </c>
      <c r="E28" s="86" t="n">
        <v>-0.29</v>
      </c>
      <c r="F28" s="87" t="n">
        <v>0.41</v>
      </c>
      <c r="G28" s="87" t="n">
        <v>0.61</v>
      </c>
      <c r="H28" s="87" t="n">
        <v>2.42</v>
      </c>
      <c r="I28" s="87" t="n">
        <v>3.406963015069731</v>
      </c>
      <c r="J28" s="87" t="n">
        <v>19.78</v>
      </c>
      <c r="K28" s="95" t="n">
        <v>24.4</v>
      </c>
      <c r="L28" s="18" t="n">
        <v>0</v>
      </c>
      <c r="M28" s="24" t="n">
        <v>13.4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76" t="inlineStr">
        <is>
          <t>FULL</t>
        </is>
      </c>
    </row>
    <row r="29" ht="16" customHeight="1">
      <c r="A29" s="89" t="n">
        <v>25</v>
      </c>
      <c r="B29" s="90" t="inlineStr">
        <is>
          <t>UTI Equity Savings Fund - Regular Plan - Growth Option</t>
        </is>
      </c>
      <c r="C29" s="90" t="inlineStr">
        <is>
          <t>UTI Mutual Fund</t>
        </is>
      </c>
      <c r="D29" s="90" t="inlineStr">
        <is>
          <t>Equity Savings</t>
        </is>
      </c>
      <c r="E29" s="91" t="n">
        <v>-0.23</v>
      </c>
      <c r="F29" s="92" t="n">
        <v>0.07000000000000001</v>
      </c>
      <c r="G29" s="91" t="n">
        <v>-0.21</v>
      </c>
      <c r="H29" s="92" t="n">
        <v>2.89</v>
      </c>
      <c r="I29" s="92" t="n">
        <v>4.000000000000004</v>
      </c>
      <c r="J29" s="92" t="n">
        <v>25.48</v>
      </c>
      <c r="K29" s="95" t="n">
        <v>21.9</v>
      </c>
      <c r="L29" s="18" t="n">
        <v>0</v>
      </c>
      <c r="M29" s="24" t="n">
        <v>12</v>
      </c>
      <c r="N29" s="93" t="inlineStr">
        <is>
          <t>📉 Weak</t>
        </is>
      </c>
      <c r="O29" s="93" t="inlineStr">
        <is>
          <t>🔴 Not Qualified</t>
        </is>
      </c>
      <c r="P29" s="93" t="inlineStr">
        <is>
          <t>🔴 Avoid</t>
        </is>
      </c>
      <c r="Q29" s="76" t="inlineStr">
        <is>
          <t>FULL</t>
        </is>
      </c>
    </row>
    <row r="30" ht="16" customHeight="1">
      <c r="A30" s="84" t="n">
        <v>26</v>
      </c>
      <c r="B30" s="85" t="inlineStr">
        <is>
          <t>Sundaram Equity Savings Fund (Formerly Known as Principal Equity Savings Fund) - Growth Option</t>
        </is>
      </c>
      <c r="C30" s="85" t="inlineStr">
        <is>
          <t>Sundaram Mutual Fund</t>
        </is>
      </c>
      <c r="D30" s="85" t="inlineStr">
        <is>
          <t>Equity Savings</t>
        </is>
      </c>
      <c r="E30" s="86" t="n">
        <v>-0.46</v>
      </c>
      <c r="F30" s="87" t="n">
        <v>0.2</v>
      </c>
      <c r="G30" s="86" t="n">
        <v>-0.41</v>
      </c>
      <c r="H30" s="86" t="n">
        <v>-0.09</v>
      </c>
      <c r="I30" s="87" t="n">
        <v>3.566403818999131</v>
      </c>
      <c r="J30" s="87" t="n">
        <v>25.62</v>
      </c>
      <c r="K30" s="95" t="n">
        <v>4.3</v>
      </c>
      <c r="L30" s="18" t="n">
        <v>0</v>
      </c>
      <c r="M30" s="24" t="n">
        <v>2.4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76" t="inlineStr">
        <is>
          <t>FULL</t>
        </is>
      </c>
    </row>
    <row r="31" ht="16" customHeight="1">
      <c r="A31" s="96" t="n">
        <v>0</v>
      </c>
      <c r="B31" s="97" t="inlineStr">
        <is>
          <t>Nippon India Equity Savings Fund - Segregated Portfolio 2 - Growth Plan - Growth Option</t>
        </is>
      </c>
      <c r="C31" s="97" t="inlineStr">
        <is>
          <t>Nippon India Mutual Fund</t>
        </is>
      </c>
      <c r="D31" s="97" t="inlineStr">
        <is>
          <t>Equity Savings</t>
        </is>
      </c>
      <c r="E31" s="98" t="n">
        <v>0</v>
      </c>
      <c r="F31" s="98" t="n">
        <v>0</v>
      </c>
      <c r="G31" s="98" t="n">
        <v>0</v>
      </c>
      <c r="H31" s="98" t="n">
        <v>0</v>
      </c>
      <c r="I31" s="98" t="n">
        <v>0</v>
      </c>
      <c r="J31" s="98" t="n">
        <v>0</v>
      </c>
      <c r="K31" s="95" t="n">
        <v>0</v>
      </c>
      <c r="L31" s="18" t="n">
        <v>0</v>
      </c>
      <c r="M31" s="24" t="n">
        <v>0</v>
      </c>
      <c r="N31" s="99" t="inlineStr">
        <is>
          <t>❌ N/A</t>
        </is>
      </c>
      <c r="O31" s="99" t="inlineStr">
        <is>
          <t>❌ N/A</t>
        </is>
      </c>
      <c r="P31" s="99" t="inlineStr">
        <is>
          <t>❌ Missing Data</t>
        </is>
      </c>
      <c r="Q31" s="100" t="inlineStr">
        <is>
          <t>MISSING</t>
        </is>
      </c>
    </row>
    <row r="32" ht="16" customHeight="1">
      <c r="A32" s="96" t="n">
        <v>0</v>
      </c>
      <c r="B32" s="97" t="inlineStr">
        <is>
          <t>Nippon India Equity Savings Fund - Segregated Portfolio 2 - Growth Plan - Bonus Option</t>
        </is>
      </c>
      <c r="C32" s="97" t="inlineStr">
        <is>
          <t>Nippon India Mutual Fund</t>
        </is>
      </c>
      <c r="D32" s="97" t="inlineStr">
        <is>
          <t>Equity Savings</t>
        </is>
      </c>
      <c r="E32" s="98" t="n">
        <v>0</v>
      </c>
      <c r="F32" s="98" t="n">
        <v>0</v>
      </c>
      <c r="G32" s="98" t="n">
        <v>0</v>
      </c>
      <c r="H32" s="98" t="n">
        <v>0</v>
      </c>
      <c r="I32" s="98" t="n">
        <v>0</v>
      </c>
      <c r="J32" s="98" t="n">
        <v>0</v>
      </c>
      <c r="K32" s="95" t="n">
        <v>0</v>
      </c>
      <c r="L32" s="18" t="n">
        <v>0</v>
      </c>
      <c r="M32" s="24" t="n">
        <v>0</v>
      </c>
      <c r="N32" s="99" t="inlineStr">
        <is>
          <t>❌ N/A</t>
        </is>
      </c>
      <c r="O32" s="99" t="inlineStr">
        <is>
          <t>❌ N/A</t>
        </is>
      </c>
      <c r="P32" s="99" t="inlineStr">
        <is>
          <t>❌ Missing Data</t>
        </is>
      </c>
      <c r="Q32" s="100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7" t="inlineStr">
        <is>
          <t>✦  MULTI ASSET ALLOCATION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2" t="n">
        <v>1</v>
      </c>
      <c r="B5" s="73" t="inlineStr">
        <is>
          <t>quant Multi Asset Allocation Fund-GROWTH OPTION - Regular Plan</t>
        </is>
      </c>
      <c r="C5" s="73" t="inlineStr">
        <is>
          <t>quant Mutual Fund</t>
        </is>
      </c>
      <c r="D5" s="73" t="inlineStr">
        <is>
          <t>Multi Asset Allocation</t>
        </is>
      </c>
      <c r="E5" s="75" t="n">
        <v>0.73</v>
      </c>
      <c r="F5" s="75" t="n">
        <v>5.02</v>
      </c>
      <c r="G5" s="75" t="n">
        <v>6.86</v>
      </c>
      <c r="H5" s="75" t="n">
        <v>19.72</v>
      </c>
      <c r="I5" s="75" t="n">
        <v>12.83616441549225</v>
      </c>
      <c r="J5" s="75" t="n">
        <v>81.87</v>
      </c>
      <c r="K5" s="17" t="n">
        <v>100</v>
      </c>
      <c r="L5" s="35" t="n">
        <v>90</v>
      </c>
      <c r="M5" s="36" t="n">
        <v>95.5</v>
      </c>
      <c r="N5" s="20" t="inlineStr">
        <is>
          <t>🔥 Hot</t>
        </is>
      </c>
      <c r="O5" s="20" t="inlineStr">
        <is>
          <t>🏆 Elite</t>
        </is>
      </c>
      <c r="P5" s="20" t="inlineStr">
        <is>
          <t>🚀 Strong Conviction</t>
        </is>
      </c>
      <c r="Q5" s="76" t="inlineStr">
        <is>
          <t>FULL</t>
        </is>
      </c>
    </row>
    <row r="6" ht="16" customHeight="1">
      <c r="A6" s="77" t="n">
        <v>2</v>
      </c>
      <c r="B6" s="78" t="inlineStr">
        <is>
          <t>WhiteOak Capital Multi Asset Allocation Fund Regular Plan Growth</t>
        </is>
      </c>
      <c r="C6" s="78" t="inlineStr">
        <is>
          <t>WhiteOak Capital Mutual Fund</t>
        </is>
      </c>
      <c r="D6" s="78" t="inlineStr">
        <is>
          <t>Multi Asset Allocation</t>
        </is>
      </c>
      <c r="E6" s="79" t="n">
        <v>1.16</v>
      </c>
      <c r="F6" s="79" t="n">
        <v>2.45</v>
      </c>
      <c r="G6" s="79" t="n">
        <v>3.87</v>
      </c>
      <c r="H6" s="79" t="n">
        <v>11.25</v>
      </c>
      <c r="I6" s="79" t="n">
        <v>13.15034246523517</v>
      </c>
      <c r="J6" s="79" t="n">
        <v>53.4</v>
      </c>
      <c r="K6" s="17" t="n">
        <v>94.7</v>
      </c>
      <c r="L6" s="18" t="n">
        <v>45</v>
      </c>
      <c r="M6" s="19" t="n">
        <v>72.3</v>
      </c>
      <c r="N6" s="34" t="inlineStr">
        <is>
          <t>🔥 Hot</t>
        </is>
      </c>
      <c r="O6" s="34" t="inlineStr">
        <is>
          <t>➡️ Average</t>
        </is>
      </c>
      <c r="P6" s="34" t="inlineStr">
        <is>
          <t>📈 Momentum Play</t>
        </is>
      </c>
      <c r="Q6" s="76" t="inlineStr">
        <is>
          <t>FULL</t>
        </is>
      </c>
    </row>
    <row r="7" ht="16" customHeight="1">
      <c r="A7" s="80" t="n">
        <v>3</v>
      </c>
      <c r="B7" s="81" t="inlineStr">
        <is>
          <t>Nippon India Multi Asset Allocation Fund - Regular Plan - Growth Option</t>
        </is>
      </c>
      <c r="C7" s="81" t="inlineStr">
        <is>
          <t>Nippon India Mutual Fund</t>
        </is>
      </c>
      <c r="D7" s="81" t="inlineStr">
        <is>
          <t>Multi Asset Allocation</t>
        </is>
      </c>
      <c r="E7" s="82" t="n">
        <v>-0.22</v>
      </c>
      <c r="F7" s="83" t="n">
        <v>1.05</v>
      </c>
      <c r="G7" s="83" t="n">
        <v>1.64</v>
      </c>
      <c r="H7" s="83" t="n">
        <v>12.75</v>
      </c>
      <c r="I7" s="83" t="n">
        <v>11.50336317797773</v>
      </c>
      <c r="J7" s="83" t="n">
        <v>64.06999999999999</v>
      </c>
      <c r="K7" s="17" t="n">
        <v>78.90000000000001</v>
      </c>
      <c r="L7" s="104" t="n">
        <v>56.7</v>
      </c>
      <c r="M7" s="19" t="n">
        <v>68.90000000000001</v>
      </c>
      <c r="N7" s="25" t="inlineStr">
        <is>
          <t>⭐ Strong</t>
        </is>
      </c>
      <c r="O7" s="25" t="inlineStr">
        <is>
          <t>➡️ Average</t>
        </is>
      </c>
      <c r="P7" s="25" t="inlineStr">
        <is>
          <t>📈 Momentum Play</t>
        </is>
      </c>
      <c r="Q7" s="76" t="inlineStr">
        <is>
          <t>FULL</t>
        </is>
      </c>
    </row>
    <row r="8" ht="16" customHeight="1">
      <c r="A8" s="84" t="n">
        <v>4</v>
      </c>
      <c r="B8" s="85" t="inlineStr">
        <is>
          <t>Edelweiss Multi Asset Allocation Fund - Regular Plan - Growth</t>
        </is>
      </c>
      <c r="C8" s="85" t="inlineStr">
        <is>
          <t>Edelweiss Mutual Fund</t>
        </is>
      </c>
      <c r="D8" s="85" t="inlineStr">
        <is>
          <t>Multi Asset Allocation</t>
        </is>
      </c>
      <c r="E8" s="87" t="n">
        <v>0.76</v>
      </c>
      <c r="F8" s="87" t="n">
        <v>1.94</v>
      </c>
      <c r="G8" s="87" t="n">
        <v>4.77</v>
      </c>
      <c r="H8" s="87" t="n">
        <v>6.21</v>
      </c>
      <c r="I8" s="87" t="n">
        <v>7.26602444390303</v>
      </c>
      <c r="J8" s="87" t="n">
        <v>23.75</v>
      </c>
      <c r="K8" s="17" t="n">
        <v>86.40000000000001</v>
      </c>
      <c r="L8" s="18" t="n">
        <v>0</v>
      </c>
      <c r="M8" s="24" t="n">
        <v>47.5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76" t="inlineStr">
        <is>
          <t>FULL</t>
        </is>
      </c>
    </row>
    <row r="9" ht="16" customHeight="1">
      <c r="A9" s="26" t="n">
        <v>5</v>
      </c>
      <c r="B9" s="27" t="inlineStr">
        <is>
          <t>Mahindra Manulife Multi Asset Allocation Fund- Regular Plan - Growth</t>
        </is>
      </c>
      <c r="C9" s="27" t="inlineStr">
        <is>
          <t>Mahindra Manulife Mutual Fund</t>
        </is>
      </c>
      <c r="D9" s="27" t="inlineStr">
        <is>
          <t>Multi Asset Allocation</t>
        </is>
      </c>
      <c r="E9" s="29" t="n">
        <v>0.04</v>
      </c>
      <c r="F9" s="29" t="n">
        <v>1.51</v>
      </c>
      <c r="G9" s="29" t="n">
        <v>1.54</v>
      </c>
      <c r="H9" s="29" t="n">
        <v>12.74</v>
      </c>
      <c r="I9" s="29" t="n">
        <v>10.76551810017412</v>
      </c>
      <c r="J9" s="29" t="n">
        <v>0</v>
      </c>
      <c r="K9" s="17" t="n">
        <v>85.8</v>
      </c>
      <c r="L9" s="18" t="n">
        <v>0</v>
      </c>
      <c r="M9" s="24" t="n">
        <v>47.2</v>
      </c>
      <c r="N9" s="101" t="inlineStr">
        <is>
          <t>⭐ Strong</t>
        </is>
      </c>
      <c r="O9" s="101" t="inlineStr">
        <is>
          <t>⏳ New Fund</t>
        </is>
      </c>
      <c r="P9" s="101" t="inlineStr">
        <is>
          <t>🔥 Hot Momentum</t>
        </is>
      </c>
      <c r="Q9" s="102" t="inlineStr">
        <is>
          <t>MOMENTUM_ONLY</t>
        </is>
      </c>
    </row>
    <row r="10" ht="16" customHeight="1">
      <c r="A10" s="26" t="n">
        <v>6</v>
      </c>
      <c r="B10" s="27" t="inlineStr">
        <is>
          <t>DSP Multi Asset Allocation Fund - Regular - Growth</t>
        </is>
      </c>
      <c r="C10" s="27" t="inlineStr">
        <is>
          <t>DSP Mutual Fund</t>
        </is>
      </c>
      <c r="D10" s="27" t="inlineStr">
        <is>
          <t>Multi Asset Allocation</t>
        </is>
      </c>
      <c r="E10" s="29" t="n">
        <v>0.05</v>
      </c>
      <c r="F10" s="29" t="n">
        <v>0.79</v>
      </c>
      <c r="G10" s="29" t="n">
        <v>0.86</v>
      </c>
      <c r="H10" s="29" t="n">
        <v>16.07</v>
      </c>
      <c r="I10" s="29" t="n">
        <v>14.14902540100813</v>
      </c>
      <c r="J10" s="29" t="n">
        <v>0</v>
      </c>
      <c r="K10" s="17" t="n">
        <v>81.2</v>
      </c>
      <c r="L10" s="18" t="n">
        <v>0</v>
      </c>
      <c r="M10" s="24" t="n">
        <v>44.7</v>
      </c>
      <c r="N10" s="101" t="inlineStr">
        <is>
          <t>⭐ Strong</t>
        </is>
      </c>
      <c r="O10" s="101" t="inlineStr">
        <is>
          <t>⏳ New Fund</t>
        </is>
      </c>
      <c r="P10" s="101" t="inlineStr">
        <is>
          <t>🔥 Hot Momentum</t>
        </is>
      </c>
      <c r="Q10" s="102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 Asset Allocation Fund-Regular Growth</t>
        </is>
      </c>
      <c r="C11" s="90" t="inlineStr">
        <is>
          <t>Aditya Birla Sun Life Mutual Fund</t>
        </is>
      </c>
      <c r="D11" s="90" t="inlineStr">
        <is>
          <t>Multi Asset Allocation</t>
        </is>
      </c>
      <c r="E11" s="91" t="n">
        <v>-0.38</v>
      </c>
      <c r="F11" s="92" t="n">
        <v>1.5</v>
      </c>
      <c r="G11" s="92" t="n">
        <v>0.58</v>
      </c>
      <c r="H11" s="92" t="n">
        <v>11.7</v>
      </c>
      <c r="I11" s="92" t="n">
        <v>10.54863183232979</v>
      </c>
      <c r="J11" s="92" t="n">
        <v>51.39</v>
      </c>
      <c r="K11" s="94" t="n">
        <v>68.59999999999999</v>
      </c>
      <c r="L11" s="18" t="n">
        <v>8.300000000000001</v>
      </c>
      <c r="M11" s="24" t="n">
        <v>41.5</v>
      </c>
      <c r="N11" s="93" t="inlineStr">
        <is>
          <t>📈 Good</t>
        </is>
      </c>
      <c r="O11" s="93" t="inlineStr">
        <is>
          <t>⚠️ Below Avg</t>
        </is>
      </c>
      <c r="P11" s="93" t="inlineStr">
        <is>
          <t>⚠️ Watch</t>
        </is>
      </c>
      <c r="Q11" s="76" t="inlineStr">
        <is>
          <t>FULL</t>
        </is>
      </c>
    </row>
    <row r="12" ht="16" customHeight="1">
      <c r="A12" s="26" t="n">
        <v>8</v>
      </c>
      <c r="B12" s="27" t="inlineStr">
        <is>
          <t>HSBC Multi Asset Allocation Fund - Regular - Growth</t>
        </is>
      </c>
      <c r="C12" s="27" t="inlineStr">
        <is>
          <t>HSBC Mutual Fund</t>
        </is>
      </c>
      <c r="D12" s="27" t="inlineStr">
        <is>
          <t>Multi Asset Allocation</t>
        </is>
      </c>
      <c r="E12" s="28" t="n">
        <v>-1.88</v>
      </c>
      <c r="F12" s="29" t="n">
        <v>1.57</v>
      </c>
      <c r="G12" s="29" t="n">
        <v>3.07</v>
      </c>
      <c r="H12" s="29" t="n">
        <v>13.8</v>
      </c>
      <c r="I12" s="29" t="n">
        <v>9.224539367305184</v>
      </c>
      <c r="J12" s="29" t="n">
        <v>0</v>
      </c>
      <c r="K12" s="94" t="n">
        <v>73</v>
      </c>
      <c r="L12" s="18" t="n">
        <v>0</v>
      </c>
      <c r="M12" s="24" t="n">
        <v>40.1</v>
      </c>
      <c r="N12" s="101" t="inlineStr">
        <is>
          <t>📈 Good</t>
        </is>
      </c>
      <c r="O12" s="101" t="inlineStr">
        <is>
          <t>⏳ New Fund</t>
        </is>
      </c>
      <c r="P12" s="101" t="inlineStr">
        <is>
          <t>📈 Momentum Only</t>
        </is>
      </c>
      <c r="Q12" s="102" t="inlineStr">
        <is>
          <t>MOMENTUM_ONLY</t>
        </is>
      </c>
    </row>
    <row r="13" ht="16" customHeight="1">
      <c r="A13" s="26" t="n">
        <v>9</v>
      </c>
      <c r="B13" s="27" t="inlineStr">
        <is>
          <t>Bandhan Multi Asset Allocation Fund - Regular Plan - Growth</t>
        </is>
      </c>
      <c r="C13" s="27" t="inlineStr">
        <is>
          <t>Bandhan Mutual Fund</t>
        </is>
      </c>
      <c r="D13" s="27" t="inlineStr">
        <is>
          <t>Multi Asset Allocation</t>
        </is>
      </c>
      <c r="E13" s="28" t="n">
        <v>-0.96</v>
      </c>
      <c r="F13" s="29" t="n">
        <v>1.48</v>
      </c>
      <c r="G13" s="29" t="n">
        <v>1.79</v>
      </c>
      <c r="H13" s="29" t="n">
        <v>12.36</v>
      </c>
      <c r="I13" s="29" t="n">
        <v>11.07655018049489</v>
      </c>
      <c r="J13" s="29" t="n">
        <v>0</v>
      </c>
      <c r="K13" s="94" t="n">
        <v>72.3</v>
      </c>
      <c r="L13" s="18" t="n">
        <v>0</v>
      </c>
      <c r="M13" s="24" t="n">
        <v>39.8</v>
      </c>
      <c r="N13" s="101" t="inlineStr">
        <is>
          <t>📈 Good</t>
        </is>
      </c>
      <c r="O13" s="101" t="inlineStr">
        <is>
          <t>⏳ New Fund</t>
        </is>
      </c>
      <c r="P13" s="101" t="inlineStr">
        <is>
          <t>📈 Momentum Only</t>
        </is>
      </c>
      <c r="Q13" s="102" t="inlineStr">
        <is>
          <t>MOMENTUM_ONLY</t>
        </is>
      </c>
    </row>
    <row r="14" ht="16" customHeight="1">
      <c r="A14" s="26" t="n">
        <v>10</v>
      </c>
      <c r="B14" s="27" t="inlineStr">
        <is>
          <t>Bank of India Multi Asset Allocation Fund-Regular Plan-Growth</t>
        </is>
      </c>
      <c r="C14" s="27" t="inlineStr">
        <is>
          <t>Bank of India Mutual Fund</t>
        </is>
      </c>
      <c r="D14" s="27" t="inlineStr">
        <is>
          <t>Multi Asset Allocation</t>
        </is>
      </c>
      <c r="E14" s="28" t="n">
        <v>-0.7</v>
      </c>
      <c r="F14" s="29" t="n">
        <v>0.95</v>
      </c>
      <c r="G14" s="29" t="n">
        <v>3.23</v>
      </c>
      <c r="H14" s="29" t="n">
        <v>9.33</v>
      </c>
      <c r="I14" s="29" t="n">
        <v>7.293988648013272</v>
      </c>
      <c r="J14" s="29" t="n">
        <v>0</v>
      </c>
      <c r="K14" s="94" t="n">
        <v>69.5</v>
      </c>
      <c r="L14" s="18" t="n">
        <v>0</v>
      </c>
      <c r="M14" s="24" t="n">
        <v>38.2</v>
      </c>
      <c r="N14" s="101" t="inlineStr">
        <is>
          <t>📈 Good</t>
        </is>
      </c>
      <c r="O14" s="101" t="inlineStr">
        <is>
          <t>⏳ New Fund</t>
        </is>
      </c>
      <c r="P14" s="101" t="inlineStr">
        <is>
          <t>📈 Momentum Only</t>
        </is>
      </c>
      <c r="Q14" s="102" t="inlineStr">
        <is>
          <t>MOMENTUM_ONLY</t>
        </is>
      </c>
    </row>
    <row r="15" ht="16" customHeight="1">
      <c r="A15" s="26" t="n">
        <v>11</v>
      </c>
      <c r="B15" s="27" t="inlineStr">
        <is>
          <t>Invesco India Multi Asset Allocation Fund - Regular Plan - Growth</t>
        </is>
      </c>
      <c r="C15" s="27" t="inlineStr">
        <is>
          <t>Invesco Mutual Fund</t>
        </is>
      </c>
      <c r="D15" s="27" t="inlineStr">
        <is>
          <t>Multi Asset Allocation</t>
        </is>
      </c>
      <c r="E15" s="28" t="n">
        <v>-0.16</v>
      </c>
      <c r="F15" s="29" t="n">
        <v>0.82</v>
      </c>
      <c r="G15" s="28" t="n">
        <v>-0.24</v>
      </c>
      <c r="H15" s="29" t="n">
        <v>13.25</v>
      </c>
      <c r="I15" s="29" t="n">
        <v>0</v>
      </c>
      <c r="J15" s="29" t="n">
        <v>0</v>
      </c>
      <c r="K15" s="94" t="n">
        <v>66.59999999999999</v>
      </c>
      <c r="L15" s="18" t="n">
        <v>0</v>
      </c>
      <c r="M15" s="24" t="n">
        <v>36.6</v>
      </c>
      <c r="N15" s="101" t="inlineStr">
        <is>
          <t>📈 Good</t>
        </is>
      </c>
      <c r="O15" s="101" t="inlineStr">
        <is>
          <t>⏳ New Fund</t>
        </is>
      </c>
      <c r="P15" s="101" t="inlineStr">
        <is>
          <t>📈 Momentum Only</t>
        </is>
      </c>
      <c r="Q15" s="102" t="inlineStr">
        <is>
          <t>MOMENTUM_ONLY</t>
        </is>
      </c>
    </row>
    <row r="16" ht="16" customHeight="1">
      <c r="A16" s="84" t="n">
        <v>12</v>
      </c>
      <c r="B16" s="85" t="inlineStr">
        <is>
          <t>Axis Multi Asset Allocation Fund - Regular Plan - Growth Option</t>
        </is>
      </c>
      <c r="C16" s="85" t="inlineStr">
        <is>
          <t>Axis Mutual Fund</t>
        </is>
      </c>
      <c r="D16" s="85" t="inlineStr">
        <is>
          <t>Multi Asset Allocation</t>
        </is>
      </c>
      <c r="E16" s="87" t="n">
        <v>0.05</v>
      </c>
      <c r="F16" s="87" t="n">
        <v>1.29</v>
      </c>
      <c r="G16" s="86" t="n">
        <v>-1.12</v>
      </c>
      <c r="H16" s="87" t="n">
        <v>10.05</v>
      </c>
      <c r="I16" s="87" t="n">
        <v>8.198890937014692</v>
      </c>
      <c r="J16" s="87" t="n">
        <v>41.9</v>
      </c>
      <c r="K16" s="94" t="n">
        <v>66.09999999999999</v>
      </c>
      <c r="L16" s="18" t="n">
        <v>0</v>
      </c>
      <c r="M16" s="24" t="n">
        <v>36.4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76" t="inlineStr">
        <is>
          <t>FULL</t>
        </is>
      </c>
    </row>
    <row r="17" ht="16" customHeight="1">
      <c r="A17" s="89" t="n">
        <v>13</v>
      </c>
      <c r="B17" s="90" t="inlineStr">
        <is>
          <t>Tata Multi Asset Allocation Fund-Regular Plan-Growth</t>
        </is>
      </c>
      <c r="C17" s="90" t="inlineStr">
        <is>
          <t>Tata Mutual Fund</t>
        </is>
      </c>
      <c r="D17" s="90" t="inlineStr">
        <is>
          <t>Multi Asset Allocation</t>
        </is>
      </c>
      <c r="E17" s="91" t="n">
        <v>-0.55</v>
      </c>
      <c r="F17" s="92" t="n">
        <v>1.7</v>
      </c>
      <c r="G17" s="92" t="n">
        <v>0.71</v>
      </c>
      <c r="H17" s="92" t="n">
        <v>6.66</v>
      </c>
      <c r="I17" s="92" t="n">
        <v>6.494131293700889</v>
      </c>
      <c r="J17" s="92" t="n">
        <v>43.11</v>
      </c>
      <c r="K17" s="94" t="n">
        <v>62</v>
      </c>
      <c r="L17" s="18" t="n">
        <v>0</v>
      </c>
      <c r="M17" s="24" t="n">
        <v>34.1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76" t="inlineStr">
        <is>
          <t>FULL</t>
        </is>
      </c>
    </row>
    <row r="18" ht="16" customHeight="1">
      <c r="A18" s="26" t="n">
        <v>14</v>
      </c>
      <c r="B18" s="27" t="inlineStr">
        <is>
          <t>Canara Robeco Multi Asset Allocation Fund - Regular Plan - Growth</t>
        </is>
      </c>
      <c r="C18" s="27" t="inlineStr">
        <is>
          <t>Canara Robeco Mutual Fund</t>
        </is>
      </c>
      <c r="D18" s="27" t="inlineStr">
        <is>
          <t>Multi Asset Allocation</t>
        </is>
      </c>
      <c r="E18" s="28" t="n">
        <v>-0.09</v>
      </c>
      <c r="F18" s="29" t="n">
        <v>0.74</v>
      </c>
      <c r="G18" s="29" t="n">
        <v>0.09</v>
      </c>
      <c r="H18" s="29" t="n">
        <v>7.77</v>
      </c>
      <c r="I18" s="29" t="n">
        <v>0</v>
      </c>
      <c r="J18" s="29" t="n">
        <v>0</v>
      </c>
      <c r="K18" s="94" t="n">
        <v>58.6</v>
      </c>
      <c r="L18" s="18" t="n">
        <v>0</v>
      </c>
      <c r="M18" s="24" t="n">
        <v>32.2</v>
      </c>
      <c r="N18" s="101" t="inlineStr">
        <is>
          <t>➡️ Neutral</t>
        </is>
      </c>
      <c r="O18" s="101" t="inlineStr">
        <is>
          <t>⏳ New Fund</t>
        </is>
      </c>
      <c r="P18" s="101" t="inlineStr">
        <is>
          <t>⏳ New Fund</t>
        </is>
      </c>
      <c r="Q18" s="102" t="inlineStr">
        <is>
          <t>MOMENTUM_ONLY</t>
        </is>
      </c>
    </row>
    <row r="19" ht="16" customHeight="1">
      <c r="A19" s="26" t="n">
        <v>15</v>
      </c>
      <c r="B19" s="27" t="inlineStr">
        <is>
          <t>360 ONE Multi Asset Allocation Fund - Regular Plan - Growth</t>
        </is>
      </c>
      <c r="C19" s="27" t="inlineStr">
        <is>
          <t>360 ONE Mutual Fund</t>
        </is>
      </c>
      <c r="D19" s="27" t="inlineStr">
        <is>
          <t>Multi Asset Allocation</t>
        </is>
      </c>
      <c r="E19" s="28" t="n">
        <v>-0.06</v>
      </c>
      <c r="F19" s="29" t="n">
        <v>1.16</v>
      </c>
      <c r="G19" s="29" t="n">
        <v>1.04</v>
      </c>
      <c r="H19" s="29" t="n">
        <v>0</v>
      </c>
      <c r="I19" s="29" t="n">
        <v>0</v>
      </c>
      <c r="J19" s="29" t="n">
        <v>0</v>
      </c>
      <c r="K19" s="94" t="n">
        <v>58</v>
      </c>
      <c r="L19" s="18" t="n">
        <v>0</v>
      </c>
      <c r="M19" s="24" t="n">
        <v>31.9</v>
      </c>
      <c r="N19" s="101" t="inlineStr">
        <is>
          <t>➡️ Neutral</t>
        </is>
      </c>
      <c r="O19" s="101" t="inlineStr">
        <is>
          <t>⏳ New Fund</t>
        </is>
      </c>
      <c r="P19" s="101" t="inlineStr">
        <is>
          <t>⏳ New Fund</t>
        </is>
      </c>
      <c r="Q19" s="102" t="inlineStr">
        <is>
          <t>MOMENTUM_ONLY</t>
        </is>
      </c>
    </row>
    <row r="20" ht="16" customHeight="1">
      <c r="A20" s="84" t="n">
        <v>16</v>
      </c>
      <c r="B20" s="85" t="inlineStr">
        <is>
          <t>SBI MULTI ASSET ALLOCATION FUND - REGULAR PLAN - GROWTH</t>
        </is>
      </c>
      <c r="C20" s="85" t="inlineStr">
        <is>
          <t>SBI Mutual Fund</t>
        </is>
      </c>
      <c r="D20" s="85" t="inlineStr">
        <is>
          <t>Multi Asset Allocation</t>
        </is>
      </c>
      <c r="E20" s="86" t="n">
        <v>-0.63</v>
      </c>
      <c r="F20" s="87" t="n">
        <v>0.82</v>
      </c>
      <c r="G20" s="87" t="n">
        <v>0.14</v>
      </c>
      <c r="H20" s="87" t="n">
        <v>10.04</v>
      </c>
      <c r="I20" s="87" t="n">
        <v>9.608393839158147</v>
      </c>
      <c r="J20" s="87" t="n">
        <v>52.92</v>
      </c>
      <c r="K20" s="94" t="n">
        <v>56.1</v>
      </c>
      <c r="L20" s="18" t="n">
        <v>0</v>
      </c>
      <c r="M20" s="24" t="n">
        <v>30.9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76" t="inlineStr">
        <is>
          <t>FULL</t>
        </is>
      </c>
    </row>
    <row r="21" ht="16" customHeight="1">
      <c r="A21" s="26" t="n">
        <v>17</v>
      </c>
      <c r="B21" s="27" t="inlineStr">
        <is>
          <t>Mirae Asset Multi Asset Allocation Fund - Regular Plan - Growth</t>
        </is>
      </c>
      <c r="C21" s="27" t="inlineStr">
        <is>
          <t>Mirae Asset Mutual Fund</t>
        </is>
      </c>
      <c r="D21" s="27" t="inlineStr">
        <is>
          <t>Multi Asset Allocation</t>
        </is>
      </c>
      <c r="E21" s="28" t="n">
        <v>-0.6</v>
      </c>
      <c r="F21" s="28" t="n">
        <v>-0.13</v>
      </c>
      <c r="G21" s="29" t="n">
        <v>0.57</v>
      </c>
      <c r="H21" s="29" t="n">
        <v>9.1</v>
      </c>
      <c r="I21" s="29" t="n">
        <v>9.558203709261303</v>
      </c>
      <c r="J21" s="29" t="n">
        <v>0</v>
      </c>
      <c r="K21" s="94" t="n">
        <v>52.5</v>
      </c>
      <c r="L21" s="18" t="n">
        <v>0</v>
      </c>
      <c r="M21" s="24" t="n">
        <v>28.9</v>
      </c>
      <c r="N21" s="101" t="inlineStr">
        <is>
          <t>➡️ Neutral</t>
        </is>
      </c>
      <c r="O21" s="101" t="inlineStr">
        <is>
          <t>⏳ New Fund</t>
        </is>
      </c>
      <c r="P21" s="101" t="inlineStr">
        <is>
          <t>⏳ New Fund</t>
        </is>
      </c>
      <c r="Q21" s="102" t="inlineStr">
        <is>
          <t>MOMENTUM_ONLY</t>
        </is>
      </c>
    </row>
    <row r="22" ht="16" customHeight="1">
      <c r="A22" s="84" t="n">
        <v>18</v>
      </c>
      <c r="B22" s="85" t="inlineStr">
        <is>
          <t>Baroda BNP Paribas Multi Asset Fund - Regular Plan - Growth Option</t>
        </is>
      </c>
      <c r="C22" s="85" t="inlineStr">
        <is>
          <t>Baroda BNP Paribas Mutual Fund</t>
        </is>
      </c>
      <c r="D22" s="85" t="inlineStr">
        <is>
          <t>Multi Asset Allocation</t>
        </is>
      </c>
      <c r="E22" s="86" t="n">
        <v>-1.38</v>
      </c>
      <c r="F22" s="86" t="n">
        <v>-0.36</v>
      </c>
      <c r="G22" s="87" t="n">
        <v>0.86</v>
      </c>
      <c r="H22" s="87" t="n">
        <v>6.68</v>
      </c>
      <c r="I22" s="87" t="n">
        <v>6.141415102682712</v>
      </c>
      <c r="J22" s="87" t="n">
        <v>47.66</v>
      </c>
      <c r="K22" s="95" t="n">
        <v>45.3</v>
      </c>
      <c r="L22" s="18" t="n">
        <v>0</v>
      </c>
      <c r="M22" s="24" t="n">
        <v>24.9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76" t="inlineStr">
        <is>
          <t>FULL</t>
        </is>
      </c>
    </row>
    <row r="23" ht="16" customHeight="1">
      <c r="A23" s="89" t="n">
        <v>19</v>
      </c>
      <c r="B23" s="90" t="inlineStr">
        <is>
          <t>ICICI Prudential Multi-Asset Fund - Growth</t>
        </is>
      </c>
      <c r="C23" s="90" t="inlineStr">
        <is>
          <t>ICICI Prudential Mutual Fund</t>
        </is>
      </c>
      <c r="D23" s="90" t="inlineStr">
        <is>
          <t>Multi Asset Allocation</t>
        </is>
      </c>
      <c r="E23" s="91" t="n">
        <v>-0.07000000000000001</v>
      </c>
      <c r="F23" s="91" t="n">
        <v>-0.11</v>
      </c>
      <c r="G23" s="91" t="n">
        <v>-0.24</v>
      </c>
      <c r="H23" s="92" t="n">
        <v>6.02</v>
      </c>
      <c r="I23" s="92" t="n">
        <v>7.874927578191215</v>
      </c>
      <c r="J23" s="92" t="n">
        <v>52.83</v>
      </c>
      <c r="K23" s="95" t="n">
        <v>44.2</v>
      </c>
      <c r="L23" s="18" t="n">
        <v>0</v>
      </c>
      <c r="M23" s="24" t="n">
        <v>24.3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76" t="inlineStr">
        <is>
          <t>FULL</t>
        </is>
      </c>
    </row>
    <row r="24" ht="16" customHeight="1">
      <c r="A24" s="26" t="n">
        <v>20</v>
      </c>
      <c r="B24" s="27" t="inlineStr">
        <is>
          <t>Union Multi Asset Allocation Fund- Regular Plan - Growth Option</t>
        </is>
      </c>
      <c r="C24" s="27" t="inlineStr">
        <is>
          <t>Union Mutual Fund</t>
        </is>
      </c>
      <c r="D24" s="27" t="inlineStr">
        <is>
          <t>Multi Asset Allocation</t>
        </is>
      </c>
      <c r="E24" s="28" t="n">
        <v>-1.32</v>
      </c>
      <c r="F24" s="28" t="n">
        <v>-0.41</v>
      </c>
      <c r="G24" s="28" t="n">
        <v>-0.58</v>
      </c>
      <c r="H24" s="29" t="n">
        <v>11.84</v>
      </c>
      <c r="I24" s="29" t="n">
        <v>0</v>
      </c>
      <c r="J24" s="29" t="n">
        <v>0</v>
      </c>
      <c r="K24" s="95" t="n">
        <v>41.9</v>
      </c>
      <c r="L24" s="18" t="n">
        <v>0</v>
      </c>
      <c r="M24" s="24" t="n">
        <v>23</v>
      </c>
      <c r="N24" s="101" t="inlineStr">
        <is>
          <t>➡️ Neutral</t>
        </is>
      </c>
      <c r="O24" s="101" t="inlineStr">
        <is>
          <t>⏳ New Fund</t>
        </is>
      </c>
      <c r="P24" s="101" t="inlineStr">
        <is>
          <t>⏳ New Fund</t>
        </is>
      </c>
      <c r="Q24" s="102" t="inlineStr">
        <is>
          <t>MOMENTUM_ONLY</t>
        </is>
      </c>
    </row>
    <row r="25" ht="16" customHeight="1">
      <c r="A25" s="26" t="n">
        <v>21</v>
      </c>
      <c r="B25" s="27" t="inlineStr">
        <is>
          <t>Bajaj Finserv Multi Asset Allocation Fund - Regular Growth</t>
        </is>
      </c>
      <c r="C25" s="27" t="inlineStr">
        <is>
          <t>Bajaj Finserv Mutual Fund</t>
        </is>
      </c>
      <c r="D25" s="27" t="inlineStr">
        <is>
          <t>Multi Asset Allocation</t>
        </is>
      </c>
      <c r="E25" s="29" t="n">
        <v>0.03</v>
      </c>
      <c r="F25" s="28" t="n">
        <v>-0.08</v>
      </c>
      <c r="G25" s="28" t="n">
        <v>-2.86</v>
      </c>
      <c r="H25" s="29" t="n">
        <v>8.77</v>
      </c>
      <c r="I25" s="29" t="n">
        <v>6.428379673844509</v>
      </c>
      <c r="J25" s="29" t="n">
        <v>0</v>
      </c>
      <c r="K25" s="95" t="n">
        <v>40.8</v>
      </c>
      <c r="L25" s="18" t="n">
        <v>0</v>
      </c>
      <c r="M25" s="24" t="n">
        <v>22.4</v>
      </c>
      <c r="N25" s="101" t="inlineStr">
        <is>
          <t>➡️ Neutral</t>
        </is>
      </c>
      <c r="O25" s="101" t="inlineStr">
        <is>
          <t>⏳ New Fund</t>
        </is>
      </c>
      <c r="P25" s="101" t="inlineStr">
        <is>
          <t>⏳ New Fund</t>
        </is>
      </c>
      <c r="Q25" s="102" t="inlineStr">
        <is>
          <t>MOMENTUM_ONLY</t>
        </is>
      </c>
    </row>
    <row r="26" ht="16" customHeight="1">
      <c r="A26" s="26" t="n">
        <v>22</v>
      </c>
      <c r="B26" s="27" t="inlineStr">
        <is>
          <t>Kotak Multi Asset Allocation Fund - Regular Plan - Growth Option</t>
        </is>
      </c>
      <c r="C26" s="27" t="inlineStr">
        <is>
          <t>Kotak Mahindra Mutual Fund</t>
        </is>
      </c>
      <c r="D26" s="27" t="inlineStr">
        <is>
          <t>Multi Asset Allocation</t>
        </is>
      </c>
      <c r="E26" s="28" t="n">
        <v>-1.3</v>
      </c>
      <c r="F26" s="28" t="n">
        <v>-0.37</v>
      </c>
      <c r="G26" s="28" t="n">
        <v>-2.07</v>
      </c>
      <c r="H26" s="29" t="n">
        <v>17.25</v>
      </c>
      <c r="I26" s="29" t="n">
        <v>10.53958566956907</v>
      </c>
      <c r="J26" s="29" t="n">
        <v>0</v>
      </c>
      <c r="K26" s="95" t="n">
        <v>40.3</v>
      </c>
      <c r="L26" s="18" t="n">
        <v>0</v>
      </c>
      <c r="M26" s="24" t="n">
        <v>22.2</v>
      </c>
      <c r="N26" s="101" t="inlineStr">
        <is>
          <t>➡️ Neutral</t>
        </is>
      </c>
      <c r="O26" s="101" t="inlineStr">
        <is>
          <t>⏳ New Fund</t>
        </is>
      </c>
      <c r="P26" s="101" t="inlineStr">
        <is>
          <t>⏳ New Fund</t>
        </is>
      </c>
      <c r="Q26" s="102" t="inlineStr">
        <is>
          <t>MOMENTUM_ONLY</t>
        </is>
      </c>
    </row>
    <row r="27" ht="16" customHeight="1">
      <c r="A27" s="26" t="n">
        <v>23</v>
      </c>
      <c r="B27" s="27" t="inlineStr">
        <is>
          <t>The Wealth Company Multi Asset Allocation Fund - Regular Growth</t>
        </is>
      </c>
      <c r="C27" s="27" t="inlineStr">
        <is>
          <t>The Wealth Company Mutual Fund</t>
        </is>
      </c>
      <c r="D27" s="27" t="inlineStr">
        <is>
          <t>Multi Asset Allocation</t>
        </is>
      </c>
      <c r="E27" s="28" t="n">
        <v>-2.06</v>
      </c>
      <c r="F27" s="29" t="n">
        <v>0.32</v>
      </c>
      <c r="G27" s="29" t="n">
        <v>1.92</v>
      </c>
      <c r="H27" s="29" t="n">
        <v>0</v>
      </c>
      <c r="I27" s="29" t="n">
        <v>0</v>
      </c>
      <c r="J27" s="29" t="n">
        <v>0</v>
      </c>
      <c r="K27" s="95" t="n">
        <v>39.8</v>
      </c>
      <c r="L27" s="18" t="n">
        <v>0</v>
      </c>
      <c r="M27" s="24" t="n">
        <v>21.9</v>
      </c>
      <c r="N27" s="101" t="inlineStr">
        <is>
          <t>📉 Weak</t>
        </is>
      </c>
      <c r="O27" s="101" t="inlineStr">
        <is>
          <t>⏳ New Fund</t>
        </is>
      </c>
      <c r="P27" s="101" t="inlineStr">
        <is>
          <t>⏳ New Fund</t>
        </is>
      </c>
      <c r="Q27" s="102" t="inlineStr">
        <is>
          <t>MOMENTUM_ONLY</t>
        </is>
      </c>
    </row>
    <row r="28" ht="16" customHeight="1">
      <c r="A28" s="84" t="n">
        <v>24</v>
      </c>
      <c r="B28" s="85" t="inlineStr">
        <is>
          <t>UTI Multi Asset Allocation Fund - Regular Plan - Growth Option</t>
        </is>
      </c>
      <c r="C28" s="85" t="inlineStr">
        <is>
          <t>UTI Mutual Fund</t>
        </is>
      </c>
      <c r="D28" s="85" t="inlineStr">
        <is>
          <t>Multi Asset Allocation</t>
        </is>
      </c>
      <c r="E28" s="86" t="n">
        <v>-0.53</v>
      </c>
      <c r="F28" s="87" t="n">
        <v>0.49</v>
      </c>
      <c r="G28" s="86" t="n">
        <v>-1.27</v>
      </c>
      <c r="H28" s="87" t="n">
        <v>4.48</v>
      </c>
      <c r="I28" s="87" t="n">
        <v>5.399240983984321</v>
      </c>
      <c r="J28" s="87" t="n">
        <v>52.2</v>
      </c>
      <c r="K28" s="95" t="n">
        <v>39.7</v>
      </c>
      <c r="L28" s="18" t="n">
        <v>0</v>
      </c>
      <c r="M28" s="24" t="n">
        <v>21.8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76" t="inlineStr">
        <is>
          <t>FULL</t>
        </is>
      </c>
    </row>
    <row r="29" ht="16" customHeight="1">
      <c r="A29" s="26" t="n">
        <v>25</v>
      </c>
      <c r="B29" s="27" t="inlineStr">
        <is>
          <t>PGIM India Multi Asset Allocation Fund - Regular Plan - Growth Option</t>
        </is>
      </c>
      <c r="C29" s="27" t="inlineStr">
        <is>
          <t>PGIM India Mutual Fund</t>
        </is>
      </c>
      <c r="D29" s="27" t="inlineStr">
        <is>
          <t>Multi Asset Allocation</t>
        </is>
      </c>
      <c r="E29" s="28" t="n">
        <v>-0.19</v>
      </c>
      <c r="F29" s="29" t="n">
        <v>0.39</v>
      </c>
      <c r="G29" s="28" t="n">
        <v>-1.14</v>
      </c>
      <c r="H29" s="29" t="n">
        <v>0</v>
      </c>
      <c r="I29" s="29" t="n">
        <v>0</v>
      </c>
      <c r="J29" s="29" t="n">
        <v>0</v>
      </c>
      <c r="K29" s="95" t="n">
        <v>37.7</v>
      </c>
      <c r="L29" s="18" t="n">
        <v>0</v>
      </c>
      <c r="M29" s="24" t="n">
        <v>20.7</v>
      </c>
      <c r="N29" s="101" t="inlineStr">
        <is>
          <t>📉 Weak</t>
        </is>
      </c>
      <c r="O29" s="101" t="inlineStr">
        <is>
          <t>⏳ New Fund</t>
        </is>
      </c>
      <c r="P29" s="101" t="inlineStr">
        <is>
          <t>⏳ New Fund</t>
        </is>
      </c>
      <c r="Q29" s="102" t="inlineStr">
        <is>
          <t>MOMENTUM_ONLY</t>
        </is>
      </c>
    </row>
    <row r="30" ht="16" customHeight="1">
      <c r="A30" s="26" t="n">
        <v>26</v>
      </c>
      <c r="B30" s="27" t="inlineStr">
        <is>
          <t>Shriram Multi Asset Allocation Fund - Regular Growth</t>
        </is>
      </c>
      <c r="C30" s="27" t="inlineStr">
        <is>
          <t>Shriram Mutual Fund</t>
        </is>
      </c>
      <c r="D30" s="27" t="inlineStr">
        <is>
          <t>Multi Asset Allocation</t>
        </is>
      </c>
      <c r="E30" s="28" t="n">
        <v>-0.85</v>
      </c>
      <c r="F30" s="29" t="n">
        <v>0.08</v>
      </c>
      <c r="G30" s="28" t="n">
        <v>-1.65</v>
      </c>
      <c r="H30" s="29" t="n">
        <v>6.54</v>
      </c>
      <c r="I30" s="29" t="n">
        <v>0.4241006930109315</v>
      </c>
      <c r="J30" s="29" t="n">
        <v>0</v>
      </c>
      <c r="K30" s="95" t="n">
        <v>35.3</v>
      </c>
      <c r="L30" s="18" t="n">
        <v>0</v>
      </c>
      <c r="M30" s="24" t="n">
        <v>19.4</v>
      </c>
      <c r="N30" s="101" t="inlineStr">
        <is>
          <t>📉 Weak</t>
        </is>
      </c>
      <c r="O30" s="101" t="inlineStr">
        <is>
          <t>⏳ New Fund</t>
        </is>
      </c>
      <c r="P30" s="101" t="inlineStr">
        <is>
          <t>⏳ New Fund</t>
        </is>
      </c>
      <c r="Q30" s="102" t="inlineStr">
        <is>
          <t>MOMENTUM_ONLY</t>
        </is>
      </c>
    </row>
    <row r="31" ht="16" customHeight="1">
      <c r="A31" s="89" t="n">
        <v>27</v>
      </c>
      <c r="B31" s="90" t="inlineStr">
        <is>
          <t>HDFC Multi-Asset Fund - Growth Option</t>
        </is>
      </c>
      <c r="C31" s="90" t="inlineStr">
        <is>
          <t>HDFC Mutual Fund</t>
        </is>
      </c>
      <c r="D31" s="90" t="inlineStr">
        <is>
          <t>Multi Asset Allocation</t>
        </is>
      </c>
      <c r="E31" s="91" t="n">
        <v>-0.44</v>
      </c>
      <c r="F31" s="91" t="n">
        <v>-0.43</v>
      </c>
      <c r="G31" s="91" t="n">
        <v>-1.94</v>
      </c>
      <c r="H31" s="92" t="n">
        <v>3.37</v>
      </c>
      <c r="I31" s="92" t="n">
        <v>5.527247666183355</v>
      </c>
      <c r="J31" s="92" t="n">
        <v>36.74</v>
      </c>
      <c r="K31" s="95" t="n">
        <v>30</v>
      </c>
      <c r="L31" s="18" t="n">
        <v>0</v>
      </c>
      <c r="M31" s="24" t="n">
        <v>16.5</v>
      </c>
      <c r="N31" s="93" t="inlineStr">
        <is>
          <t>📉 Weak</t>
        </is>
      </c>
      <c r="O31" s="93" t="inlineStr">
        <is>
          <t>🔴 Not Qualified</t>
        </is>
      </c>
      <c r="P31" s="93" t="inlineStr">
        <is>
          <t>🔴 Avoid</t>
        </is>
      </c>
      <c r="Q31" s="76" t="inlineStr">
        <is>
          <t>FULL</t>
        </is>
      </c>
    </row>
    <row r="32" ht="16" customHeight="1">
      <c r="A32" s="26" t="n">
        <v>28</v>
      </c>
      <c r="B32" s="27" t="inlineStr">
        <is>
          <t>LIC MF Multi Asset Allocation Fund-Regular Plan-Growth</t>
        </is>
      </c>
      <c r="C32" s="27" t="inlineStr">
        <is>
          <t>LIC Mutual Fund</t>
        </is>
      </c>
      <c r="D32" s="27" t="inlineStr">
        <is>
          <t>Multi Asset Allocation</t>
        </is>
      </c>
      <c r="E32" s="28" t="n">
        <v>-1.79</v>
      </c>
      <c r="F32" s="28" t="n">
        <v>-0.62</v>
      </c>
      <c r="G32" s="28" t="n">
        <v>-1.36</v>
      </c>
      <c r="H32" s="29" t="n">
        <v>4.72</v>
      </c>
      <c r="I32" s="29" t="n">
        <v>0</v>
      </c>
      <c r="J32" s="29" t="n">
        <v>0</v>
      </c>
      <c r="K32" s="95" t="n">
        <v>21.9</v>
      </c>
      <c r="L32" s="18" t="n">
        <v>0</v>
      </c>
      <c r="M32" s="24" t="n">
        <v>12</v>
      </c>
      <c r="N32" s="101" t="inlineStr">
        <is>
          <t>📉 Weak</t>
        </is>
      </c>
      <c r="O32" s="101" t="inlineStr">
        <is>
          <t>⏳ New Fund</t>
        </is>
      </c>
      <c r="P32" s="101" t="inlineStr">
        <is>
          <t>⏳ New Fund</t>
        </is>
      </c>
      <c r="Q32" s="102" t="inlineStr">
        <is>
          <t>MOMENTUM_ONLY</t>
        </is>
      </c>
    </row>
    <row r="33" ht="16" customHeight="1">
      <c r="A33" s="26" t="n">
        <v>29</v>
      </c>
      <c r="B33" s="27" t="inlineStr">
        <is>
          <t>Franklin India Multi Asset Allocation Fund- Growth</t>
        </is>
      </c>
      <c r="C33" s="27" t="inlineStr">
        <is>
          <t>Franklin Templeton Mutual Fund</t>
        </is>
      </c>
      <c r="D33" s="27" t="inlineStr">
        <is>
          <t>Multi Asset Allocation</t>
        </is>
      </c>
      <c r="E33" s="28" t="n">
        <v>-1.27</v>
      </c>
      <c r="F33" s="28" t="n">
        <v>-0.95</v>
      </c>
      <c r="G33" s="28" t="n">
        <v>-1.11</v>
      </c>
      <c r="H33" s="29" t="n">
        <v>0</v>
      </c>
      <c r="I33" s="29" t="n">
        <v>0</v>
      </c>
      <c r="J33" s="29" t="n">
        <v>0</v>
      </c>
      <c r="K33" s="95" t="n">
        <v>20.6</v>
      </c>
      <c r="L33" s="18" t="n">
        <v>0</v>
      </c>
      <c r="M33" s="24" t="n">
        <v>11.3</v>
      </c>
      <c r="N33" s="101" t="inlineStr">
        <is>
          <t>📉 Weak</t>
        </is>
      </c>
      <c r="O33" s="101" t="inlineStr">
        <is>
          <t>⏳ New Fund</t>
        </is>
      </c>
      <c r="P33" s="101" t="inlineStr">
        <is>
          <t>⏳ New Fund</t>
        </is>
      </c>
      <c r="Q33" s="102" t="inlineStr">
        <is>
          <t>MOMENTUM_ONLY</t>
        </is>
      </c>
    </row>
    <row r="34" ht="16" customHeight="1">
      <c r="A34" s="26" t="n">
        <v>30</v>
      </c>
      <c r="B34" s="27" t="inlineStr">
        <is>
          <t>Quantum Multi Asset Allocation Fund - Regular Plan Growth Option</t>
        </is>
      </c>
      <c r="C34" s="27" t="inlineStr">
        <is>
          <t>Quantum Mutual Fund</t>
        </is>
      </c>
      <c r="D34" s="27" t="inlineStr">
        <is>
          <t>Multi Asset Allocation</t>
        </is>
      </c>
      <c r="E34" s="28" t="n">
        <v>-0.25</v>
      </c>
      <c r="F34" s="28" t="n">
        <v>-0.76</v>
      </c>
      <c r="G34" s="28" t="n">
        <v>-4.08</v>
      </c>
      <c r="H34" s="29" t="n">
        <v>2</v>
      </c>
      <c r="I34" s="29" t="n">
        <v>4.699570199690895</v>
      </c>
      <c r="J34" s="29" t="n">
        <v>0</v>
      </c>
      <c r="K34" s="95" t="n">
        <v>18.9</v>
      </c>
      <c r="L34" s="18" t="n">
        <v>0</v>
      </c>
      <c r="M34" s="24" t="n">
        <v>10.4</v>
      </c>
      <c r="N34" s="101" t="inlineStr">
        <is>
          <t>📉 Weak</t>
        </is>
      </c>
      <c r="O34" s="101" t="inlineStr">
        <is>
          <t>⏳ New Fund</t>
        </is>
      </c>
      <c r="P34" s="101" t="inlineStr">
        <is>
          <t>⏳ New Fund</t>
        </is>
      </c>
      <c r="Q34" s="102" t="inlineStr">
        <is>
          <t>MOMENTUM_ONLY</t>
        </is>
      </c>
    </row>
    <row r="35" ht="16" customHeight="1">
      <c r="A35" s="26" t="n">
        <v>31</v>
      </c>
      <c r="B35" s="27" t="inlineStr">
        <is>
          <t>Samco Multi Asset Allocation Fund - Regular Plan - Growth</t>
        </is>
      </c>
      <c r="C35" s="27" t="inlineStr">
        <is>
          <t>Samco Mutual Fund</t>
        </is>
      </c>
      <c r="D35" s="27" t="inlineStr">
        <is>
          <t>Multi Asset Allocation</t>
        </is>
      </c>
      <c r="E35" s="28" t="n">
        <v>-2.19</v>
      </c>
      <c r="F35" s="29" t="n">
        <v>0.08</v>
      </c>
      <c r="G35" s="28" t="n">
        <v>-2.03</v>
      </c>
      <c r="H35" s="29" t="n">
        <v>0.75</v>
      </c>
      <c r="I35" s="29" t="n">
        <v>0</v>
      </c>
      <c r="J35" s="29" t="n">
        <v>0</v>
      </c>
      <c r="K35" s="95" t="n">
        <v>18.6</v>
      </c>
      <c r="L35" s="18" t="n">
        <v>0</v>
      </c>
      <c r="M35" s="24" t="n">
        <v>10.2</v>
      </c>
      <c r="N35" s="101" t="inlineStr">
        <is>
          <t>📉 Weak</t>
        </is>
      </c>
      <c r="O35" s="101" t="inlineStr">
        <is>
          <t>⏳ New Fund</t>
        </is>
      </c>
      <c r="P35" s="101" t="inlineStr">
        <is>
          <t>⏳ New Fund</t>
        </is>
      </c>
      <c r="Q35" s="102" t="inlineStr">
        <is>
          <t>MOMENTUM_ONLY</t>
        </is>
      </c>
    </row>
    <row r="36" ht="16" customHeight="1">
      <c r="A36" s="26" t="n">
        <v>32</v>
      </c>
      <c r="B36" s="27" t="inlineStr">
        <is>
          <t>Sundaram Multi Asset Allocation Fund Regular Plan Growth</t>
        </is>
      </c>
      <c r="C36" s="27" t="inlineStr">
        <is>
          <t>Sundaram Mutual Fund</t>
        </is>
      </c>
      <c r="D36" s="27" t="inlineStr">
        <is>
          <t>Multi Asset Allocation</t>
        </is>
      </c>
      <c r="E36" s="28" t="n">
        <v>-1.53</v>
      </c>
      <c r="F36" s="28" t="n">
        <v>-1.41</v>
      </c>
      <c r="G36" s="28" t="n">
        <v>-3.33</v>
      </c>
      <c r="H36" s="29" t="n">
        <v>5.44</v>
      </c>
      <c r="I36" s="29" t="n">
        <v>7.028033710799342</v>
      </c>
      <c r="J36" s="29" t="n">
        <v>0</v>
      </c>
      <c r="K36" s="95" t="n">
        <v>14.4</v>
      </c>
      <c r="L36" s="18" t="n">
        <v>0</v>
      </c>
      <c r="M36" s="24" t="n">
        <v>7.9</v>
      </c>
      <c r="N36" s="101" t="inlineStr">
        <is>
          <t>📉 Weak</t>
        </is>
      </c>
      <c r="O36" s="101" t="inlineStr">
        <is>
          <t>⏳ New Fund</t>
        </is>
      </c>
      <c r="P36" s="101" t="inlineStr">
        <is>
          <t>⏳ New Fund</t>
        </is>
      </c>
      <c r="Q36" s="102" t="inlineStr">
        <is>
          <t>MOMENTUM_ONLY</t>
        </is>
      </c>
    </row>
    <row r="37" ht="16" customHeight="1">
      <c r="A37" s="26" t="n">
        <v>33</v>
      </c>
      <c r="B37" s="27" t="inlineStr">
        <is>
          <t>Groww Multi Asset Allocation Fund Regular Growth</t>
        </is>
      </c>
      <c r="C37" s="27" t="inlineStr">
        <is>
          <t>Groww Mutual Fund</t>
        </is>
      </c>
      <c r="D37" s="27" t="inlineStr">
        <is>
          <t>Multi Asset Allocation</t>
        </is>
      </c>
      <c r="E37" s="28" t="n">
        <v>-1.1</v>
      </c>
      <c r="F37" s="28" t="n">
        <v>-0.87</v>
      </c>
      <c r="G37" s="28" t="n">
        <v>-3.25</v>
      </c>
      <c r="H37" s="29" t="n">
        <v>0</v>
      </c>
      <c r="I37" s="29" t="n">
        <v>0</v>
      </c>
      <c r="J37" s="29" t="n">
        <v>0</v>
      </c>
      <c r="K37" s="95" t="n">
        <v>12.7</v>
      </c>
      <c r="L37" s="18" t="n">
        <v>0</v>
      </c>
      <c r="M37" s="24" t="n">
        <v>7</v>
      </c>
      <c r="N37" s="101" t="inlineStr">
        <is>
          <t>📉 Weak</t>
        </is>
      </c>
      <c r="O37" s="101" t="inlineStr">
        <is>
          <t>⏳ New Fund</t>
        </is>
      </c>
      <c r="P37" s="101" t="inlineStr">
        <is>
          <t>⏳ New Fund</t>
        </is>
      </c>
      <c r="Q37" s="102" t="inlineStr">
        <is>
          <t>MOMENTUM_ONLY</t>
        </is>
      </c>
    </row>
    <row r="38" ht="16" customHeight="1">
      <c r="A38" s="96" t="n">
        <v>0</v>
      </c>
      <c r="B38" s="97" t="inlineStr">
        <is>
          <t>JM Multi Asset Allocation Fund (Regular) - Growth Option</t>
        </is>
      </c>
      <c r="C38" s="97" t="inlineStr">
        <is>
          <t>JM Financial Mutual Fund</t>
        </is>
      </c>
      <c r="D38" s="97" t="inlineStr">
        <is>
          <t>Multi Asset Allocation</t>
        </is>
      </c>
      <c r="E38" s="98" t="n">
        <v>0</v>
      </c>
      <c r="F38" s="98" t="n">
        <v>0</v>
      </c>
      <c r="G38" s="98" t="n">
        <v>0</v>
      </c>
      <c r="H38" s="98" t="n">
        <v>0</v>
      </c>
      <c r="I38" s="98" t="n">
        <v>0</v>
      </c>
      <c r="J38" s="98" t="n">
        <v>0</v>
      </c>
      <c r="K38" s="95" t="n">
        <v>0</v>
      </c>
      <c r="L38" s="18" t="n">
        <v>0</v>
      </c>
      <c r="M38" s="24" t="n">
        <v>0</v>
      </c>
      <c r="N38" s="99" t="inlineStr">
        <is>
          <t>❌ N/A</t>
        </is>
      </c>
      <c r="O38" s="99" t="inlineStr">
        <is>
          <t>❌ N/A</t>
        </is>
      </c>
      <c r="P38" s="99" t="inlineStr">
        <is>
          <t>❌ Missing Data</t>
        </is>
      </c>
      <c r="Q38" s="100" t="inlineStr">
        <is>
          <t>MISSING</t>
        </is>
      </c>
    </row>
    <row r="39" ht="16" customHeight="1">
      <c r="A39" s="96" t="n">
        <v>0</v>
      </c>
      <c r="B39" s="97" t="inlineStr">
        <is>
          <t>Capitalmind Multi Asset Allocation Fund-Regular-Growth</t>
        </is>
      </c>
      <c r="C39" s="97" t="inlineStr">
        <is>
          <t>Capitalmind Mutual Fund</t>
        </is>
      </c>
      <c r="D39" s="97" t="inlineStr">
        <is>
          <t>Multi Asset Allocation</t>
        </is>
      </c>
      <c r="E39" s="103" t="n">
        <v>-1.48</v>
      </c>
      <c r="F39" s="103" t="n">
        <v>-3.24</v>
      </c>
      <c r="G39" s="98" t="n">
        <v>0</v>
      </c>
      <c r="H39" s="98" t="n">
        <v>0</v>
      </c>
      <c r="I39" s="98" t="n">
        <v>0</v>
      </c>
      <c r="J39" s="98" t="n">
        <v>0</v>
      </c>
      <c r="K39" s="95" t="n">
        <v>0</v>
      </c>
      <c r="L39" s="18" t="n">
        <v>0</v>
      </c>
      <c r="M39" s="24" t="n">
        <v>0</v>
      </c>
      <c r="N39" s="99" t="inlineStr">
        <is>
          <t>❌ N/A</t>
        </is>
      </c>
      <c r="O39" s="99" t="inlineStr">
        <is>
          <t>❌ N/A</t>
        </is>
      </c>
      <c r="P39" s="99" t="inlineStr">
        <is>
          <t>❌ Missing Data</t>
        </is>
      </c>
      <c r="Q39" s="100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"&amp;COUNTA(B5:B209)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2" t="n">
        <v>1</v>
      </c>
      <c r="B5" s="73" t="inlineStr">
        <is>
          <t>quant Multi Asset Allocation Fund-GROWTH OPTION - Regular Plan</t>
        </is>
      </c>
      <c r="C5" s="73" t="inlineStr">
        <is>
          <t>quant Mutual Fund</t>
        </is>
      </c>
      <c r="D5" s="73" t="inlineStr">
        <is>
          <t>Multi Asset Allocation</t>
        </is>
      </c>
      <c r="E5" s="73" t="inlineStr">
        <is>
          <t>Multi Asset Allocation</t>
        </is>
      </c>
      <c r="F5" s="75" t="n">
        <v>0.73</v>
      </c>
      <c r="G5" s="75" t="n">
        <v>5.02</v>
      </c>
      <c r="H5" s="75" t="n">
        <v>6.86</v>
      </c>
      <c r="I5" s="75" t="n">
        <v>19.72</v>
      </c>
      <c r="J5" s="75" t="n">
        <v>12.83616441549225</v>
      </c>
      <c r="K5" s="75" t="n">
        <v>81.87</v>
      </c>
      <c r="L5" s="17" t="n">
        <v>100</v>
      </c>
      <c r="M5" s="35" t="n">
        <v>90</v>
      </c>
      <c r="N5" s="36" t="n">
        <v>95.5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20" t="inlineStr">
        <is>
          <t>🔥 Hot</t>
        </is>
      </c>
      <c r="S5" s="20" t="inlineStr">
        <is>
          <t>🏆 Elite</t>
        </is>
      </c>
      <c r="T5" s="20" t="inlineStr">
        <is>
          <t>🚀 Strong Conviction</t>
        </is>
      </c>
      <c r="U5" s="76" t="inlineStr">
        <is>
          <t>FULL</t>
        </is>
      </c>
    </row>
    <row r="6" ht="16" customHeight="1">
      <c r="A6" s="77" t="n">
        <v>2</v>
      </c>
      <c r="B6" s="78" t="inlineStr">
        <is>
          <t>WhiteOak Capital Multi Asset Allocation Fund Regular Plan Growth</t>
        </is>
      </c>
      <c r="C6" s="78" t="inlineStr">
        <is>
          <t>WhiteOak Capital Mutual Fund</t>
        </is>
      </c>
      <c r="D6" s="78" t="inlineStr">
        <is>
          <t>Multi Asset Allocation</t>
        </is>
      </c>
      <c r="E6" s="78" t="inlineStr">
        <is>
          <t>Multi Asset Allocation</t>
        </is>
      </c>
      <c r="F6" s="79" t="n">
        <v>1.16</v>
      </c>
      <c r="G6" s="79" t="n">
        <v>2.45</v>
      </c>
      <c r="H6" s="79" t="n">
        <v>3.87</v>
      </c>
      <c r="I6" s="79" t="n">
        <v>11.25</v>
      </c>
      <c r="J6" s="79" t="n">
        <v>13.15034246523517</v>
      </c>
      <c r="K6" s="79" t="n">
        <v>53.4</v>
      </c>
      <c r="L6" s="17" t="n">
        <v>94.7</v>
      </c>
      <c r="M6" s="18" t="n">
        <v>45</v>
      </c>
      <c r="N6" s="19" t="n">
        <v>72.3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34" t="inlineStr">
        <is>
          <t>🔥 Hot</t>
        </is>
      </c>
      <c r="S6" s="34" t="inlineStr">
        <is>
          <t>➡️ Average</t>
        </is>
      </c>
      <c r="T6" s="34" t="inlineStr">
        <is>
          <t>📈 Momentum Play</t>
        </is>
      </c>
      <c r="U6" s="76" t="inlineStr">
        <is>
          <t>FULL</t>
        </is>
      </c>
    </row>
    <row r="7" ht="16" customHeight="1">
      <c r="A7" s="80" t="n">
        <v>3</v>
      </c>
      <c r="B7" s="81" t="inlineStr">
        <is>
          <t>Nippon India Multi Asset Allocation Fund - Regular Plan - Growth Option</t>
        </is>
      </c>
      <c r="C7" s="81" t="inlineStr">
        <is>
          <t>Nippon India Mutual Fund</t>
        </is>
      </c>
      <c r="D7" s="81" t="inlineStr">
        <is>
          <t>Multi Asset Allocation</t>
        </is>
      </c>
      <c r="E7" s="81" t="inlineStr">
        <is>
          <t>Multi Asset Allocation</t>
        </is>
      </c>
      <c r="F7" s="82" t="n">
        <v>-0.22</v>
      </c>
      <c r="G7" s="83" t="n">
        <v>1.05</v>
      </c>
      <c r="H7" s="83" t="n">
        <v>1.64</v>
      </c>
      <c r="I7" s="83" t="n">
        <v>12.75</v>
      </c>
      <c r="J7" s="83" t="n">
        <v>11.50336317797773</v>
      </c>
      <c r="K7" s="83" t="n">
        <v>64.06999999999999</v>
      </c>
      <c r="L7" s="17" t="n">
        <v>78.90000000000001</v>
      </c>
      <c r="M7" s="104" t="n">
        <v>56.7</v>
      </c>
      <c r="N7" s="19" t="n">
        <v>68.90000000000001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25" t="inlineStr">
        <is>
          <t>⭐ Strong</t>
        </is>
      </c>
      <c r="S7" s="25" t="inlineStr">
        <is>
          <t>➡️ Average</t>
        </is>
      </c>
      <c r="T7" s="25" t="inlineStr">
        <is>
          <t>📈 Momentum Play</t>
        </is>
      </c>
      <c r="U7" s="76" t="inlineStr">
        <is>
          <t>FULL</t>
        </is>
      </c>
    </row>
    <row r="8" ht="16" customHeight="1">
      <c r="A8" s="109" t="n">
        <v>4</v>
      </c>
      <c r="B8" s="110" t="inlineStr">
        <is>
          <t>Aditya Birla Sun Life Regular Savings Fund - Growth / Payment - Direct Plan</t>
        </is>
      </c>
      <c r="C8" s="110" t="inlineStr">
        <is>
          <t>Aditya Birla Sun Life Mutual Fund</t>
        </is>
      </c>
      <c r="D8" s="110" t="inlineStr">
        <is>
          <t>Conservative Hybrid Fund</t>
        </is>
      </c>
      <c r="E8" s="110" t="inlineStr">
        <is>
          <t>Conservative Hybrid Fund</t>
        </is>
      </c>
      <c r="F8" s="111" t="n">
        <v>0.59</v>
      </c>
      <c r="G8" s="111" t="n">
        <v>2.17</v>
      </c>
      <c r="H8" s="111" t="n">
        <v>3.24</v>
      </c>
      <c r="I8" s="111" t="n">
        <v>4.98</v>
      </c>
      <c r="J8" s="111" t="n">
        <v>7.461621056077505</v>
      </c>
      <c r="K8" s="111" t="n">
        <v>29.74</v>
      </c>
      <c r="L8" s="17" t="n">
        <v>96.2</v>
      </c>
      <c r="M8" s="18" t="n">
        <v>0</v>
      </c>
      <c r="N8" s="19" t="n">
        <v>52.9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🔥 Hot</t>
        </is>
      </c>
      <c r="S8" s="112" t="inlineStr">
        <is>
          <t>🔴 Not Qualified</t>
        </is>
      </c>
      <c r="T8" s="112" t="inlineStr">
        <is>
          <t>⚠️ Watch</t>
        </is>
      </c>
      <c r="U8" s="76" t="inlineStr">
        <is>
          <t>FULL</t>
        </is>
      </c>
    </row>
    <row r="9" ht="16" customHeight="1">
      <c r="A9" s="109" t="n">
        <v>5</v>
      </c>
      <c r="B9" s="110" t="inlineStr">
        <is>
          <t>Parag Parikh Conservative Hybrid Fund - Regular Plan - Growth</t>
        </is>
      </c>
      <c r="C9" s="110" t="inlineStr">
        <is>
          <t>PPFAS Mutual Fund</t>
        </is>
      </c>
      <c r="D9" s="110" t="inlineStr">
        <is>
          <t>Conservative Hybrid Fund</t>
        </is>
      </c>
      <c r="E9" s="110" t="inlineStr">
        <is>
          <t>Conservative Hybrid Fund</t>
        </is>
      </c>
      <c r="F9" s="111" t="n">
        <v>0.6899999999999999</v>
      </c>
      <c r="G9" s="111" t="n">
        <v>1.96</v>
      </c>
      <c r="H9" s="111" t="n">
        <v>3.17</v>
      </c>
      <c r="I9" s="111" t="n">
        <v>4.68</v>
      </c>
      <c r="J9" s="111" t="n">
        <v>6.831643252362274</v>
      </c>
      <c r="K9" s="111" t="n">
        <v>34.65</v>
      </c>
      <c r="L9" s="17" t="n">
        <v>95.2</v>
      </c>
      <c r="M9" s="18" t="n">
        <v>0</v>
      </c>
      <c r="N9" s="19" t="n">
        <v>52.4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🔴 Not Qualified</t>
        </is>
      </c>
      <c r="T9" s="112" t="inlineStr">
        <is>
          <t>⚠️ Watch</t>
        </is>
      </c>
      <c r="U9" s="76" t="inlineStr">
        <is>
          <t>FULL</t>
        </is>
      </c>
    </row>
    <row r="10" ht="16" customHeight="1">
      <c r="A10" s="109" t="n">
        <v>6</v>
      </c>
      <c r="B10" s="110" t="inlineStr">
        <is>
          <t>Bandhan Aggressive Hybrid Fund-Regular Plan Growth</t>
        </is>
      </c>
      <c r="C10" s="110" t="inlineStr">
        <is>
          <t>Bandhan Mutual Fund</t>
        </is>
      </c>
      <c r="D10" s="110" t="inlineStr">
        <is>
          <t>Aggressive Hybrid Fund</t>
        </is>
      </c>
      <c r="E10" s="110" t="inlineStr">
        <is>
          <t>Aggressive Hybrid Fund</t>
        </is>
      </c>
      <c r="F10" s="113" t="n">
        <v>-0.08</v>
      </c>
      <c r="G10" s="111" t="n">
        <v>2.84</v>
      </c>
      <c r="H10" s="111" t="n">
        <v>5.39</v>
      </c>
      <c r="I10" s="111" t="n">
        <v>4.98</v>
      </c>
      <c r="J10" s="111" t="n">
        <v>8.027774206451177</v>
      </c>
      <c r="K10" s="111" t="n">
        <v>45.47</v>
      </c>
      <c r="L10" s="17" t="n">
        <v>94.40000000000001</v>
      </c>
      <c r="M10" s="18" t="n">
        <v>0</v>
      </c>
      <c r="N10" s="19" t="n">
        <v>51.9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🔥 Hot</t>
        </is>
      </c>
      <c r="S10" s="112" t="inlineStr">
        <is>
          <t>🔴 Not Qualified</t>
        </is>
      </c>
      <c r="T10" s="112" t="inlineStr">
        <is>
          <t>⚠️ Watch</t>
        </is>
      </c>
      <c r="U10" s="76" t="inlineStr">
        <is>
          <t>FULL</t>
        </is>
      </c>
    </row>
    <row r="11" ht="16" customHeight="1">
      <c r="A11" s="109" t="n">
        <v>7</v>
      </c>
      <c r="B11" s="110" t="inlineStr">
        <is>
          <t>Aditya Birla Sun Life Balanced Advantage Fund - Regular Plan - Growth Option</t>
        </is>
      </c>
      <c r="C11" s="110" t="inlineStr">
        <is>
          <t>Aditya Birla Sun Life Mutual Fund</t>
        </is>
      </c>
      <c r="D11" s="110" t="inlineStr">
        <is>
          <t>Dynamic Asset Allocation Or Balanced Advantage</t>
        </is>
      </c>
      <c r="E11" s="110" t="inlineStr">
        <is>
          <t>Dynamic Asset Allocation Or Balanced Advantage</t>
        </is>
      </c>
      <c r="F11" s="111" t="n">
        <v>0.67</v>
      </c>
      <c r="G11" s="111" t="n">
        <v>1.99</v>
      </c>
      <c r="H11" s="111" t="n">
        <v>3.63</v>
      </c>
      <c r="I11" s="111" t="n">
        <v>4.2</v>
      </c>
      <c r="J11" s="111" t="n">
        <v>5.834776893042104</v>
      </c>
      <c r="K11" s="111" t="n">
        <v>36.31</v>
      </c>
      <c r="L11" s="17" t="n">
        <v>94.3</v>
      </c>
      <c r="M11" s="18" t="n">
        <v>0</v>
      </c>
      <c r="N11" s="19" t="n">
        <v>51.9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🔥 Hot</t>
        </is>
      </c>
      <c r="S11" s="112" t="inlineStr">
        <is>
          <t>🔴 Not Qualified</t>
        </is>
      </c>
      <c r="T11" s="112" t="inlineStr">
        <is>
          <t>⚠️ Watch</t>
        </is>
      </c>
      <c r="U11" s="76" t="inlineStr">
        <is>
          <t>FULL</t>
        </is>
      </c>
    </row>
    <row r="12" ht="16" customHeight="1">
      <c r="A12" s="109" t="n">
        <v>8</v>
      </c>
      <c r="B12" s="110" t="inlineStr">
        <is>
          <t>Edelweiss Equity Savings Fund - Regular Plan - Growth Option</t>
        </is>
      </c>
      <c r="C12" s="110" t="inlineStr">
        <is>
          <t>Edelweiss Mutual Fund</t>
        </is>
      </c>
      <c r="D12" s="110" t="inlineStr">
        <is>
          <t>Equity Savings</t>
        </is>
      </c>
      <c r="E12" s="110" t="inlineStr">
        <is>
          <t>Equity Savings</t>
        </is>
      </c>
      <c r="F12" s="111" t="n">
        <v>0.48</v>
      </c>
      <c r="G12" s="111" t="n">
        <v>2.42</v>
      </c>
      <c r="H12" s="111" t="n">
        <v>4.41</v>
      </c>
      <c r="I12" s="111" t="n">
        <v>6.73</v>
      </c>
      <c r="J12" s="111" t="n">
        <v>7.517440445724888</v>
      </c>
      <c r="K12" s="111" t="n">
        <v>33.95</v>
      </c>
      <c r="L12" s="17" t="n">
        <v>92.2</v>
      </c>
      <c r="M12" s="18" t="n">
        <v>0</v>
      </c>
      <c r="N12" s="19" t="n">
        <v>50.7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🔥 Hot</t>
        </is>
      </c>
      <c r="S12" s="112" t="inlineStr">
        <is>
          <t>🔴 Not Qualified</t>
        </is>
      </c>
      <c r="T12" s="112" t="inlineStr">
        <is>
          <t>⚠️ Watch</t>
        </is>
      </c>
      <c r="U12" s="76" t="inlineStr">
        <is>
          <t>FULL</t>
        </is>
      </c>
    </row>
    <row r="13" ht="16" customHeight="1">
      <c r="A13" s="109" t="n">
        <v>9</v>
      </c>
      <c r="B13" s="110" t="inlineStr">
        <is>
          <t>Nippon India Conservative Hybrid  Fund-Growth Plan</t>
        </is>
      </c>
      <c r="C13" s="110" t="inlineStr">
        <is>
          <t>Nippon India Mutual Fund</t>
        </is>
      </c>
      <c r="D13" s="110" t="inlineStr">
        <is>
          <t>Conservative Hybrid Fund</t>
        </is>
      </c>
      <c r="E13" s="110" t="inlineStr">
        <is>
          <t>Conservative Hybrid Fund</t>
        </is>
      </c>
      <c r="F13" s="111" t="n">
        <v>0.6</v>
      </c>
      <c r="G13" s="111" t="n">
        <v>1.68</v>
      </c>
      <c r="H13" s="111" t="n">
        <v>2.77</v>
      </c>
      <c r="I13" s="111" t="n">
        <v>6.22</v>
      </c>
      <c r="J13" s="111" t="n">
        <v>7.270685650833797</v>
      </c>
      <c r="K13" s="111" t="n">
        <v>25.67</v>
      </c>
      <c r="L13" s="17" t="n">
        <v>89.3</v>
      </c>
      <c r="M13" s="18" t="n">
        <v>0</v>
      </c>
      <c r="N13" s="24" t="n">
        <v>49.1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⭐ Strong</t>
        </is>
      </c>
      <c r="S13" s="112" t="inlineStr">
        <is>
          <t>🔴 Not Qualified</t>
        </is>
      </c>
      <c r="T13" s="112" t="inlineStr">
        <is>
          <t>⚠️ Watch</t>
        </is>
      </c>
      <c r="U13" s="76" t="inlineStr">
        <is>
          <t>FULL</t>
        </is>
      </c>
    </row>
    <row r="14" ht="16" customHeight="1">
      <c r="A14" s="109" t="n">
        <v>10</v>
      </c>
      <c r="B14" s="110" t="inlineStr">
        <is>
          <t>Kotak Arbitrage Fund - Regular Plan - Growth</t>
        </is>
      </c>
      <c r="C14" s="110" t="inlineStr">
        <is>
          <t>Kotak Mahindra Mutual Fund</t>
        </is>
      </c>
      <c r="D14" s="110" t="inlineStr">
        <is>
          <t>Arbitrage Fund</t>
        </is>
      </c>
      <c r="E14" s="110" t="inlineStr">
        <is>
          <t>Arbitrage Fund</t>
        </is>
      </c>
      <c r="F14" s="111" t="n">
        <v>0.55</v>
      </c>
      <c r="G14" s="111" t="n">
        <v>1.44</v>
      </c>
      <c r="H14" s="111" t="n">
        <v>2.98</v>
      </c>
      <c r="I14" s="111" t="n">
        <v>6.03</v>
      </c>
      <c r="J14" s="111" t="n">
        <v>6.461260559886295</v>
      </c>
      <c r="K14" s="111" t="n">
        <v>22.52</v>
      </c>
      <c r="L14" s="17" t="n">
        <v>88.90000000000001</v>
      </c>
      <c r="M14" s="18" t="n">
        <v>0</v>
      </c>
      <c r="N14" s="24" t="n">
        <v>48.9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⭐ Strong</t>
        </is>
      </c>
      <c r="S14" s="112" t="inlineStr">
        <is>
          <t>🔴 Not Qualified</t>
        </is>
      </c>
      <c r="T14" s="112" t="inlineStr">
        <is>
          <t>⚠️ Watch</t>
        </is>
      </c>
      <c r="U14" s="76" t="inlineStr">
        <is>
          <t>FULL</t>
        </is>
      </c>
    </row>
    <row r="15" ht="16" customHeight="1">
      <c r="A15" s="89" t="n">
        <v>11</v>
      </c>
      <c r="B15" s="90" t="inlineStr">
        <is>
          <t>Invesco India Arbitrage Fund - Regular Plan - Growth Option</t>
        </is>
      </c>
      <c r="C15" s="90" t="inlineStr">
        <is>
          <t>Invesco Mutual Fund</t>
        </is>
      </c>
      <c r="D15" s="90" t="inlineStr">
        <is>
          <t>Arbitrage Fund</t>
        </is>
      </c>
      <c r="E15" s="90" t="inlineStr">
        <is>
          <t>Arbitrage Fund</t>
        </is>
      </c>
      <c r="F15" s="92" t="n">
        <v>0.55</v>
      </c>
      <c r="G15" s="92" t="n">
        <v>1.46</v>
      </c>
      <c r="H15" s="92" t="n">
        <v>2.94</v>
      </c>
      <c r="I15" s="92" t="n">
        <v>6.07</v>
      </c>
      <c r="J15" s="92" t="n">
        <v>6.447169995261026</v>
      </c>
      <c r="K15" s="92" t="n">
        <v>22.21</v>
      </c>
      <c r="L15" s="17" t="n">
        <v>88.59999999999999</v>
      </c>
      <c r="M15" s="18" t="n">
        <v>0</v>
      </c>
      <c r="N15" s="24" t="n">
        <v>48.8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93" t="inlineStr">
        <is>
          <t>⭐ Strong</t>
        </is>
      </c>
      <c r="S15" s="93" t="inlineStr">
        <is>
          <t>🔴 Not Qualified</t>
        </is>
      </c>
      <c r="T15" s="93" t="inlineStr">
        <is>
          <t>⚠️ Watch</t>
        </is>
      </c>
      <c r="U15" s="76" t="inlineStr">
        <is>
          <t>FULL</t>
        </is>
      </c>
    </row>
    <row r="16" ht="16" customHeight="1">
      <c r="A16" s="84" t="n">
        <v>12</v>
      </c>
      <c r="B16" s="85" t="inlineStr">
        <is>
          <t>Union Aggressive Hybrid Fund - Regular Plan - Growth Option</t>
        </is>
      </c>
      <c r="C16" s="85" t="inlineStr">
        <is>
          <t>Union Mutual Fund</t>
        </is>
      </c>
      <c r="D16" s="85" t="inlineStr">
        <is>
          <t>Aggressive Hybrid Fund</t>
        </is>
      </c>
      <c r="E16" s="85" t="inlineStr">
        <is>
          <t>Aggressive Hybrid Fund</t>
        </is>
      </c>
      <c r="F16" s="87" t="n">
        <v>0.6</v>
      </c>
      <c r="G16" s="87" t="n">
        <v>2.06</v>
      </c>
      <c r="H16" s="87" t="n">
        <v>3.49</v>
      </c>
      <c r="I16" s="87" t="n">
        <v>1.21</v>
      </c>
      <c r="J16" s="87" t="n">
        <v>3.135832764369528</v>
      </c>
      <c r="K16" s="87" t="n">
        <v>32.66</v>
      </c>
      <c r="L16" s="17" t="n">
        <v>87.40000000000001</v>
      </c>
      <c r="M16" s="18" t="n">
        <v>0</v>
      </c>
      <c r="N16" s="24" t="n">
        <v>48.1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88" t="inlineStr">
        <is>
          <t>⭐ Strong</t>
        </is>
      </c>
      <c r="S16" s="88" t="inlineStr">
        <is>
          <t>🔴 Not Qualified</t>
        </is>
      </c>
      <c r="T16" s="88" t="inlineStr">
        <is>
          <t>⚠️ Watch</t>
        </is>
      </c>
      <c r="U16" s="76" t="inlineStr">
        <is>
          <t>FULL</t>
        </is>
      </c>
    </row>
    <row r="17" ht="16" customHeight="1">
      <c r="A17" s="89" t="n">
        <v>13</v>
      </c>
      <c r="B17" s="90" t="inlineStr">
        <is>
          <t>Edelweiss Multi Asset Allocation Fund - Regular Plan - Growth</t>
        </is>
      </c>
      <c r="C17" s="90" t="inlineStr">
        <is>
          <t>Edelweiss Mutual Fund</t>
        </is>
      </c>
      <c r="D17" s="90" t="inlineStr">
        <is>
          <t>Multi Asset Allocation</t>
        </is>
      </c>
      <c r="E17" s="90" t="inlineStr">
        <is>
          <t>Multi Asset Allocation</t>
        </is>
      </c>
      <c r="F17" s="92" t="n">
        <v>0.76</v>
      </c>
      <c r="G17" s="92" t="n">
        <v>1.94</v>
      </c>
      <c r="H17" s="92" t="n">
        <v>4.77</v>
      </c>
      <c r="I17" s="92" t="n">
        <v>6.21</v>
      </c>
      <c r="J17" s="92" t="n">
        <v>7.26602444390303</v>
      </c>
      <c r="K17" s="92" t="n">
        <v>23.75</v>
      </c>
      <c r="L17" s="17" t="n">
        <v>86.40000000000001</v>
      </c>
      <c r="M17" s="18" t="n">
        <v>0</v>
      </c>
      <c r="N17" s="24" t="n">
        <v>47.5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93" t="inlineStr">
        <is>
          <t>⭐ Strong</t>
        </is>
      </c>
      <c r="S17" s="93" t="inlineStr">
        <is>
          <t>🔴 Not Qualified</t>
        </is>
      </c>
      <c r="T17" s="93" t="inlineStr">
        <is>
          <t>⚠️ Watch</t>
        </is>
      </c>
      <c r="U17" s="76" t="inlineStr">
        <is>
          <t>FULL</t>
        </is>
      </c>
    </row>
    <row r="18" ht="16" customHeight="1">
      <c r="A18" s="84" t="n">
        <v>14</v>
      </c>
      <c r="B18" s="85" t="inlineStr">
        <is>
          <t>HSBC Equity Savings Fund - Regular Growth</t>
        </is>
      </c>
      <c r="C18" s="85" t="inlineStr">
        <is>
          <t>HSBC Mutual Fund</t>
        </is>
      </c>
      <c r="D18" s="85" t="inlineStr">
        <is>
          <t>Equity Savings</t>
        </is>
      </c>
      <c r="E18" s="85" t="inlineStr">
        <is>
          <t>Equity Savings</t>
        </is>
      </c>
      <c r="F18" s="86" t="n">
        <v>-0.23</v>
      </c>
      <c r="G18" s="87" t="n">
        <v>3.29</v>
      </c>
      <c r="H18" s="87" t="n">
        <v>8.73</v>
      </c>
      <c r="I18" s="87" t="n">
        <v>10.56</v>
      </c>
      <c r="J18" s="87" t="n">
        <v>7.610408418516834</v>
      </c>
      <c r="K18" s="87" t="n">
        <v>43.46</v>
      </c>
      <c r="L18" s="17" t="n">
        <v>85</v>
      </c>
      <c r="M18" s="18" t="n">
        <v>0</v>
      </c>
      <c r="N18" s="24" t="n">
        <v>46.8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88" t="inlineStr">
        <is>
          <t>⭐ Strong</t>
        </is>
      </c>
      <c r="S18" s="88" t="inlineStr">
        <is>
          <t>🔴 Not Qualified</t>
        </is>
      </c>
      <c r="T18" s="88" t="inlineStr">
        <is>
          <t>⚠️ Watch</t>
        </is>
      </c>
      <c r="U18" s="76" t="inlineStr">
        <is>
          <t>FULL</t>
        </is>
      </c>
    </row>
    <row r="19" ht="16" customHeight="1">
      <c r="A19" s="89" t="n">
        <v>15</v>
      </c>
      <c r="B19" s="90" t="inlineStr">
        <is>
          <t>HDFC ARBITRAGE FUND - Regular Plan -Growth Option</t>
        </is>
      </c>
      <c r="C19" s="90" t="inlineStr">
        <is>
          <t>HDFC Mutual Fund</t>
        </is>
      </c>
      <c r="D19" s="90" t="inlineStr">
        <is>
          <t>Arbitrage Fund</t>
        </is>
      </c>
      <c r="E19" s="90" t="inlineStr">
        <is>
          <t>Arbitrage Fund</t>
        </is>
      </c>
      <c r="F19" s="92" t="n">
        <v>0.54</v>
      </c>
      <c r="G19" s="92" t="n">
        <v>1.43</v>
      </c>
      <c r="H19" s="92" t="n">
        <v>2.95</v>
      </c>
      <c r="I19" s="92" t="n">
        <v>6.02</v>
      </c>
      <c r="J19" s="92" t="n">
        <v>6.404887105809198</v>
      </c>
      <c r="K19" s="92" t="n">
        <v>22.13</v>
      </c>
      <c r="L19" s="17" t="n">
        <v>84.90000000000001</v>
      </c>
      <c r="M19" s="18" t="n">
        <v>0</v>
      </c>
      <c r="N19" s="24" t="n">
        <v>46.7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93" t="inlineStr">
        <is>
          <t>⭐ Strong</t>
        </is>
      </c>
      <c r="S19" s="93" t="inlineStr">
        <is>
          <t>🔴 Not Qualified</t>
        </is>
      </c>
      <c r="T19" s="93" t="inlineStr">
        <is>
          <t>⚠️ Watch</t>
        </is>
      </c>
      <c r="U19" s="76" t="inlineStr">
        <is>
          <t>FULL</t>
        </is>
      </c>
    </row>
    <row r="20" ht="16" customHeight="1">
      <c r="A20" s="84" t="n">
        <v>16</v>
      </c>
      <c r="B20" s="85" t="inlineStr">
        <is>
          <t>Aditya Birla Sun Life Regular Savings Fund - Growth / Payment - Regular Plan</t>
        </is>
      </c>
      <c r="C20" s="85" t="inlineStr">
        <is>
          <t>Aditya Birla Sun Life Mutual Fund</t>
        </is>
      </c>
      <c r="D20" s="85" t="inlineStr">
        <is>
          <t>Conservative Hybrid Fund</t>
        </is>
      </c>
      <c r="E20" s="85" t="inlineStr">
        <is>
          <t>Conservative Hybrid Fund</t>
        </is>
      </c>
      <c r="F20" s="87" t="n">
        <v>0.52</v>
      </c>
      <c r="G20" s="87" t="n">
        <v>1.96</v>
      </c>
      <c r="H20" s="87" t="n">
        <v>2.8</v>
      </c>
      <c r="I20" s="87" t="n">
        <v>4.06</v>
      </c>
      <c r="J20" s="87" t="n">
        <v>6.508215645554793</v>
      </c>
      <c r="K20" s="87" t="n">
        <v>26.28</v>
      </c>
      <c r="L20" s="17" t="n">
        <v>84.3</v>
      </c>
      <c r="M20" s="18" t="n">
        <v>0</v>
      </c>
      <c r="N20" s="24" t="n">
        <v>46.4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88" t="inlineStr">
        <is>
          <t>⭐ Strong</t>
        </is>
      </c>
      <c r="S20" s="88" t="inlineStr">
        <is>
          <t>🔴 Not Qualified</t>
        </is>
      </c>
      <c r="T20" s="88" t="inlineStr">
        <is>
          <t>⚠️ Watch</t>
        </is>
      </c>
      <c r="U20" s="76" t="inlineStr">
        <is>
          <t>FULL</t>
        </is>
      </c>
    </row>
    <row r="21" ht="16" customHeight="1">
      <c r="A21" s="89" t="n">
        <v>17</v>
      </c>
      <c r="B21" s="90" t="inlineStr">
        <is>
          <t>ICICI Prudential Arbitrage Fund - Growth</t>
        </is>
      </c>
      <c r="C21" s="90" t="inlineStr">
        <is>
          <t>ICICI Prudential Mutual Fund</t>
        </is>
      </c>
      <c r="D21" s="90" t="inlineStr">
        <is>
          <t>Arbitrage Fund</t>
        </is>
      </c>
      <c r="E21" s="90" t="inlineStr">
        <is>
          <t>Arbitrage Fund</t>
        </is>
      </c>
      <c r="F21" s="92" t="n">
        <v>0.57</v>
      </c>
      <c r="G21" s="92" t="n">
        <v>1.42</v>
      </c>
      <c r="H21" s="92" t="n">
        <v>2.94</v>
      </c>
      <c r="I21" s="92" t="n">
        <v>5.99</v>
      </c>
      <c r="J21" s="92" t="n">
        <v>6.456563912236057</v>
      </c>
      <c r="K21" s="92" t="n">
        <v>22.15</v>
      </c>
      <c r="L21" s="17" t="n">
        <v>84.2</v>
      </c>
      <c r="M21" s="18" t="n">
        <v>0</v>
      </c>
      <c r="N21" s="24" t="n">
        <v>46.3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93" t="inlineStr">
        <is>
          <t>⭐ Strong</t>
        </is>
      </c>
      <c r="S21" s="93" t="inlineStr">
        <is>
          <t>🔴 Not Qualified</t>
        </is>
      </c>
      <c r="T21" s="93" t="inlineStr">
        <is>
          <t>⚠️ Watch</t>
        </is>
      </c>
      <c r="U21" s="76" t="inlineStr">
        <is>
          <t>FULL</t>
        </is>
      </c>
    </row>
    <row r="22" ht="16" customHeight="1">
      <c r="A22" s="84" t="n">
        <v>18</v>
      </c>
      <c r="B22" s="85" t="inlineStr">
        <is>
          <t>Axis Equity Savings Fund - Regular Plan - Growth</t>
        </is>
      </c>
      <c r="C22" s="85" t="inlineStr">
        <is>
          <t>Axis Mutual Fund</t>
        </is>
      </c>
      <c r="D22" s="85" t="inlineStr">
        <is>
          <t>Equity Savings</t>
        </is>
      </c>
      <c r="E22" s="85" t="inlineStr">
        <is>
          <t>Equity Savings</t>
        </is>
      </c>
      <c r="F22" s="87" t="n">
        <v>0.7</v>
      </c>
      <c r="G22" s="87" t="n">
        <v>2.59</v>
      </c>
      <c r="H22" s="87" t="n">
        <v>2.59</v>
      </c>
      <c r="I22" s="87" t="n">
        <v>3.79</v>
      </c>
      <c r="J22" s="87" t="n">
        <v>4.259292151826921</v>
      </c>
      <c r="K22" s="87" t="n">
        <v>27.6</v>
      </c>
      <c r="L22" s="17" t="n">
        <v>84.09999999999999</v>
      </c>
      <c r="M22" s="18" t="n">
        <v>0</v>
      </c>
      <c r="N22" s="24" t="n">
        <v>46.3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88" t="inlineStr">
        <is>
          <t>⭐ Strong</t>
        </is>
      </c>
      <c r="S22" s="88" t="inlineStr">
        <is>
          <t>🔴 Not Qualified</t>
        </is>
      </c>
      <c r="T22" s="88" t="inlineStr">
        <is>
          <t>⚠️ Watch</t>
        </is>
      </c>
      <c r="U22" s="76" t="inlineStr">
        <is>
          <t>FULL</t>
        </is>
      </c>
    </row>
    <row r="23" ht="16" customHeight="1">
      <c r="A23" s="89" t="n">
        <v>19</v>
      </c>
      <c r="B23" s="90" t="inlineStr">
        <is>
          <t>quant Aggressive Hybrid Fund - Growth Option - Regular Plan</t>
        </is>
      </c>
      <c r="C23" s="90" t="inlineStr">
        <is>
          <t>quant Mutual Fund</t>
        </is>
      </c>
      <c r="D23" s="90" t="inlineStr">
        <is>
          <t>Aggressive Hybrid Fund</t>
        </is>
      </c>
      <c r="E23" s="90" t="inlineStr">
        <is>
          <t>Aggressive Hybrid Fund</t>
        </is>
      </c>
      <c r="F23" s="91" t="n">
        <v>-1.03</v>
      </c>
      <c r="G23" s="92" t="n">
        <v>5.12</v>
      </c>
      <c r="H23" s="92" t="n">
        <v>14.7</v>
      </c>
      <c r="I23" s="92" t="n">
        <v>10.71</v>
      </c>
      <c r="J23" s="92" t="n">
        <v>3.252118622331435</v>
      </c>
      <c r="K23" s="92" t="n">
        <v>45.01</v>
      </c>
      <c r="L23" s="17" t="n">
        <v>83</v>
      </c>
      <c r="M23" s="18" t="n">
        <v>0</v>
      </c>
      <c r="N23" s="24" t="n">
        <v>45.7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93" t="inlineStr">
        <is>
          <t>⭐ Strong</t>
        </is>
      </c>
      <c r="S23" s="93" t="inlineStr">
        <is>
          <t>🔴 Not Qualified</t>
        </is>
      </c>
      <c r="T23" s="93" t="inlineStr">
        <is>
          <t>⚠️ Watch</t>
        </is>
      </c>
      <c r="U23" s="76" t="inlineStr">
        <is>
          <t>FULL</t>
        </is>
      </c>
    </row>
    <row r="24" ht="16" customHeight="1">
      <c r="A24" s="84" t="n">
        <v>20</v>
      </c>
      <c r="B24" s="85" t="inlineStr">
        <is>
          <t>SBI EQUITY HYBRID FUND - REGULAR PLAN -Growth</t>
        </is>
      </c>
      <c r="C24" s="85" t="inlineStr">
        <is>
          <t>SBI Mutual Fund</t>
        </is>
      </c>
      <c r="D24" s="85" t="inlineStr">
        <is>
          <t>Aggressive Hybrid Fund</t>
        </is>
      </c>
      <c r="E24" s="85" t="inlineStr">
        <is>
          <t>Aggressive Hybrid Fund</t>
        </is>
      </c>
      <c r="F24" s="86" t="n">
        <v>-0.36</v>
      </c>
      <c r="G24" s="87" t="n">
        <v>1.04</v>
      </c>
      <c r="H24" s="87" t="n">
        <v>4.53</v>
      </c>
      <c r="I24" s="87" t="n">
        <v>2.93</v>
      </c>
      <c r="J24" s="87" t="n">
        <v>6.437775249203703</v>
      </c>
      <c r="K24" s="87" t="n">
        <v>41.25</v>
      </c>
      <c r="L24" s="17" t="n">
        <v>81.8</v>
      </c>
      <c r="M24" s="18" t="n">
        <v>0</v>
      </c>
      <c r="N24" s="24" t="n">
        <v>45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88" t="inlineStr">
        <is>
          <t>⭐ Strong</t>
        </is>
      </c>
      <c r="S24" s="88" t="inlineStr">
        <is>
          <t>🔴 Not Qualified</t>
        </is>
      </c>
      <c r="T24" s="88" t="inlineStr">
        <is>
          <t>⚠️ Watch</t>
        </is>
      </c>
      <c r="U24" s="76" t="inlineStr">
        <is>
          <t>FULL</t>
        </is>
      </c>
    </row>
    <row r="25" ht="16" customHeight="1">
      <c r="A25" s="89" t="n">
        <v>21</v>
      </c>
      <c r="B25" s="90" t="inlineStr">
        <is>
          <t>ICICI Prudential Balanced Advantage Fund - Growth</t>
        </is>
      </c>
      <c r="C25" s="90" t="inlineStr">
        <is>
          <t>ICICI Prudential Mutual Fund</t>
        </is>
      </c>
      <c r="D25" s="90" t="inlineStr">
        <is>
          <t>Dynamic Asset Allocation Or Balanced Advantage</t>
        </is>
      </c>
      <c r="E25" s="90" t="inlineStr">
        <is>
          <t>Dynamic Asset Allocation Or Balanced Advantage</t>
        </is>
      </c>
      <c r="F25" s="92" t="n">
        <v>0.25</v>
      </c>
      <c r="G25" s="92" t="n">
        <v>1.78</v>
      </c>
      <c r="H25" s="92" t="n">
        <v>1.95</v>
      </c>
      <c r="I25" s="92" t="n">
        <v>5.07</v>
      </c>
      <c r="J25" s="92" t="n">
        <v>6.296754418937933</v>
      </c>
      <c r="K25" s="92" t="n">
        <v>37.85</v>
      </c>
      <c r="L25" s="17" t="n">
        <v>81.59999999999999</v>
      </c>
      <c r="M25" s="18" t="n">
        <v>0</v>
      </c>
      <c r="N25" s="24" t="n">
        <v>44.9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93" t="inlineStr">
        <is>
          <t>⭐ Strong</t>
        </is>
      </c>
      <c r="S25" s="93" t="inlineStr">
        <is>
          <t>🔴 Not Qualified</t>
        </is>
      </c>
      <c r="T25" s="93" t="inlineStr">
        <is>
          <t>⚠️ Watch</t>
        </is>
      </c>
      <c r="U25" s="76" t="inlineStr">
        <is>
          <t>FULL</t>
        </is>
      </c>
    </row>
    <row r="26" ht="16" customHeight="1">
      <c r="A26" s="84" t="n">
        <v>22</v>
      </c>
      <c r="B26" s="85" t="inlineStr">
        <is>
          <t>UTI - Unit Linked Insurance Plan</t>
        </is>
      </c>
      <c r="C26" s="85" t="inlineStr">
        <is>
          <t>UTI Mutual Fund</t>
        </is>
      </c>
      <c r="D26" s="85" t="inlineStr">
        <is>
          <t>Dynamic Asset Allocation Or Balanced Advantage</t>
        </is>
      </c>
      <c r="E26" s="85" t="inlineStr">
        <is>
          <t>Dynamic Asset Allocation Or Balanced Advantage</t>
        </is>
      </c>
      <c r="F26" s="87" t="n">
        <v>1.27</v>
      </c>
      <c r="G26" s="87" t="n">
        <v>3.66</v>
      </c>
      <c r="H26" s="87" t="n">
        <v>2.63</v>
      </c>
      <c r="I26" s="87" t="n">
        <v>0.03</v>
      </c>
      <c r="J26" s="87" t="n">
        <v>4.541857645633973</v>
      </c>
      <c r="K26" s="87" t="n">
        <v>23.53</v>
      </c>
      <c r="L26" s="17" t="n">
        <v>81.59999999999999</v>
      </c>
      <c r="M26" s="18" t="n">
        <v>0</v>
      </c>
      <c r="N26" s="24" t="n">
        <v>44.9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88" t="inlineStr">
        <is>
          <t>⭐ Strong</t>
        </is>
      </c>
      <c r="S26" s="88" t="inlineStr">
        <is>
          <t>🔴 Not Qualified</t>
        </is>
      </c>
      <c r="T26" s="88" t="inlineStr">
        <is>
          <t>⚠️ Watch</t>
        </is>
      </c>
      <c r="U26" s="76" t="inlineStr">
        <is>
          <t>FULL</t>
        </is>
      </c>
    </row>
    <row r="27" ht="16" customHeight="1">
      <c r="A27" s="89" t="n">
        <v>23</v>
      </c>
      <c r="B27" s="90" t="inlineStr">
        <is>
          <t>Mahindra Manulife Equity Savings Fund - Regular Plan - Growth</t>
        </is>
      </c>
      <c r="C27" s="90" t="inlineStr">
        <is>
          <t>Mahindra Manulife Mutual Fund</t>
        </is>
      </c>
      <c r="D27" s="90" t="inlineStr">
        <is>
          <t>Equity Savings</t>
        </is>
      </c>
      <c r="E27" s="90" t="inlineStr">
        <is>
          <t>Equity Savings</t>
        </is>
      </c>
      <c r="F27" s="92" t="n">
        <v>0.27</v>
      </c>
      <c r="G27" s="92" t="n">
        <v>1.51</v>
      </c>
      <c r="H27" s="92" t="n">
        <v>2.41</v>
      </c>
      <c r="I27" s="92" t="n">
        <v>4.29</v>
      </c>
      <c r="J27" s="92" t="n">
        <v>4.297650980259382</v>
      </c>
      <c r="K27" s="92" t="n">
        <v>27.37</v>
      </c>
      <c r="L27" s="17" t="n">
        <v>81.40000000000001</v>
      </c>
      <c r="M27" s="18" t="n">
        <v>0</v>
      </c>
      <c r="N27" s="24" t="n">
        <v>44.8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93" t="inlineStr">
        <is>
          <t>⭐ Strong</t>
        </is>
      </c>
      <c r="S27" s="93" t="inlineStr">
        <is>
          <t>🔴 Not Qualified</t>
        </is>
      </c>
      <c r="T27" s="93" t="inlineStr">
        <is>
          <t>⚠️ Watch</t>
        </is>
      </c>
      <c r="U27" s="76" t="inlineStr">
        <is>
          <t>FULL</t>
        </is>
      </c>
    </row>
    <row r="28" ht="16" customHeight="1">
      <c r="A28" s="84" t="n">
        <v>24</v>
      </c>
      <c r="B28" s="85" t="inlineStr">
        <is>
          <t>Navi Aggressive Hybrid Fund - Regular Plan - Growth</t>
        </is>
      </c>
      <c r="C28" s="85" t="inlineStr">
        <is>
          <t>Navi Mutual Fund</t>
        </is>
      </c>
      <c r="D28" s="85" t="inlineStr">
        <is>
          <t>Aggressive Hybrid Fund</t>
        </is>
      </c>
      <c r="E28" s="85" t="inlineStr">
        <is>
          <t>Aggressive Hybrid Fund</t>
        </is>
      </c>
      <c r="F28" s="86" t="n">
        <v>-0.85</v>
      </c>
      <c r="G28" s="87" t="n">
        <v>3.92</v>
      </c>
      <c r="H28" s="87" t="n">
        <v>6.96</v>
      </c>
      <c r="I28" s="87" t="n">
        <v>3.05</v>
      </c>
      <c r="J28" s="87" t="n">
        <v>4.369535785113077</v>
      </c>
      <c r="K28" s="87" t="n">
        <v>32.9</v>
      </c>
      <c r="L28" s="17" t="n">
        <v>80.59999999999999</v>
      </c>
      <c r="M28" s="18" t="n">
        <v>0</v>
      </c>
      <c r="N28" s="24" t="n">
        <v>44.3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88" t="inlineStr">
        <is>
          <t>⭐ Strong</t>
        </is>
      </c>
      <c r="S28" s="88" t="inlineStr">
        <is>
          <t>🔴 Not Qualified</t>
        </is>
      </c>
      <c r="T28" s="88" t="inlineStr">
        <is>
          <t>⚠️ Watch</t>
        </is>
      </c>
      <c r="U28" s="76" t="inlineStr">
        <is>
          <t>FULL</t>
        </is>
      </c>
    </row>
    <row r="29" ht="16" customHeight="1">
      <c r="A29" s="89" t="n">
        <v>25</v>
      </c>
      <c r="B29" s="90" t="inlineStr">
        <is>
          <t>WhiteOak Capital Balanced Advantage Fund Regular Plan Growth</t>
        </is>
      </c>
      <c r="C29" s="90" t="inlineStr">
        <is>
          <t>WhiteOak Capital Mutual Fund</t>
        </is>
      </c>
      <c r="D29" s="90" t="inlineStr">
        <is>
          <t>Dynamic Asset Allocation Or Balanced Advantage</t>
        </is>
      </c>
      <c r="E29" s="90" t="inlineStr">
        <is>
          <t>Dynamic Asset Allocation Or Balanced Advantage</t>
        </is>
      </c>
      <c r="F29" s="92" t="n">
        <v>1.01</v>
      </c>
      <c r="G29" s="92" t="n">
        <v>2.64</v>
      </c>
      <c r="H29" s="92" t="n">
        <v>2.2</v>
      </c>
      <c r="I29" s="92" t="n">
        <v>1.16</v>
      </c>
      <c r="J29" s="92" t="n">
        <v>5.133248784578126</v>
      </c>
      <c r="K29" s="92" t="n">
        <v>34.84</v>
      </c>
      <c r="L29" s="17" t="n">
        <v>79.59999999999999</v>
      </c>
      <c r="M29" s="18" t="n">
        <v>0</v>
      </c>
      <c r="N29" s="24" t="n">
        <v>43.8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93" t="inlineStr">
        <is>
          <t>⭐ Strong</t>
        </is>
      </c>
      <c r="S29" s="93" t="inlineStr">
        <is>
          <t>🔴 Not Qualified</t>
        </is>
      </c>
      <c r="T29" s="93" t="inlineStr">
        <is>
          <t>⚠️ Watch</t>
        </is>
      </c>
      <c r="U29" s="76" t="inlineStr">
        <is>
          <t>FULL</t>
        </is>
      </c>
    </row>
    <row r="30" ht="16" customHeight="1">
      <c r="A30" s="84" t="n">
        <v>26</v>
      </c>
      <c r="B30" s="85" t="inlineStr">
        <is>
          <t>Edelweiss Arbitrage Fund- Regular Plan- Growth Option</t>
        </is>
      </c>
      <c r="C30" s="85" t="inlineStr">
        <is>
          <t>Edelweiss Mutual Fund</t>
        </is>
      </c>
      <c r="D30" s="85" t="inlineStr">
        <is>
          <t>Arbitrage Fund</t>
        </is>
      </c>
      <c r="E30" s="85" t="inlineStr">
        <is>
          <t>Arbitrage Fund</t>
        </is>
      </c>
      <c r="F30" s="87" t="n">
        <v>0.57</v>
      </c>
      <c r="G30" s="87" t="n">
        <v>1.44</v>
      </c>
      <c r="H30" s="87" t="n">
        <v>2.93</v>
      </c>
      <c r="I30" s="87" t="n">
        <v>5.93</v>
      </c>
      <c r="J30" s="87" t="n">
        <v>6.376689175777606</v>
      </c>
      <c r="K30" s="87" t="n">
        <v>22.05</v>
      </c>
      <c r="L30" s="17" t="n">
        <v>79.5</v>
      </c>
      <c r="M30" s="18" t="n">
        <v>0</v>
      </c>
      <c r="N30" s="24" t="n">
        <v>43.7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88" t="inlineStr">
        <is>
          <t>⭐ Strong</t>
        </is>
      </c>
      <c r="S30" s="88" t="inlineStr">
        <is>
          <t>🔴 Not Qualified</t>
        </is>
      </c>
      <c r="T30" s="88" t="inlineStr">
        <is>
          <t>⚠️ Watch</t>
        </is>
      </c>
      <c r="U30" s="76" t="inlineStr">
        <is>
          <t>FULL</t>
        </is>
      </c>
    </row>
    <row r="31" ht="16" customHeight="1">
      <c r="A31" s="89" t="n">
        <v>27</v>
      </c>
      <c r="B31" s="90" t="inlineStr">
        <is>
          <t>BANDHAN Balanced Advantage Fund Regular Plan Growth</t>
        </is>
      </c>
      <c r="C31" s="90" t="inlineStr">
        <is>
          <t>Bandhan Mutual Fund</t>
        </is>
      </c>
      <c r="D31" s="90" t="inlineStr">
        <is>
          <t>Dynamic Asset Allocation Or Balanced Advantage</t>
        </is>
      </c>
      <c r="E31" s="90" t="inlineStr">
        <is>
          <t>Dynamic Asset Allocation Or Balanced Advantage</t>
        </is>
      </c>
      <c r="F31" s="91" t="n">
        <v>-0.15</v>
      </c>
      <c r="G31" s="92" t="n">
        <v>1.5</v>
      </c>
      <c r="H31" s="92" t="n">
        <v>2.67</v>
      </c>
      <c r="I31" s="92" t="n">
        <v>2.57</v>
      </c>
      <c r="J31" s="92" t="n">
        <v>4.086502487114041</v>
      </c>
      <c r="K31" s="92" t="n">
        <v>28.52</v>
      </c>
      <c r="L31" s="17" t="n">
        <v>78.90000000000001</v>
      </c>
      <c r="M31" s="18" t="n">
        <v>0</v>
      </c>
      <c r="N31" s="24" t="n">
        <v>43.4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93" t="inlineStr">
        <is>
          <t>⭐ Strong</t>
        </is>
      </c>
      <c r="S31" s="93" t="inlineStr">
        <is>
          <t>🔴 Not Qualified</t>
        </is>
      </c>
      <c r="T31" s="93" t="inlineStr">
        <is>
          <t>⚠️ Watch</t>
        </is>
      </c>
      <c r="U31" s="76" t="inlineStr">
        <is>
          <t>FULL</t>
        </is>
      </c>
    </row>
    <row r="32" ht="16" customHeight="1">
      <c r="A32" s="84" t="n">
        <v>28</v>
      </c>
      <c r="B32" s="85" t="inlineStr">
        <is>
          <t>BANK OF INDIA MID &amp; SMALL CAP EQUITY &amp; DEBT FUND - REGULAR  PLAN  GROWTH</t>
        </is>
      </c>
      <c r="C32" s="85" t="inlineStr">
        <is>
          <t>Bank of India Mutual Fund</t>
        </is>
      </c>
      <c r="D32" s="85" t="inlineStr">
        <is>
          <t>Aggressive Hybrid Fund</t>
        </is>
      </c>
      <c r="E32" s="85" t="inlineStr">
        <is>
          <t>Aggressive Hybrid Fund</t>
        </is>
      </c>
      <c r="F32" s="86" t="n">
        <v>-1.19</v>
      </c>
      <c r="G32" s="87" t="n">
        <v>3.13</v>
      </c>
      <c r="H32" s="87" t="n">
        <v>13.77</v>
      </c>
      <c r="I32" s="87" t="n">
        <v>7.11</v>
      </c>
      <c r="J32" s="87" t="n">
        <v>4.785495179437893</v>
      </c>
      <c r="K32" s="87" t="n">
        <v>63.36</v>
      </c>
      <c r="L32" s="17" t="n">
        <v>78</v>
      </c>
      <c r="M32" s="18" t="n">
        <v>0</v>
      </c>
      <c r="N32" s="24" t="n">
        <v>42.9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88" t="inlineStr">
        <is>
          <t>⭐ Strong</t>
        </is>
      </c>
      <c r="S32" s="88" t="inlineStr">
        <is>
          <t>🔴 Not Qualified</t>
        </is>
      </c>
      <c r="T32" s="88" t="inlineStr">
        <is>
          <t>⚠️ Watch</t>
        </is>
      </c>
      <c r="U32" s="76" t="inlineStr">
        <is>
          <t>FULL</t>
        </is>
      </c>
    </row>
    <row r="33" ht="16" customHeight="1">
      <c r="A33" s="89" t="n">
        <v>29</v>
      </c>
      <c r="B33" s="90" t="inlineStr">
        <is>
          <t>Baroda BNP Paribas Balanced Advantage Fund-Regular Plan -Growth Option</t>
        </is>
      </c>
      <c r="C33" s="90" t="inlineStr">
        <is>
          <t>Baroda BNP Paribas Mutual Fund</t>
        </is>
      </c>
      <c r="D33" s="90" t="inlineStr">
        <is>
          <t>Dynamic Asset Allocation Or Balanced Advantage</t>
        </is>
      </c>
      <c r="E33" s="90" t="inlineStr">
        <is>
          <t>Dynamic Asset Allocation Or Balanced Advantage</t>
        </is>
      </c>
      <c r="F33" s="91" t="n">
        <v>-0.82</v>
      </c>
      <c r="G33" s="92" t="n">
        <v>2.23</v>
      </c>
      <c r="H33" s="92" t="n">
        <v>4.63</v>
      </c>
      <c r="I33" s="92" t="n">
        <v>3.27</v>
      </c>
      <c r="J33" s="92" t="n">
        <v>5.550935571410265</v>
      </c>
      <c r="K33" s="92" t="n">
        <v>38.08</v>
      </c>
      <c r="L33" s="17" t="n">
        <v>77.09999999999999</v>
      </c>
      <c r="M33" s="18" t="n">
        <v>0</v>
      </c>
      <c r="N33" s="24" t="n">
        <v>42.4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93" t="inlineStr">
        <is>
          <t>⭐ Strong</t>
        </is>
      </c>
      <c r="S33" s="93" t="inlineStr">
        <is>
          <t>🔴 Not Qualified</t>
        </is>
      </c>
      <c r="T33" s="93" t="inlineStr">
        <is>
          <t>⚠️ Watch</t>
        </is>
      </c>
      <c r="U33" s="76" t="inlineStr">
        <is>
          <t>FULL</t>
        </is>
      </c>
    </row>
    <row r="34" ht="16" customHeight="1">
      <c r="A34" s="84" t="n">
        <v>30</v>
      </c>
      <c r="B34" s="85" t="inlineStr">
        <is>
          <t>Edelweiss Aggressive Hybrid Fund - Regular Plan - Growth Option</t>
        </is>
      </c>
      <c r="C34" s="85" t="inlineStr">
        <is>
          <t>Edelweiss Mutual Fund</t>
        </is>
      </c>
      <c r="D34" s="85" t="inlineStr">
        <is>
          <t>Aggressive Hybrid Fund</t>
        </is>
      </c>
      <c r="E34" s="85" t="inlineStr">
        <is>
          <t>Aggressive Hybrid Fund</t>
        </is>
      </c>
      <c r="F34" s="86" t="n">
        <v>-0.37</v>
      </c>
      <c r="G34" s="87" t="n">
        <v>1.18</v>
      </c>
      <c r="H34" s="87" t="n">
        <v>2.75</v>
      </c>
      <c r="I34" s="87" t="n">
        <v>0.74</v>
      </c>
      <c r="J34" s="87" t="n">
        <v>3.368273662666921</v>
      </c>
      <c r="K34" s="87" t="n">
        <v>41.56</v>
      </c>
      <c r="L34" s="17" t="n">
        <v>75.8</v>
      </c>
      <c r="M34" s="18" t="n">
        <v>0</v>
      </c>
      <c r="N34" s="24" t="n">
        <v>41.7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88" t="inlineStr">
        <is>
          <t>⭐ Strong</t>
        </is>
      </c>
      <c r="S34" s="88" t="inlineStr">
        <is>
          <t>🔴 Not Qualified</t>
        </is>
      </c>
      <c r="T34" s="88" t="inlineStr">
        <is>
          <t>⚠️ Watch</t>
        </is>
      </c>
      <c r="U34" s="76" t="inlineStr">
        <is>
          <t>FULL</t>
        </is>
      </c>
    </row>
    <row r="35" ht="16" customHeight="1">
      <c r="A35" s="89" t="n">
        <v>31</v>
      </c>
      <c r="B35" s="90" t="inlineStr">
        <is>
          <t>Aditya Birla Sun Life Multi Asset Allocation Fund-Regular Growth</t>
        </is>
      </c>
      <c r="C35" s="90" t="inlineStr">
        <is>
          <t>Aditya Birla Sun Life Mutual Fund</t>
        </is>
      </c>
      <c r="D35" s="90" t="inlineStr">
        <is>
          <t>Multi Asset Allocation</t>
        </is>
      </c>
      <c r="E35" s="90" t="inlineStr">
        <is>
          <t>Multi Asset Allocation</t>
        </is>
      </c>
      <c r="F35" s="91" t="n">
        <v>-0.38</v>
      </c>
      <c r="G35" s="92" t="n">
        <v>1.5</v>
      </c>
      <c r="H35" s="92" t="n">
        <v>0.58</v>
      </c>
      <c r="I35" s="92" t="n">
        <v>11.7</v>
      </c>
      <c r="J35" s="92" t="n">
        <v>10.54863183232979</v>
      </c>
      <c r="K35" s="92" t="n">
        <v>51.39</v>
      </c>
      <c r="L35" s="94" t="n">
        <v>68.59999999999999</v>
      </c>
      <c r="M35" s="18" t="n">
        <v>8.300000000000001</v>
      </c>
      <c r="N35" s="24" t="n">
        <v>41.5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93" t="inlineStr">
        <is>
          <t>📈 Good</t>
        </is>
      </c>
      <c r="S35" s="93" t="inlineStr">
        <is>
          <t>⚠️ Below Avg</t>
        </is>
      </c>
      <c r="T35" s="93" t="inlineStr">
        <is>
          <t>⚠️ Watch</t>
        </is>
      </c>
      <c r="U35" s="76" t="inlineStr">
        <is>
          <t>FULL</t>
        </is>
      </c>
    </row>
    <row r="36" ht="16" customHeight="1">
      <c r="A36" s="84" t="n">
        <v>32</v>
      </c>
      <c r="B36" s="85" t="inlineStr">
        <is>
          <t>BANDHAN Equity Savings Fund - Regular Plan - Growth</t>
        </is>
      </c>
      <c r="C36" s="85" t="inlineStr">
        <is>
          <t>Bandhan Mutual Fund</t>
        </is>
      </c>
      <c r="D36" s="85" t="inlineStr">
        <is>
          <t>Equity Savings</t>
        </is>
      </c>
      <c r="E36" s="85" t="inlineStr">
        <is>
          <t>Equity Savings</t>
        </is>
      </c>
      <c r="F36" s="87" t="n">
        <v>0.71</v>
      </c>
      <c r="G36" s="87" t="n">
        <v>1.72</v>
      </c>
      <c r="H36" s="87" t="n">
        <v>1.97</v>
      </c>
      <c r="I36" s="87" t="n">
        <v>3.85</v>
      </c>
      <c r="J36" s="87" t="n">
        <v>4.709120901667396</v>
      </c>
      <c r="K36" s="87" t="n">
        <v>21.09</v>
      </c>
      <c r="L36" s="17" t="n">
        <v>75.40000000000001</v>
      </c>
      <c r="M36" s="18" t="n">
        <v>0</v>
      </c>
      <c r="N36" s="24" t="n">
        <v>41.5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88" t="inlineStr">
        <is>
          <t>⭐ Strong</t>
        </is>
      </c>
      <c r="S36" s="88" t="inlineStr">
        <is>
          <t>🔴 Not Qualified</t>
        </is>
      </c>
      <c r="T36" s="88" t="inlineStr">
        <is>
          <t>⚠️ Watch</t>
        </is>
      </c>
      <c r="U36" s="76" t="inlineStr">
        <is>
          <t>FULL</t>
        </is>
      </c>
    </row>
    <row r="37" ht="16" customHeight="1">
      <c r="A37" s="89" t="n">
        <v>33</v>
      </c>
      <c r="B37" s="90" t="inlineStr">
        <is>
          <t>LIC MF Arbitrage Fund-Regular Plan-Growth</t>
        </is>
      </c>
      <c r="C37" s="90" t="inlineStr">
        <is>
          <t>LIC Mutual Fund</t>
        </is>
      </c>
      <c r="D37" s="90" t="inlineStr">
        <is>
          <t>Arbitrage Fund</t>
        </is>
      </c>
      <c r="E37" s="90" t="inlineStr">
        <is>
          <t>Arbitrage Fund</t>
        </is>
      </c>
      <c r="F37" s="92" t="n">
        <v>0.53</v>
      </c>
      <c r="G37" s="92" t="n">
        <v>1.43</v>
      </c>
      <c r="H37" s="92" t="n">
        <v>3.01</v>
      </c>
      <c r="I37" s="92" t="n">
        <v>5.86</v>
      </c>
      <c r="J37" s="92" t="n">
        <v>6.212052046836947</v>
      </c>
      <c r="K37" s="92" t="n">
        <v>20.94</v>
      </c>
      <c r="L37" s="17" t="n">
        <v>75.3</v>
      </c>
      <c r="M37" s="18" t="n">
        <v>0</v>
      </c>
      <c r="N37" s="24" t="n">
        <v>41.4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93" t="inlineStr">
        <is>
          <t>⭐ Strong</t>
        </is>
      </c>
      <c r="S37" s="93" t="inlineStr">
        <is>
          <t>🔴 Not Qualified</t>
        </is>
      </c>
      <c r="T37" s="93" t="inlineStr">
        <is>
          <t>⚠️ Watch</t>
        </is>
      </c>
      <c r="U37" s="76" t="inlineStr">
        <is>
          <t>FULL</t>
        </is>
      </c>
    </row>
    <row r="38" ht="16" customHeight="1">
      <c r="A38" s="84" t="n">
        <v>34</v>
      </c>
      <c r="B38" s="85" t="inlineStr">
        <is>
          <t>Nippon India Balanced Advantage Fund-Growth Plan-Bonus Option</t>
        </is>
      </c>
      <c r="C38" s="85" t="inlineStr">
        <is>
          <t>Nippon India Mutual Fund</t>
        </is>
      </c>
      <c r="D38" s="85" t="inlineStr">
        <is>
          <t>Dynamic Asset Allocation Or Balanced Advantage</t>
        </is>
      </c>
      <c r="E38" s="85" t="inlineStr">
        <is>
          <t>Dynamic Asset Allocation Or Balanced Advantage</t>
        </is>
      </c>
      <c r="F38" s="86" t="n">
        <v>-0.12</v>
      </c>
      <c r="G38" s="87" t="n">
        <v>1.15</v>
      </c>
      <c r="H38" s="87" t="n">
        <v>3.03</v>
      </c>
      <c r="I38" s="87" t="n">
        <v>2.45</v>
      </c>
      <c r="J38" s="87" t="n">
        <v>3.614670775908935</v>
      </c>
      <c r="K38" s="87" t="n">
        <v>33.35</v>
      </c>
      <c r="L38" s="17" t="n">
        <v>75.09999999999999</v>
      </c>
      <c r="M38" s="18" t="n">
        <v>0</v>
      </c>
      <c r="N38" s="24" t="n">
        <v>41.3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88" t="inlineStr">
        <is>
          <t>⭐ Strong</t>
        </is>
      </c>
      <c r="S38" s="88" t="inlineStr">
        <is>
          <t>🔴 Not Qualified</t>
        </is>
      </c>
      <c r="T38" s="88" t="inlineStr">
        <is>
          <t>⚠️ Watch</t>
        </is>
      </c>
      <c r="U38" s="76" t="inlineStr">
        <is>
          <t>FULL</t>
        </is>
      </c>
    </row>
    <row r="39" ht="16" customHeight="1">
      <c r="A39" s="89" t="n">
        <v>35</v>
      </c>
      <c r="B39" s="90" t="inlineStr">
        <is>
          <t>Nippon India Balanced Advantage Fund-Growth Plan-Growth Option</t>
        </is>
      </c>
      <c r="C39" s="90" t="inlineStr">
        <is>
          <t>Nippon India Mutual Fund</t>
        </is>
      </c>
      <c r="D39" s="90" t="inlineStr">
        <is>
          <t>Dynamic Asset Allocation Or Balanced Advantage</t>
        </is>
      </c>
      <c r="E39" s="90" t="inlineStr">
        <is>
          <t>Dynamic Asset Allocation Or Balanced Advantage</t>
        </is>
      </c>
      <c r="F39" s="91" t="n">
        <v>-0.12</v>
      </c>
      <c r="G39" s="92" t="n">
        <v>1.15</v>
      </c>
      <c r="H39" s="92" t="n">
        <v>3.03</v>
      </c>
      <c r="I39" s="92" t="n">
        <v>2.45</v>
      </c>
      <c r="J39" s="92" t="n">
        <v>3.614670775908935</v>
      </c>
      <c r="K39" s="92" t="n">
        <v>33.35</v>
      </c>
      <c r="L39" s="17" t="n">
        <v>75.09999999999999</v>
      </c>
      <c r="M39" s="18" t="n">
        <v>0</v>
      </c>
      <c r="N39" s="24" t="n">
        <v>41.3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93" t="inlineStr">
        <is>
          <t>⭐ Strong</t>
        </is>
      </c>
      <c r="S39" s="93" t="inlineStr">
        <is>
          <t>🔴 Not Qualified</t>
        </is>
      </c>
      <c r="T39" s="93" t="inlineStr">
        <is>
          <t>⚠️ Watch</t>
        </is>
      </c>
      <c r="U39" s="76" t="inlineStr">
        <is>
          <t>FULL</t>
        </is>
      </c>
    </row>
    <row r="40" ht="16" customHeight="1">
      <c r="A40" s="84" t="n">
        <v>36</v>
      </c>
      <c r="B40" s="85" t="inlineStr">
        <is>
          <t>Tata Balanced Advantage Fund-Regular Plan-Growth</t>
        </is>
      </c>
      <c r="C40" s="85" t="inlineStr">
        <is>
          <t>Tata Mutual Fund</t>
        </is>
      </c>
      <c r="D40" s="85" t="inlineStr">
        <is>
          <t>Dynamic Asset Allocation Or Balanced Advantage</t>
        </is>
      </c>
      <c r="E40" s="85" t="inlineStr">
        <is>
          <t>Dynamic Asset Allocation Or Balanced Advantage</t>
        </is>
      </c>
      <c r="F40" s="86" t="n">
        <v>-0.18</v>
      </c>
      <c r="G40" s="87" t="n">
        <v>2.17</v>
      </c>
      <c r="H40" s="87" t="n">
        <v>2.55</v>
      </c>
      <c r="I40" s="87" t="n">
        <v>1.95</v>
      </c>
      <c r="J40" s="87" t="n">
        <v>2.591422643415964</v>
      </c>
      <c r="K40" s="87" t="n">
        <v>27.19</v>
      </c>
      <c r="L40" s="94" t="n">
        <v>74.59999999999999</v>
      </c>
      <c r="M40" s="18" t="n">
        <v>0</v>
      </c>
      <c r="N40" s="24" t="n">
        <v>41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88" t="inlineStr">
        <is>
          <t>📈 Good</t>
        </is>
      </c>
      <c r="S40" s="88" t="inlineStr">
        <is>
          <t>🔴 Not Qualified</t>
        </is>
      </c>
      <c r="T40" s="88" t="inlineStr">
        <is>
          <t>⚠️ Watch</t>
        </is>
      </c>
      <c r="U40" s="76" t="inlineStr">
        <is>
          <t>FULL</t>
        </is>
      </c>
    </row>
    <row r="41" ht="16" customHeight="1">
      <c r="A41" s="89" t="n">
        <v>37</v>
      </c>
      <c r="B41" s="90" t="inlineStr">
        <is>
          <t>Aditya Birla Sun Life Equity Savings Fund - Regular Plan - Growth</t>
        </is>
      </c>
      <c r="C41" s="90" t="inlineStr">
        <is>
          <t>Aditya Birla Sun Life Mutual Fund</t>
        </is>
      </c>
      <c r="D41" s="90" t="inlineStr">
        <is>
          <t>Equity Savings</t>
        </is>
      </c>
      <c r="E41" s="90" t="inlineStr">
        <is>
          <t>Equity Savings</t>
        </is>
      </c>
      <c r="F41" s="92" t="n">
        <v>0.39</v>
      </c>
      <c r="G41" s="92" t="n">
        <v>1.35</v>
      </c>
      <c r="H41" s="92" t="n">
        <v>2.25</v>
      </c>
      <c r="I41" s="92" t="n">
        <v>5.07</v>
      </c>
      <c r="J41" s="92" t="n">
        <v>6.230880632704916</v>
      </c>
      <c r="K41" s="92" t="n">
        <v>25.01</v>
      </c>
      <c r="L41" s="94" t="n">
        <v>74.59999999999999</v>
      </c>
      <c r="M41" s="18" t="n">
        <v>0</v>
      </c>
      <c r="N41" s="24" t="n">
        <v>41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93" t="inlineStr">
        <is>
          <t>📈 Good</t>
        </is>
      </c>
      <c r="S41" s="93" t="inlineStr">
        <is>
          <t>🔴 Not Qualified</t>
        </is>
      </c>
      <c r="T41" s="93" t="inlineStr">
        <is>
          <t>⚠️ Watch</t>
        </is>
      </c>
      <c r="U41" s="76" t="inlineStr">
        <is>
          <t>FULL</t>
        </is>
      </c>
    </row>
    <row r="42" ht="16" customHeight="1">
      <c r="A42" s="84" t="n">
        <v>38</v>
      </c>
      <c r="B42" s="85" t="inlineStr">
        <is>
          <t>Edelweiss Aggressive Hybrid Fund- Plan B-Growth Option</t>
        </is>
      </c>
      <c r="C42" s="85" t="inlineStr">
        <is>
          <t>Edelweiss Mutual Fund</t>
        </is>
      </c>
      <c r="D42" s="85" t="inlineStr">
        <is>
          <t>Aggressive Hybrid Fund</t>
        </is>
      </c>
      <c r="E42" s="85" t="inlineStr">
        <is>
          <t>Aggressive Hybrid Fund</t>
        </is>
      </c>
      <c r="F42" s="86" t="n">
        <v>-0.38</v>
      </c>
      <c r="G42" s="87" t="n">
        <v>1.18</v>
      </c>
      <c r="H42" s="87" t="n">
        <v>2.75</v>
      </c>
      <c r="I42" s="87" t="n">
        <v>0.73</v>
      </c>
      <c r="J42" s="87" t="n">
        <v>3.373110623604636</v>
      </c>
      <c r="K42" s="87" t="n">
        <v>41.69</v>
      </c>
      <c r="L42" s="94" t="n">
        <v>74.2</v>
      </c>
      <c r="M42" s="18" t="n">
        <v>0</v>
      </c>
      <c r="N42" s="24" t="n">
        <v>40.8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88" t="inlineStr">
        <is>
          <t>📈 Good</t>
        </is>
      </c>
      <c r="S42" s="88" t="inlineStr">
        <is>
          <t>🔴 Not Qualified</t>
        </is>
      </c>
      <c r="T42" s="88" t="inlineStr">
        <is>
          <t>⚠️ Watch</t>
        </is>
      </c>
      <c r="U42" s="76" t="inlineStr">
        <is>
          <t>FULL</t>
        </is>
      </c>
    </row>
    <row r="43" ht="16" customHeight="1">
      <c r="A43" s="89" t="n">
        <v>39</v>
      </c>
      <c r="B43" s="90" t="inlineStr">
        <is>
          <t>HSBC Aggressive Hybrid Fund - Regular Growth</t>
        </is>
      </c>
      <c r="C43" s="90" t="inlineStr">
        <is>
          <t>HSBC Mutual Fund</t>
        </is>
      </c>
      <c r="D43" s="90" t="inlineStr">
        <is>
          <t>Aggressive Hybrid Fund</t>
        </is>
      </c>
      <c r="E43" s="90" t="inlineStr">
        <is>
          <t>Aggressive Hybrid Fund</t>
        </is>
      </c>
      <c r="F43" s="91" t="n">
        <v>-1.53</v>
      </c>
      <c r="G43" s="92" t="n">
        <v>3.13</v>
      </c>
      <c r="H43" s="92" t="n">
        <v>6.83</v>
      </c>
      <c r="I43" s="92" t="n">
        <v>3.17</v>
      </c>
      <c r="J43" s="92" t="n">
        <v>3.4456378974</v>
      </c>
      <c r="K43" s="92" t="n">
        <v>41.65</v>
      </c>
      <c r="L43" s="94" t="n">
        <v>73.90000000000001</v>
      </c>
      <c r="M43" s="18" t="n">
        <v>0</v>
      </c>
      <c r="N43" s="24" t="n">
        <v>40.7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93" t="inlineStr">
        <is>
          <t>📈 Good</t>
        </is>
      </c>
      <c r="S43" s="93" t="inlineStr">
        <is>
          <t>🔴 Not Qualified</t>
        </is>
      </c>
      <c r="T43" s="93" t="inlineStr">
        <is>
          <t>⚠️ Watch</t>
        </is>
      </c>
      <c r="U43" s="76" t="inlineStr">
        <is>
          <t>FULL</t>
        </is>
      </c>
    </row>
    <row r="44" ht="16" customHeight="1">
      <c r="A44" s="84" t="n">
        <v>40</v>
      </c>
      <c r="B44" s="85" t="inlineStr">
        <is>
          <t>Motilal Oswal Balanced Advantage Fund (MOFDYNAMIC) - Regular Plan - Growth Option</t>
        </is>
      </c>
      <c r="C44" s="85" t="inlineStr">
        <is>
          <t>Motilal Oswal Mutual Fund</t>
        </is>
      </c>
      <c r="D44" s="85" t="inlineStr">
        <is>
          <t>Dynamic Asset Allocation Or Balanced Advantage</t>
        </is>
      </c>
      <c r="E44" s="85" t="inlineStr">
        <is>
          <t>Dynamic Asset Allocation Or Balanced Advantage</t>
        </is>
      </c>
      <c r="F44" s="87" t="n">
        <v>0.4</v>
      </c>
      <c r="G44" s="87" t="n">
        <v>3.25</v>
      </c>
      <c r="H44" s="87" t="n">
        <v>3.27</v>
      </c>
      <c r="I44" s="86" t="n">
        <v>-6.6</v>
      </c>
      <c r="J44" s="86" t="n">
        <v>-6.095793491452151</v>
      </c>
      <c r="K44" s="87" t="n">
        <v>8.800000000000001</v>
      </c>
      <c r="L44" s="94" t="n">
        <v>73.7</v>
      </c>
      <c r="M44" s="18" t="n">
        <v>0</v>
      </c>
      <c r="N44" s="24" t="n">
        <v>40.5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88" t="inlineStr">
        <is>
          <t>📈 Good</t>
        </is>
      </c>
      <c r="S44" s="88" t="inlineStr">
        <is>
          <t>🔴 Not Qualified</t>
        </is>
      </c>
      <c r="T44" s="88" t="inlineStr">
        <is>
          <t>⚠️ Watch</t>
        </is>
      </c>
      <c r="U44" s="76" t="inlineStr">
        <is>
          <t>FULL</t>
        </is>
      </c>
    </row>
    <row r="45" ht="16" customHeight="1">
      <c r="A45" s="89" t="n">
        <v>41</v>
      </c>
      <c r="B45" s="90" t="inlineStr">
        <is>
          <t>NJ Balanced Advantage Fund - Regular Plan - Growth Option</t>
        </is>
      </c>
      <c r="C45" s="90" t="inlineStr">
        <is>
          <t>NJ Mutual Fund</t>
        </is>
      </c>
      <c r="D45" s="90" t="inlineStr">
        <is>
          <t>Dynamic Asset Allocation Or Balanced Advantage</t>
        </is>
      </c>
      <c r="E45" s="90" t="inlineStr">
        <is>
          <t>Dynamic Asset Allocation Or Balanced Advantage</t>
        </is>
      </c>
      <c r="F45" s="92" t="n">
        <v>1.34</v>
      </c>
      <c r="G45" s="92" t="n">
        <v>2.71</v>
      </c>
      <c r="H45" s="92" t="n">
        <v>2.02</v>
      </c>
      <c r="I45" s="91" t="n">
        <v>-0.73</v>
      </c>
      <c r="J45" s="91" t="n">
        <v>-1.187045383714991</v>
      </c>
      <c r="K45" s="92" t="n">
        <v>28.1</v>
      </c>
      <c r="L45" s="94" t="n">
        <v>73.7</v>
      </c>
      <c r="M45" s="18" t="n">
        <v>0</v>
      </c>
      <c r="N45" s="24" t="n">
        <v>40.5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93" t="inlineStr">
        <is>
          <t>📈 Good</t>
        </is>
      </c>
      <c r="S45" s="93" t="inlineStr">
        <is>
          <t>🔴 Not Qualified</t>
        </is>
      </c>
      <c r="T45" s="93" t="inlineStr">
        <is>
          <t>⚠️ Watch</t>
        </is>
      </c>
      <c r="U45" s="76" t="inlineStr">
        <is>
          <t>FULL</t>
        </is>
      </c>
    </row>
    <row r="46" ht="16" customHeight="1">
      <c r="A46" s="84" t="n">
        <v>42</v>
      </c>
      <c r="B46" s="85" t="inlineStr">
        <is>
          <t>PGIM India Aggressive Hybrid Equity Fund - Growth Option</t>
        </is>
      </c>
      <c r="C46" s="85" t="inlineStr">
        <is>
          <t>PGIM India Mutual Fund</t>
        </is>
      </c>
      <c r="D46" s="85" t="inlineStr">
        <is>
          <t>Aggressive Hybrid Fund</t>
        </is>
      </c>
      <c r="E46" s="85" t="inlineStr">
        <is>
          <t>Aggressive Hybrid Fund</t>
        </is>
      </c>
      <c r="F46" s="86" t="n">
        <v>-0.24</v>
      </c>
      <c r="G46" s="87" t="n">
        <v>2.34</v>
      </c>
      <c r="H46" s="87" t="n">
        <v>2.36</v>
      </c>
      <c r="I46" s="86" t="n">
        <v>-1.46</v>
      </c>
      <c r="J46" s="87" t="n">
        <v>2.528044943810359</v>
      </c>
      <c r="K46" s="87" t="n">
        <v>25.19</v>
      </c>
      <c r="L46" s="94" t="n">
        <v>73.2</v>
      </c>
      <c r="M46" s="18" t="n">
        <v>0</v>
      </c>
      <c r="N46" s="24" t="n">
        <v>40.3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88" t="inlineStr">
        <is>
          <t>📈 Good</t>
        </is>
      </c>
      <c r="S46" s="88" t="inlineStr">
        <is>
          <t>🔴 Not Qualified</t>
        </is>
      </c>
      <c r="T46" s="88" t="inlineStr">
        <is>
          <t>⚠️ Watch</t>
        </is>
      </c>
      <c r="U46" s="76" t="inlineStr">
        <is>
          <t>FULL</t>
        </is>
      </c>
    </row>
    <row r="47" ht="16" customHeight="1">
      <c r="A47" s="89" t="n">
        <v>43</v>
      </c>
      <c r="B47" s="90" t="inlineStr">
        <is>
          <t>Axis Aggressive Hybrid Fund - Regular Plan - Growth Option</t>
        </is>
      </c>
      <c r="C47" s="90" t="inlineStr">
        <is>
          <t>Axis Mutual Fund</t>
        </is>
      </c>
      <c r="D47" s="90" t="inlineStr">
        <is>
          <t>Aggressive Hybrid Fund</t>
        </is>
      </c>
      <c r="E47" s="90" t="inlineStr">
        <is>
          <t>Aggressive Hybrid Fund</t>
        </is>
      </c>
      <c r="F47" s="92" t="n">
        <v>0.15</v>
      </c>
      <c r="G47" s="92" t="n">
        <v>1.43</v>
      </c>
      <c r="H47" s="92" t="n">
        <v>1.48</v>
      </c>
      <c r="I47" s="91" t="n">
        <v>-0.68</v>
      </c>
      <c r="J47" s="92" t="n">
        <v>2.32301793829186</v>
      </c>
      <c r="K47" s="92" t="n">
        <v>27.23</v>
      </c>
      <c r="L47" s="94" t="n">
        <v>73</v>
      </c>
      <c r="M47" s="18" t="n">
        <v>0</v>
      </c>
      <c r="N47" s="24" t="n">
        <v>40.2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93" t="inlineStr">
        <is>
          <t>📈 Good</t>
        </is>
      </c>
      <c r="S47" s="93" t="inlineStr">
        <is>
          <t>🔴 Not Qualified</t>
        </is>
      </c>
      <c r="T47" s="93" t="inlineStr">
        <is>
          <t>⚠️ Watch</t>
        </is>
      </c>
      <c r="U47" s="76" t="inlineStr">
        <is>
          <t>FULL</t>
        </is>
      </c>
    </row>
    <row r="48" ht="16" customHeight="1">
      <c r="A48" s="84" t="n">
        <v>44</v>
      </c>
      <c r="B48" s="85" t="inlineStr">
        <is>
          <t>CANARA ROBECO CONSERVATIVE HYBRID FUND - REGULAR PLAN - GROWTH OPTION</t>
        </is>
      </c>
      <c r="C48" s="85" t="inlineStr">
        <is>
          <t>Canara Robeco Mutual Fund</t>
        </is>
      </c>
      <c r="D48" s="85" t="inlineStr">
        <is>
          <t>Conservative Hybrid Fund</t>
        </is>
      </c>
      <c r="E48" s="85" t="inlineStr">
        <is>
          <t>Conservative Hybrid Fund</t>
        </is>
      </c>
      <c r="F48" s="87" t="n">
        <v>0.52</v>
      </c>
      <c r="G48" s="87" t="n">
        <v>1.92</v>
      </c>
      <c r="H48" s="87" t="n">
        <v>2.79</v>
      </c>
      <c r="I48" s="87" t="n">
        <v>1.55</v>
      </c>
      <c r="J48" s="87" t="n">
        <v>4.508372870311206</v>
      </c>
      <c r="K48" s="87" t="n">
        <v>21.83</v>
      </c>
      <c r="L48" s="94" t="n">
        <v>72.40000000000001</v>
      </c>
      <c r="M48" s="18" t="n">
        <v>0</v>
      </c>
      <c r="N48" s="24" t="n">
        <v>39.8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88" t="inlineStr">
        <is>
          <t>📈 Good</t>
        </is>
      </c>
      <c r="S48" s="88" t="inlineStr">
        <is>
          <t>🔴 Not Qualified</t>
        </is>
      </c>
      <c r="T48" s="88" t="inlineStr">
        <is>
          <t>🔴 Avoid</t>
        </is>
      </c>
      <c r="U48" s="76" t="inlineStr">
        <is>
          <t>FULL</t>
        </is>
      </c>
    </row>
    <row r="49" ht="16" customHeight="1">
      <c r="A49" s="89" t="n">
        <v>45</v>
      </c>
      <c r="B49" s="90" t="inlineStr">
        <is>
          <t>HSBC Arbitrage Fund - Regular Growth</t>
        </is>
      </c>
      <c r="C49" s="90" t="inlineStr">
        <is>
          <t>HSBC Mutual Fund</t>
        </is>
      </c>
      <c r="D49" s="90" t="inlineStr">
        <is>
          <t>Arbitrage Fund</t>
        </is>
      </c>
      <c r="E49" s="90" t="inlineStr">
        <is>
          <t>Arbitrage Fund</t>
        </is>
      </c>
      <c r="F49" s="92" t="n">
        <v>0.53</v>
      </c>
      <c r="G49" s="92" t="n">
        <v>1.37</v>
      </c>
      <c r="H49" s="92" t="n">
        <v>2.98</v>
      </c>
      <c r="I49" s="92" t="n">
        <v>5.95</v>
      </c>
      <c r="J49" s="92" t="n">
        <v>6.254411673115956</v>
      </c>
      <c r="K49" s="92" t="n">
        <v>21.52</v>
      </c>
      <c r="L49" s="94" t="n">
        <v>72.2</v>
      </c>
      <c r="M49" s="18" t="n">
        <v>0</v>
      </c>
      <c r="N49" s="24" t="n">
        <v>39.7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93" t="inlineStr">
        <is>
          <t>📈 Good</t>
        </is>
      </c>
      <c r="S49" s="93" t="inlineStr">
        <is>
          <t>🔴 Not Qualified</t>
        </is>
      </c>
      <c r="T49" s="93" t="inlineStr">
        <is>
          <t>🔴 Avoid</t>
        </is>
      </c>
      <c r="U49" s="76" t="inlineStr">
        <is>
          <t>FULL</t>
        </is>
      </c>
    </row>
    <row r="50" ht="16" customHeight="1">
      <c r="A50" s="84" t="n">
        <v>46</v>
      </c>
      <c r="B50" s="85" t="inlineStr">
        <is>
          <t>Aditya BIRLA SUN LIFE ARBITRAGE FUND - REGULAR PLAN - GROWTH</t>
        </is>
      </c>
      <c r="C50" s="85" t="inlineStr">
        <is>
          <t>Aditya Birla Sun Life Mutual Fund</t>
        </is>
      </c>
      <c r="D50" s="85" t="inlineStr">
        <is>
          <t>Arbitrage Fund</t>
        </is>
      </c>
      <c r="E50" s="85" t="inlineStr">
        <is>
          <t>Arbitrage Fund</t>
        </is>
      </c>
      <c r="F50" s="87" t="n">
        <v>0.5600000000000001</v>
      </c>
      <c r="G50" s="87" t="n">
        <v>1.41</v>
      </c>
      <c r="H50" s="87" t="n">
        <v>2.89</v>
      </c>
      <c r="I50" s="87" t="n">
        <v>5.92</v>
      </c>
      <c r="J50" s="87" t="n">
        <v>6.371988794042949</v>
      </c>
      <c r="K50" s="87" t="n">
        <v>21.9</v>
      </c>
      <c r="L50" s="94" t="n">
        <v>70.5</v>
      </c>
      <c r="M50" s="18" t="n">
        <v>0</v>
      </c>
      <c r="N50" s="24" t="n">
        <v>38.8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88" t="inlineStr">
        <is>
          <t>📈 Good</t>
        </is>
      </c>
      <c r="S50" s="88" t="inlineStr">
        <is>
          <t>🔴 Not Qualified</t>
        </is>
      </c>
      <c r="T50" s="88" t="inlineStr">
        <is>
          <t>🔴 Avoid</t>
        </is>
      </c>
      <c r="U50" s="76" t="inlineStr">
        <is>
          <t>FULL</t>
        </is>
      </c>
    </row>
    <row r="51" ht="16" customHeight="1">
      <c r="A51" s="89" t="n">
        <v>47</v>
      </c>
      <c r="B51" s="90" t="inlineStr">
        <is>
          <t>Sundaram Arbitrage Fund (Formerly Know as Principal Arbitrage Fund) - Regular Plan - Growth</t>
        </is>
      </c>
      <c r="C51" s="90" t="inlineStr">
        <is>
          <t>Sundaram Mutual Fund</t>
        </is>
      </c>
      <c r="D51" s="90" t="inlineStr">
        <is>
          <t>Arbitrage Fund</t>
        </is>
      </c>
      <c r="E51" s="90" t="inlineStr">
        <is>
          <t>Arbitrage Fund</t>
        </is>
      </c>
      <c r="F51" s="92" t="n">
        <v>0.5</v>
      </c>
      <c r="G51" s="92" t="n">
        <v>1.44</v>
      </c>
      <c r="H51" s="92" t="n">
        <v>3.01</v>
      </c>
      <c r="I51" s="92" t="n">
        <v>5.93</v>
      </c>
      <c r="J51" s="92" t="n">
        <v>6.226173799116008</v>
      </c>
      <c r="K51" s="92" t="n">
        <v>21.13</v>
      </c>
      <c r="L51" s="94" t="n">
        <v>70.3</v>
      </c>
      <c r="M51" s="18" t="n">
        <v>0</v>
      </c>
      <c r="N51" s="24" t="n">
        <v>38.6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93" t="inlineStr">
        <is>
          <t>📈 Good</t>
        </is>
      </c>
      <c r="S51" s="93" t="inlineStr">
        <is>
          <t>🔴 Not Qualified</t>
        </is>
      </c>
      <c r="T51" s="93" t="inlineStr">
        <is>
          <t>🔴 Avoid</t>
        </is>
      </c>
      <c r="U51" s="76" t="inlineStr">
        <is>
          <t>FULL</t>
        </is>
      </c>
    </row>
    <row r="52" ht="16" customHeight="1">
      <c r="A52" s="84" t="n">
        <v>48</v>
      </c>
      <c r="B52" s="85" t="inlineStr">
        <is>
          <t>ICICI Prudential Regular Savings Fund - Direct Plan - Growth</t>
        </is>
      </c>
      <c r="C52" s="85" t="inlineStr">
        <is>
          <t>ICICI Prudential Mutual Fund</t>
        </is>
      </c>
      <c r="D52" s="85" t="inlineStr">
        <is>
          <t>Conservative Hybrid Fund</t>
        </is>
      </c>
      <c r="E52" s="85" t="inlineStr">
        <is>
          <t>Conservative Hybrid Fund</t>
        </is>
      </c>
      <c r="F52" s="87" t="n">
        <v>0.21</v>
      </c>
      <c r="G52" s="87" t="n">
        <v>1.67</v>
      </c>
      <c r="H52" s="87" t="n">
        <v>2.61</v>
      </c>
      <c r="I52" s="87" t="n">
        <v>4.4</v>
      </c>
      <c r="J52" s="87" t="n">
        <v>6.90182411914213</v>
      </c>
      <c r="K52" s="87" t="n">
        <v>31.19</v>
      </c>
      <c r="L52" s="94" t="n">
        <v>69</v>
      </c>
      <c r="M52" s="18" t="n">
        <v>0</v>
      </c>
      <c r="N52" s="24" t="n">
        <v>38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88" t="inlineStr">
        <is>
          <t>📈 Good</t>
        </is>
      </c>
      <c r="S52" s="88" t="inlineStr">
        <is>
          <t>🔴 Not Qualified</t>
        </is>
      </c>
      <c r="T52" s="88" t="inlineStr">
        <is>
          <t>🔴 Avoid</t>
        </is>
      </c>
      <c r="U52" s="76" t="inlineStr">
        <is>
          <t>FULL</t>
        </is>
      </c>
    </row>
    <row r="53" ht="16" customHeight="1">
      <c r="A53" s="89" t="n">
        <v>49</v>
      </c>
      <c r="B53" s="90" t="inlineStr">
        <is>
          <t>ICICI Prudential Equity &amp; Debt Fund - Growth</t>
        </is>
      </c>
      <c r="C53" s="90" t="inlineStr">
        <is>
          <t>ICICI Prudential Mutual Fund</t>
        </is>
      </c>
      <c r="D53" s="90" t="inlineStr">
        <is>
          <t>Aggressive Hybrid Fund</t>
        </is>
      </c>
      <c r="E53" s="90" t="inlineStr">
        <is>
          <t>Aggressive Hybrid Fund</t>
        </is>
      </c>
      <c r="F53" s="91" t="n">
        <v>-0.33</v>
      </c>
      <c r="G53" s="92" t="n">
        <v>0.34</v>
      </c>
      <c r="H53" s="92" t="n">
        <v>1.33</v>
      </c>
      <c r="I53" s="92" t="n">
        <v>2.86</v>
      </c>
      <c r="J53" s="92" t="n">
        <v>4.866581902911271</v>
      </c>
      <c r="K53" s="92" t="n">
        <v>50.95</v>
      </c>
      <c r="L53" s="94" t="n">
        <v>68.90000000000001</v>
      </c>
      <c r="M53" s="18" t="n">
        <v>0</v>
      </c>
      <c r="N53" s="24" t="n">
        <v>37.9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93" t="inlineStr">
        <is>
          <t>📈 Good</t>
        </is>
      </c>
      <c r="S53" s="93" t="inlineStr">
        <is>
          <t>🔴 Not Qualified</t>
        </is>
      </c>
      <c r="T53" s="93" t="inlineStr">
        <is>
          <t>🔴 Avoid</t>
        </is>
      </c>
      <c r="U53" s="76" t="inlineStr">
        <is>
          <t>FULL</t>
        </is>
      </c>
    </row>
    <row r="54" ht="16" customHeight="1">
      <c r="A54" s="84" t="n">
        <v>50</v>
      </c>
      <c r="B54" s="85" t="inlineStr">
        <is>
          <t>Nippon India Arbitrage Fund - Growth Plan - Growth Option</t>
        </is>
      </c>
      <c r="C54" s="85" t="inlineStr">
        <is>
          <t>Nippon India Mutual Fund</t>
        </is>
      </c>
      <c r="D54" s="85" t="inlineStr">
        <is>
          <t>Arbitrage Fund</t>
        </is>
      </c>
      <c r="E54" s="85" t="inlineStr">
        <is>
          <t>Arbitrage Fund</t>
        </is>
      </c>
      <c r="F54" s="87" t="n">
        <v>0.53</v>
      </c>
      <c r="G54" s="87" t="n">
        <v>1.42</v>
      </c>
      <c r="H54" s="87" t="n">
        <v>2.9</v>
      </c>
      <c r="I54" s="87" t="n">
        <v>5.91</v>
      </c>
      <c r="J54" s="87" t="n">
        <v>6.240293674292907</v>
      </c>
      <c r="K54" s="87" t="n">
        <v>21.6</v>
      </c>
      <c r="L54" s="94" t="n">
        <v>68.2</v>
      </c>
      <c r="M54" s="18" t="n">
        <v>0</v>
      </c>
      <c r="N54" s="24" t="n">
        <v>37.5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88" t="inlineStr">
        <is>
          <t>📈 Good</t>
        </is>
      </c>
      <c r="S54" s="88" t="inlineStr">
        <is>
          <t>🔴 Not Qualified</t>
        </is>
      </c>
      <c r="T54" s="88" t="inlineStr">
        <is>
          <t>🔴 Avoid</t>
        </is>
      </c>
      <c r="U54" s="76" t="inlineStr">
        <is>
          <t>FULL</t>
        </is>
      </c>
    </row>
    <row r="55" ht="16" customHeight="1">
      <c r="A55" s="89" t="n">
        <v>51</v>
      </c>
      <c r="B55" s="90" t="inlineStr">
        <is>
          <t>PGIM India Equity Savings Fund - Growth Option</t>
        </is>
      </c>
      <c r="C55" s="90" t="inlineStr">
        <is>
          <t>PGIM India Mutual Fund</t>
        </is>
      </c>
      <c r="D55" s="90" t="inlineStr">
        <is>
          <t>Equity Savings</t>
        </is>
      </c>
      <c r="E55" s="90" t="inlineStr">
        <is>
          <t>Equity Savings</t>
        </is>
      </c>
      <c r="F55" s="92" t="n">
        <v>0.71</v>
      </c>
      <c r="G55" s="92" t="n">
        <v>1.6</v>
      </c>
      <c r="H55" s="92" t="n">
        <v>1.84</v>
      </c>
      <c r="I55" s="92" t="n">
        <v>3.18</v>
      </c>
      <c r="J55" s="92" t="n">
        <v>4.503588455133922</v>
      </c>
      <c r="K55" s="92" t="n">
        <v>19.26</v>
      </c>
      <c r="L55" s="94" t="n">
        <v>68.2</v>
      </c>
      <c r="M55" s="18" t="n">
        <v>0</v>
      </c>
      <c r="N55" s="24" t="n">
        <v>37.5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93" t="inlineStr">
        <is>
          <t>📈 Good</t>
        </is>
      </c>
      <c r="S55" s="93" t="inlineStr">
        <is>
          <t>🔴 Not Qualified</t>
        </is>
      </c>
      <c r="T55" s="93" t="inlineStr">
        <is>
          <t>🔴 Avoid</t>
        </is>
      </c>
      <c r="U55" s="76" t="inlineStr">
        <is>
          <t>FULL</t>
        </is>
      </c>
    </row>
    <row r="56" ht="16" customHeight="1">
      <c r="A56" s="84" t="n">
        <v>52</v>
      </c>
      <c r="B56" s="85" t="inlineStr">
        <is>
          <t>DSP Regular Savings Fund - Direct Plan - Growth</t>
        </is>
      </c>
      <c r="C56" s="85" t="inlineStr">
        <is>
          <t>DSP Mutual Fund</t>
        </is>
      </c>
      <c r="D56" s="85" t="inlineStr">
        <is>
          <t>Conservative Hybrid Fund</t>
        </is>
      </c>
      <c r="E56" s="85" t="inlineStr">
        <is>
          <t>Conservative Hybrid Fund</t>
        </is>
      </c>
      <c r="F56" s="87" t="n">
        <v>0.28</v>
      </c>
      <c r="G56" s="87" t="n">
        <v>1.55</v>
      </c>
      <c r="H56" s="87" t="n">
        <v>2.24</v>
      </c>
      <c r="I56" s="87" t="n">
        <v>3.67</v>
      </c>
      <c r="J56" s="87" t="n">
        <v>6.390789074994641</v>
      </c>
      <c r="K56" s="87" t="n">
        <v>29.6</v>
      </c>
      <c r="L56" s="94" t="n">
        <v>68.09999999999999</v>
      </c>
      <c r="M56" s="18" t="n">
        <v>0</v>
      </c>
      <c r="N56" s="24" t="n">
        <v>37.5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88" t="inlineStr">
        <is>
          <t>📈 Good</t>
        </is>
      </c>
      <c r="S56" s="88" t="inlineStr">
        <is>
          <t>🔴 Not Qualified</t>
        </is>
      </c>
      <c r="T56" s="88" t="inlineStr">
        <is>
          <t>🔴 Avoid</t>
        </is>
      </c>
      <c r="U56" s="76" t="inlineStr">
        <is>
          <t>FULL</t>
        </is>
      </c>
    </row>
    <row r="57" ht="16" customHeight="1">
      <c r="A57" s="89" t="n">
        <v>53</v>
      </c>
      <c r="B57" s="90" t="inlineStr">
        <is>
          <t>Edelweiss Balanced Advantage Fund - Regular Plan - Growth Option</t>
        </is>
      </c>
      <c r="C57" s="90" t="inlineStr">
        <is>
          <t>Edelweiss Mutual Fund</t>
        </is>
      </c>
      <c r="D57" s="90" t="inlineStr">
        <is>
          <t>Dynamic Asset Allocation Or Balanced Advantage</t>
        </is>
      </c>
      <c r="E57" s="90" t="inlineStr">
        <is>
          <t>Dynamic Asset Allocation Or Balanced Advantage</t>
        </is>
      </c>
      <c r="F57" s="91" t="n">
        <v>-0.31</v>
      </c>
      <c r="G57" s="92" t="n">
        <v>1.18</v>
      </c>
      <c r="H57" s="92" t="n">
        <v>2.07</v>
      </c>
      <c r="I57" s="92" t="n">
        <v>3.06</v>
      </c>
      <c r="J57" s="92" t="n">
        <v>2.791050194070888</v>
      </c>
      <c r="K57" s="92" t="n">
        <v>30.92</v>
      </c>
      <c r="L57" s="94" t="n">
        <v>67</v>
      </c>
      <c r="M57" s="18" t="n">
        <v>0</v>
      </c>
      <c r="N57" s="24" t="n">
        <v>36.8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93" t="inlineStr">
        <is>
          <t>📈 Good</t>
        </is>
      </c>
      <c r="S57" s="93" t="inlineStr">
        <is>
          <t>🔴 Not Qualified</t>
        </is>
      </c>
      <c r="T57" s="93" t="inlineStr">
        <is>
          <t>🔴 Avoid</t>
        </is>
      </c>
      <c r="U57" s="76" t="inlineStr">
        <is>
          <t>FULL</t>
        </is>
      </c>
    </row>
    <row r="58" ht="16" customHeight="1">
      <c r="A58" s="84" t="n">
        <v>54</v>
      </c>
      <c r="B58" s="85" t="inlineStr">
        <is>
          <t>SBI Arbitrage Opportunities Fund - Regular Plan - Gr</t>
        </is>
      </c>
      <c r="C58" s="85" t="inlineStr">
        <is>
          <t>SBI Mutual Fund</t>
        </is>
      </c>
      <c r="D58" s="85" t="inlineStr">
        <is>
          <t>Arbitrage Fund</t>
        </is>
      </c>
      <c r="E58" s="85" t="inlineStr">
        <is>
          <t>Arbitrage Fund</t>
        </is>
      </c>
      <c r="F58" s="87" t="n">
        <v>0.52</v>
      </c>
      <c r="G58" s="87" t="n">
        <v>1.39</v>
      </c>
      <c r="H58" s="87" t="n">
        <v>2.89</v>
      </c>
      <c r="I58" s="87" t="n">
        <v>5.97</v>
      </c>
      <c r="J58" s="87" t="n">
        <v>6.437775249203703</v>
      </c>
      <c r="K58" s="87" t="n">
        <v>22.14</v>
      </c>
      <c r="L58" s="94" t="n">
        <v>66.8</v>
      </c>
      <c r="M58" s="18" t="n">
        <v>0</v>
      </c>
      <c r="N58" s="24" t="n">
        <v>36.7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88" t="inlineStr">
        <is>
          <t>📈 Good</t>
        </is>
      </c>
      <c r="S58" s="88" t="inlineStr">
        <is>
          <t>🔴 Not Qualified</t>
        </is>
      </c>
      <c r="T58" s="88" t="inlineStr">
        <is>
          <t>🔴 Avoid</t>
        </is>
      </c>
      <c r="U58" s="76" t="inlineStr">
        <is>
          <t>FULL</t>
        </is>
      </c>
    </row>
    <row r="59" ht="16" customHeight="1">
      <c r="A59" s="89" t="n">
        <v>55</v>
      </c>
      <c r="B59" s="90" t="inlineStr">
        <is>
          <t>Kotak Equity Savings Fund - Regular - Growth</t>
        </is>
      </c>
      <c r="C59" s="90" t="inlineStr">
        <is>
          <t>Kotak Mahindra Mutual Fund</t>
        </is>
      </c>
      <c r="D59" s="90" t="inlineStr">
        <is>
          <t>Equity Savings</t>
        </is>
      </c>
      <c r="E59" s="90" t="inlineStr">
        <is>
          <t>Equity Savings</t>
        </is>
      </c>
      <c r="F59" s="92" t="n">
        <v>0.21</v>
      </c>
      <c r="G59" s="92" t="n">
        <v>0.92</v>
      </c>
      <c r="H59" s="92" t="n">
        <v>2.34</v>
      </c>
      <c r="I59" s="92" t="n">
        <v>4.25</v>
      </c>
      <c r="J59" s="92" t="n">
        <v>4.709120901667396</v>
      </c>
      <c r="K59" s="92" t="n">
        <v>30.63</v>
      </c>
      <c r="L59" s="94" t="n">
        <v>66.40000000000001</v>
      </c>
      <c r="M59" s="18" t="n">
        <v>0</v>
      </c>
      <c r="N59" s="24" t="n">
        <v>36.5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93" t="inlineStr">
        <is>
          <t>📈 Good</t>
        </is>
      </c>
      <c r="S59" s="93" t="inlineStr">
        <is>
          <t>🔴 Not Qualified</t>
        </is>
      </c>
      <c r="T59" s="93" t="inlineStr">
        <is>
          <t>🔴 Avoid</t>
        </is>
      </c>
      <c r="U59" s="76" t="inlineStr">
        <is>
          <t>FULL</t>
        </is>
      </c>
    </row>
    <row r="60" ht="16" customHeight="1">
      <c r="A60" s="84" t="n">
        <v>56</v>
      </c>
      <c r="B60" s="85" t="inlineStr">
        <is>
          <t>Kotak Equity Savings Fund - Regular - Monthly Payout of Income Distribution cum capital withdrawal option</t>
        </is>
      </c>
      <c r="C60" s="85" t="inlineStr">
        <is>
          <t>Kotak Mahindra Mutual Fund</t>
        </is>
      </c>
      <c r="D60" s="85" t="inlineStr">
        <is>
          <t>Equity Savings</t>
        </is>
      </c>
      <c r="E60" s="85" t="inlineStr">
        <is>
          <t>Equity Savings</t>
        </is>
      </c>
      <c r="F60" s="87" t="n">
        <v>0.21</v>
      </c>
      <c r="G60" s="87" t="n">
        <v>0.92</v>
      </c>
      <c r="H60" s="87" t="n">
        <v>2.34</v>
      </c>
      <c r="I60" s="87" t="n">
        <v>4.25</v>
      </c>
      <c r="J60" s="87" t="n">
        <v>4.709120901667396</v>
      </c>
      <c r="K60" s="87" t="n">
        <v>30.63</v>
      </c>
      <c r="L60" s="94" t="n">
        <v>66.40000000000001</v>
      </c>
      <c r="M60" s="18" t="n">
        <v>0</v>
      </c>
      <c r="N60" s="24" t="n">
        <v>36.5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88" t="inlineStr">
        <is>
          <t>📈 Good</t>
        </is>
      </c>
      <c r="S60" s="88" t="inlineStr">
        <is>
          <t>🔴 Not Qualified</t>
        </is>
      </c>
      <c r="T60" s="88" t="inlineStr">
        <is>
          <t>🔴 Avoid</t>
        </is>
      </c>
      <c r="U60" s="76" t="inlineStr">
        <is>
          <t>FULL</t>
        </is>
      </c>
    </row>
    <row r="61" ht="16" customHeight="1">
      <c r="A61" s="89" t="n">
        <v>57</v>
      </c>
      <c r="B61" s="90" t="inlineStr">
        <is>
          <t>Axis Multi Asset Allocation Fund - Regular Plan - Growth Option</t>
        </is>
      </c>
      <c r="C61" s="90" t="inlineStr">
        <is>
          <t>Axis Mutual Fund</t>
        </is>
      </c>
      <c r="D61" s="90" t="inlineStr">
        <is>
          <t>Multi Asset Allocation</t>
        </is>
      </c>
      <c r="E61" s="90" t="inlineStr">
        <is>
          <t>Multi Asset Allocation</t>
        </is>
      </c>
      <c r="F61" s="92" t="n">
        <v>0.05</v>
      </c>
      <c r="G61" s="92" t="n">
        <v>1.29</v>
      </c>
      <c r="H61" s="91" t="n">
        <v>-1.12</v>
      </c>
      <c r="I61" s="92" t="n">
        <v>10.05</v>
      </c>
      <c r="J61" s="92" t="n">
        <v>8.198890937014692</v>
      </c>
      <c r="K61" s="92" t="n">
        <v>41.9</v>
      </c>
      <c r="L61" s="94" t="n">
        <v>66.09999999999999</v>
      </c>
      <c r="M61" s="18" t="n">
        <v>0</v>
      </c>
      <c r="N61" s="24" t="n">
        <v>36.4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93" t="inlineStr">
        <is>
          <t>📈 Good</t>
        </is>
      </c>
      <c r="S61" s="93" t="inlineStr">
        <is>
          <t>🔴 Not Qualified</t>
        </is>
      </c>
      <c r="T61" s="93" t="inlineStr">
        <is>
          <t>🔴 Avoid</t>
        </is>
      </c>
      <c r="U61" s="76" t="inlineStr">
        <is>
          <t>FULL</t>
        </is>
      </c>
    </row>
    <row r="62" ht="16" customHeight="1">
      <c r="A62" s="84" t="n">
        <v>58</v>
      </c>
      <c r="B62" s="85" t="inlineStr">
        <is>
          <t>LIC MF Conservative Hybrid Fund-Regular Plan-Growth</t>
        </is>
      </c>
      <c r="C62" s="85" t="inlineStr">
        <is>
          <t>LIC Mutual Fund</t>
        </is>
      </c>
      <c r="D62" s="85" t="inlineStr">
        <is>
          <t>Conservative Hybrid Fund</t>
        </is>
      </c>
      <c r="E62" s="85" t="inlineStr">
        <is>
          <t>Conservative Hybrid Fund</t>
        </is>
      </c>
      <c r="F62" s="87" t="n">
        <v>0.77</v>
      </c>
      <c r="G62" s="87" t="n">
        <v>1.83</v>
      </c>
      <c r="H62" s="87" t="n">
        <v>1.32</v>
      </c>
      <c r="I62" s="87" t="n">
        <v>2.35</v>
      </c>
      <c r="J62" s="87" t="n">
        <v>3.961531346936198</v>
      </c>
      <c r="K62" s="87" t="n">
        <v>18.27</v>
      </c>
      <c r="L62" s="94" t="n">
        <v>65.59999999999999</v>
      </c>
      <c r="M62" s="18" t="n">
        <v>0</v>
      </c>
      <c r="N62" s="24" t="n">
        <v>36.1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88" t="inlineStr">
        <is>
          <t>📈 Good</t>
        </is>
      </c>
      <c r="S62" s="88" t="inlineStr">
        <is>
          <t>🔴 Not Qualified</t>
        </is>
      </c>
      <c r="T62" s="88" t="inlineStr">
        <is>
          <t>🔴 Avoid</t>
        </is>
      </c>
      <c r="U62" s="76" t="inlineStr">
        <is>
          <t>FULL</t>
        </is>
      </c>
    </row>
    <row r="63" ht="16" customHeight="1">
      <c r="A63" s="89" t="n">
        <v>59</v>
      </c>
      <c r="B63" s="90" t="inlineStr">
        <is>
          <t>SBI Conservative Hybrid Fund - Regular Plan - Growth</t>
        </is>
      </c>
      <c r="C63" s="90" t="inlineStr">
        <is>
          <t>SBI Mutual Fund</t>
        </is>
      </c>
      <c r="D63" s="90" t="inlineStr">
        <is>
          <t>Conservative Hybrid Fund</t>
        </is>
      </c>
      <c r="E63" s="90" t="inlineStr">
        <is>
          <t>Conservative Hybrid Fund</t>
        </is>
      </c>
      <c r="F63" s="92" t="n">
        <v>0.05</v>
      </c>
      <c r="G63" s="92" t="n">
        <v>1.4</v>
      </c>
      <c r="H63" s="92" t="n">
        <v>3.69</v>
      </c>
      <c r="I63" s="92" t="n">
        <v>4.16</v>
      </c>
      <c r="J63" s="92" t="n">
        <v>5.460893225877816</v>
      </c>
      <c r="K63" s="92" t="n">
        <v>27.32</v>
      </c>
      <c r="L63" s="94" t="n">
        <v>65</v>
      </c>
      <c r="M63" s="18" t="n">
        <v>0</v>
      </c>
      <c r="N63" s="24" t="n">
        <v>35.7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93" t="inlineStr">
        <is>
          <t>📈 Good</t>
        </is>
      </c>
      <c r="S63" s="93" t="inlineStr">
        <is>
          <t>🔴 Not Qualified</t>
        </is>
      </c>
      <c r="T63" s="93" t="inlineStr">
        <is>
          <t>🔴 Avoid</t>
        </is>
      </c>
      <c r="U63" s="76" t="inlineStr">
        <is>
          <t>FULL</t>
        </is>
      </c>
    </row>
    <row r="64" ht="16" customHeight="1">
      <c r="A64" s="84" t="n">
        <v>60</v>
      </c>
      <c r="B64" s="85" t="inlineStr">
        <is>
          <t>Aditya Birla Sun Life Equity Hybrid'95 Fund - Regular Plan-Growth</t>
        </is>
      </c>
      <c r="C64" s="85" t="inlineStr">
        <is>
          <t>Aditya Birla Sun Life Mutual Fund</t>
        </is>
      </c>
      <c r="D64" s="85" t="inlineStr">
        <is>
          <t>Aggressive Hybrid Fund</t>
        </is>
      </c>
      <c r="E64" s="85" t="inlineStr">
        <is>
          <t>Aggressive Hybrid Fund</t>
        </is>
      </c>
      <c r="F64" s="87" t="n">
        <v>0.44</v>
      </c>
      <c r="G64" s="87" t="n">
        <v>1.38</v>
      </c>
      <c r="H64" s="87" t="n">
        <v>0.17</v>
      </c>
      <c r="I64" s="86" t="n">
        <v>-0.77</v>
      </c>
      <c r="J64" s="87" t="n">
        <v>1.720204482688681</v>
      </c>
      <c r="K64" s="87" t="n">
        <v>32.57</v>
      </c>
      <c r="L64" s="94" t="n">
        <v>64.5</v>
      </c>
      <c r="M64" s="18" t="n">
        <v>0</v>
      </c>
      <c r="N64" s="24" t="n">
        <v>35.5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88" t="inlineStr">
        <is>
          <t>📈 Good</t>
        </is>
      </c>
      <c r="S64" s="88" t="inlineStr">
        <is>
          <t>🔴 Not Qualified</t>
        </is>
      </c>
      <c r="T64" s="88" t="inlineStr">
        <is>
          <t>🔴 Avoid</t>
        </is>
      </c>
      <c r="U64" s="76" t="inlineStr">
        <is>
          <t>FULL</t>
        </is>
      </c>
    </row>
    <row r="65" ht="16" customHeight="1">
      <c r="A65" s="89" t="n">
        <v>61</v>
      </c>
      <c r="B65" s="90" t="inlineStr">
        <is>
          <t>Kotak Aggressive Hybrid Fund - Regular Plan -Growth</t>
        </is>
      </c>
      <c r="C65" s="90" t="inlineStr">
        <is>
          <t>Kotak Mahindra Mutual Fund</t>
        </is>
      </c>
      <c r="D65" s="90" t="inlineStr">
        <is>
          <t>Aggressive Hybrid Fund</t>
        </is>
      </c>
      <c r="E65" s="90" t="inlineStr">
        <is>
          <t>Aggressive Hybrid Fund</t>
        </is>
      </c>
      <c r="F65" s="91" t="n">
        <v>-1.02</v>
      </c>
      <c r="G65" s="92" t="n">
        <v>0.74</v>
      </c>
      <c r="H65" s="92" t="n">
        <v>5.13</v>
      </c>
      <c r="I65" s="92" t="n">
        <v>1.98</v>
      </c>
      <c r="J65" s="92" t="n">
        <v>3.522944316706922</v>
      </c>
      <c r="K65" s="92" t="n">
        <v>40.83</v>
      </c>
      <c r="L65" s="94" t="n">
        <v>64.2</v>
      </c>
      <c r="M65" s="18" t="n">
        <v>0</v>
      </c>
      <c r="N65" s="24" t="n">
        <v>35.3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93" t="inlineStr">
        <is>
          <t>📈 Good</t>
        </is>
      </c>
      <c r="S65" s="93" t="inlineStr">
        <is>
          <t>🔴 Not Qualified</t>
        </is>
      </c>
      <c r="T65" s="93" t="inlineStr">
        <is>
          <t>🔴 Avoid</t>
        </is>
      </c>
      <c r="U65" s="76" t="inlineStr">
        <is>
          <t>FULL</t>
        </is>
      </c>
    </row>
    <row r="66" ht="16" customHeight="1">
      <c r="A66" s="84" t="n">
        <v>62</v>
      </c>
      <c r="B66" s="85" t="inlineStr">
        <is>
          <t>PGIM India Arbitrage Fund - Regular Plan - Growth</t>
        </is>
      </c>
      <c r="C66" s="85" t="inlineStr">
        <is>
          <t>PGIM India Mutual Fund</t>
        </is>
      </c>
      <c r="D66" s="85" t="inlineStr">
        <is>
          <t>Arbitrage Fund</t>
        </is>
      </c>
      <c r="E66" s="85" t="inlineStr">
        <is>
          <t>Arbitrage Fund</t>
        </is>
      </c>
      <c r="F66" s="87" t="n">
        <v>0.52</v>
      </c>
      <c r="G66" s="87" t="n">
        <v>1.48</v>
      </c>
      <c r="H66" s="87" t="n">
        <v>2.92</v>
      </c>
      <c r="I66" s="87" t="n">
        <v>5.6</v>
      </c>
      <c r="J66" s="87" t="n">
        <v>6.122570643572334</v>
      </c>
      <c r="K66" s="87" t="n">
        <v>20.69</v>
      </c>
      <c r="L66" s="94" t="n">
        <v>63.9</v>
      </c>
      <c r="M66" s="18" t="n">
        <v>0</v>
      </c>
      <c r="N66" s="24" t="n">
        <v>35.2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88" t="inlineStr">
        <is>
          <t>📈 Good</t>
        </is>
      </c>
      <c r="S66" s="88" t="inlineStr">
        <is>
          <t>🔴 Not Qualified</t>
        </is>
      </c>
      <c r="T66" s="88" t="inlineStr">
        <is>
          <t>🔴 Avoid</t>
        </is>
      </c>
      <c r="U66" s="76" t="inlineStr">
        <is>
          <t>FULL</t>
        </is>
      </c>
    </row>
    <row r="67" ht="16" customHeight="1">
      <c r="A67" s="89" t="n">
        <v>63</v>
      </c>
      <c r="B67" s="90" t="inlineStr">
        <is>
          <t>Kotak Balanced Advantage Fund - Regular Plan - Payout of Income Distribution cum capital withdrawal option Option</t>
        </is>
      </c>
      <c r="C67" s="90" t="inlineStr">
        <is>
          <t>Kotak Mahindra Mutual Fund</t>
        </is>
      </c>
      <c r="D67" s="90" t="inlineStr">
        <is>
          <t>Dynamic Asset Allocation Or Balanced Advantage</t>
        </is>
      </c>
      <c r="E67" s="90" t="inlineStr">
        <is>
          <t>Dynamic Asset Allocation Or Balanced Advantage</t>
        </is>
      </c>
      <c r="F67" s="91" t="n">
        <v>-0.27</v>
      </c>
      <c r="G67" s="92" t="n">
        <v>1.36</v>
      </c>
      <c r="H67" s="92" t="n">
        <v>2.07</v>
      </c>
      <c r="I67" s="92" t="n">
        <v>0.9</v>
      </c>
      <c r="J67" s="92" t="n">
        <v>3.464969917358984</v>
      </c>
      <c r="K67" s="92" t="n">
        <v>28.99</v>
      </c>
      <c r="L67" s="94" t="n">
        <v>63.8</v>
      </c>
      <c r="M67" s="18" t="n">
        <v>0</v>
      </c>
      <c r="N67" s="24" t="n">
        <v>35.1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93" t="inlineStr">
        <is>
          <t>📈 Good</t>
        </is>
      </c>
      <c r="S67" s="93" t="inlineStr">
        <is>
          <t>🔴 Not Qualified</t>
        </is>
      </c>
      <c r="T67" s="93" t="inlineStr">
        <is>
          <t>🔴 Avoid</t>
        </is>
      </c>
      <c r="U67" s="76" t="inlineStr">
        <is>
          <t>FULL</t>
        </is>
      </c>
    </row>
    <row r="68" ht="16" customHeight="1">
      <c r="A68" s="84" t="n">
        <v>64</v>
      </c>
      <c r="B68" s="85" t="inlineStr">
        <is>
          <t>DSP Dynamic Asset Allocation Fund - Regular Plan - Growth</t>
        </is>
      </c>
      <c r="C68" s="85" t="inlineStr">
        <is>
          <t>DSP Mutual Fund</t>
        </is>
      </c>
      <c r="D68" s="85" t="inlineStr">
        <is>
          <t>Dynamic Asset Allocation Or Balanced Advantage</t>
        </is>
      </c>
      <c r="E68" s="85" t="inlineStr">
        <is>
          <t>Dynamic Asset Allocation Or Balanced Advantage</t>
        </is>
      </c>
      <c r="F68" s="86" t="n">
        <v>-0.3</v>
      </c>
      <c r="G68" s="87" t="n">
        <v>0.92</v>
      </c>
      <c r="H68" s="87" t="n">
        <v>1.59</v>
      </c>
      <c r="I68" s="87" t="n">
        <v>3.41</v>
      </c>
      <c r="J68" s="87" t="n">
        <v>5.261578935526146</v>
      </c>
      <c r="K68" s="87" t="n">
        <v>32.84</v>
      </c>
      <c r="L68" s="94" t="n">
        <v>63.3</v>
      </c>
      <c r="M68" s="18" t="n">
        <v>0</v>
      </c>
      <c r="N68" s="24" t="n">
        <v>34.8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88" t="inlineStr">
        <is>
          <t>📈 Good</t>
        </is>
      </c>
      <c r="S68" s="88" t="inlineStr">
        <is>
          <t>🔴 Not Qualified</t>
        </is>
      </c>
      <c r="T68" s="88" t="inlineStr">
        <is>
          <t>🔴 Avoid</t>
        </is>
      </c>
      <c r="U68" s="76" t="inlineStr">
        <is>
          <t>FULL</t>
        </is>
      </c>
    </row>
    <row r="69" ht="16" customHeight="1">
      <c r="A69" s="89" t="n">
        <v>65</v>
      </c>
      <c r="B69" s="90" t="inlineStr">
        <is>
          <t>Kotak Balanced Advantage Fund -Regular Plan - Growth Option</t>
        </is>
      </c>
      <c r="C69" s="90" t="inlineStr">
        <is>
          <t>Kotak Mahindra Mutual Fund</t>
        </is>
      </c>
      <c r="D69" s="90" t="inlineStr">
        <is>
          <t>Dynamic Asset Allocation Or Balanced Advantage</t>
        </is>
      </c>
      <c r="E69" s="90" t="inlineStr">
        <is>
          <t>Dynamic Asset Allocation Or Balanced Advantage</t>
        </is>
      </c>
      <c r="F69" s="91" t="n">
        <v>-0.28</v>
      </c>
      <c r="G69" s="92" t="n">
        <v>1.36</v>
      </c>
      <c r="H69" s="92" t="n">
        <v>2.07</v>
      </c>
      <c r="I69" s="92" t="n">
        <v>0.9</v>
      </c>
      <c r="J69" s="92" t="n">
        <v>3.460137251020501</v>
      </c>
      <c r="K69" s="92" t="n">
        <v>28.98</v>
      </c>
      <c r="L69" s="94" t="n">
        <v>63.2</v>
      </c>
      <c r="M69" s="18" t="n">
        <v>0</v>
      </c>
      <c r="N69" s="24" t="n">
        <v>34.7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93" t="inlineStr">
        <is>
          <t>📈 Good</t>
        </is>
      </c>
      <c r="S69" s="93" t="inlineStr">
        <is>
          <t>🔴 Not Qualified</t>
        </is>
      </c>
      <c r="T69" s="93" t="inlineStr">
        <is>
          <t>🔴 Avoid</t>
        </is>
      </c>
      <c r="U69" s="76" t="inlineStr">
        <is>
          <t>FULL</t>
        </is>
      </c>
    </row>
    <row r="70" ht="16" customHeight="1">
      <c r="A70" s="84" t="n">
        <v>66</v>
      </c>
      <c r="B70" s="85" t="inlineStr">
        <is>
          <t>Mirae Asset Arbitrage Fund Regular Growth</t>
        </is>
      </c>
      <c r="C70" s="85" t="inlineStr">
        <is>
          <t>Mirae Asset Mutual Fund</t>
        </is>
      </c>
      <c r="D70" s="85" t="inlineStr">
        <is>
          <t>Arbitrage Fund</t>
        </is>
      </c>
      <c r="E70" s="85" t="inlineStr">
        <is>
          <t>Arbitrage Fund</t>
        </is>
      </c>
      <c r="F70" s="87" t="n">
        <v>0.58</v>
      </c>
      <c r="G70" s="87" t="n">
        <v>1.41</v>
      </c>
      <c r="H70" s="87" t="n">
        <v>2.82</v>
      </c>
      <c r="I70" s="87" t="n">
        <v>5.85</v>
      </c>
      <c r="J70" s="87" t="n">
        <v>6.174384858119142</v>
      </c>
      <c r="K70" s="87" t="n">
        <v>21.53</v>
      </c>
      <c r="L70" s="94" t="n">
        <v>62.4</v>
      </c>
      <c r="M70" s="18" t="n">
        <v>0</v>
      </c>
      <c r="N70" s="24" t="n">
        <v>34.3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88" t="inlineStr">
        <is>
          <t>📈 Good</t>
        </is>
      </c>
      <c r="S70" s="88" t="inlineStr">
        <is>
          <t>🔴 Not Qualified</t>
        </is>
      </c>
      <c r="T70" s="88" t="inlineStr">
        <is>
          <t>🔴 Avoid</t>
        </is>
      </c>
      <c r="U70" s="76" t="inlineStr">
        <is>
          <t>FULL</t>
        </is>
      </c>
    </row>
    <row r="71" ht="16" customHeight="1">
      <c r="A71" s="89" t="n">
        <v>67</v>
      </c>
      <c r="B71" s="90" t="inlineStr">
        <is>
          <t>LIC MF Aggressive Hybrid Fund-Regular Plan-Growth</t>
        </is>
      </c>
      <c r="C71" s="90" t="inlineStr">
        <is>
          <t>LIC Mutual Fund</t>
        </is>
      </c>
      <c r="D71" s="90" t="inlineStr">
        <is>
          <t>Aggressive Hybrid Fund</t>
        </is>
      </c>
      <c r="E71" s="90" t="inlineStr">
        <is>
          <t>Aggressive Hybrid Fund</t>
        </is>
      </c>
      <c r="F71" s="91" t="n">
        <v>-0.46</v>
      </c>
      <c r="G71" s="92" t="n">
        <v>0.75</v>
      </c>
      <c r="H71" s="92" t="n">
        <v>2.13</v>
      </c>
      <c r="I71" s="91" t="n">
        <v>-1.13</v>
      </c>
      <c r="J71" s="92" t="n">
        <v>1.857743937316814</v>
      </c>
      <c r="K71" s="92" t="n">
        <v>31.72</v>
      </c>
      <c r="L71" s="94" t="n">
        <v>62.4</v>
      </c>
      <c r="M71" s="18" t="n">
        <v>0</v>
      </c>
      <c r="N71" s="24" t="n">
        <v>34.3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93" t="inlineStr">
        <is>
          <t>📈 Good</t>
        </is>
      </c>
      <c r="S71" s="93" t="inlineStr">
        <is>
          <t>🔴 Not Qualified</t>
        </is>
      </c>
      <c r="T71" s="93" t="inlineStr">
        <is>
          <t>🔴 Avoid</t>
        </is>
      </c>
      <c r="U71" s="76" t="inlineStr">
        <is>
          <t>FULL</t>
        </is>
      </c>
    </row>
    <row r="72" ht="16" customHeight="1">
      <c r="A72" s="84" t="n">
        <v>68</v>
      </c>
      <c r="B72" s="85" t="inlineStr">
        <is>
          <t>Tata Multi Asset Allocation Fund-Regular Plan-Growth</t>
        </is>
      </c>
      <c r="C72" s="85" t="inlineStr">
        <is>
          <t>Tata Mutual Fund</t>
        </is>
      </c>
      <c r="D72" s="85" t="inlineStr">
        <is>
          <t>Multi Asset Allocation</t>
        </is>
      </c>
      <c r="E72" s="85" t="inlineStr">
        <is>
          <t>Multi Asset Allocation</t>
        </is>
      </c>
      <c r="F72" s="86" t="n">
        <v>-0.55</v>
      </c>
      <c r="G72" s="87" t="n">
        <v>1.7</v>
      </c>
      <c r="H72" s="87" t="n">
        <v>0.71</v>
      </c>
      <c r="I72" s="87" t="n">
        <v>6.66</v>
      </c>
      <c r="J72" s="87" t="n">
        <v>6.494131293700889</v>
      </c>
      <c r="K72" s="87" t="n">
        <v>43.11</v>
      </c>
      <c r="L72" s="94" t="n">
        <v>62</v>
      </c>
      <c r="M72" s="18" t="n">
        <v>0</v>
      </c>
      <c r="N72" s="24" t="n">
        <v>34.1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88" t="inlineStr">
        <is>
          <t>📈 Good</t>
        </is>
      </c>
      <c r="S72" s="88" t="inlineStr">
        <is>
          <t>🔴 Not Qualified</t>
        </is>
      </c>
      <c r="T72" s="88" t="inlineStr">
        <is>
          <t>🔴 Avoid</t>
        </is>
      </c>
      <c r="U72" s="76" t="inlineStr">
        <is>
          <t>FULL</t>
        </is>
      </c>
    </row>
    <row r="73" ht="16" customHeight="1">
      <c r="A73" s="89" t="n">
        <v>69</v>
      </c>
      <c r="B73" s="90" t="inlineStr">
        <is>
          <t>Union Arbitrage Fund - Regular Plan - Growth Option</t>
        </is>
      </c>
      <c r="C73" s="90" t="inlineStr">
        <is>
          <t>Union Mutual Fund</t>
        </is>
      </c>
      <c r="D73" s="90" t="inlineStr">
        <is>
          <t>Arbitrage Fund</t>
        </is>
      </c>
      <c r="E73" s="90" t="inlineStr">
        <is>
          <t>Arbitrage Fund</t>
        </is>
      </c>
      <c r="F73" s="92" t="n">
        <v>0.57</v>
      </c>
      <c r="G73" s="92" t="n">
        <v>1.4</v>
      </c>
      <c r="H73" s="92" t="n">
        <v>2.87</v>
      </c>
      <c r="I73" s="92" t="n">
        <v>5.74</v>
      </c>
      <c r="J73" s="92" t="n">
        <v>6.164965972772762</v>
      </c>
      <c r="K73" s="92" t="n">
        <v>21.47</v>
      </c>
      <c r="L73" s="94" t="n">
        <v>60.4</v>
      </c>
      <c r="M73" s="18" t="n">
        <v>0</v>
      </c>
      <c r="N73" s="24" t="n">
        <v>33.2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93" t="inlineStr">
        <is>
          <t>📈 Good</t>
        </is>
      </c>
      <c r="S73" s="93" t="inlineStr">
        <is>
          <t>🔴 Not Qualified</t>
        </is>
      </c>
      <c r="T73" s="93" t="inlineStr">
        <is>
          <t>🔴 Avoid</t>
        </is>
      </c>
      <c r="U73" s="76" t="inlineStr">
        <is>
          <t>FULL</t>
        </is>
      </c>
    </row>
    <row r="74" ht="16" customHeight="1">
      <c r="A74" s="84" t="n">
        <v>70</v>
      </c>
      <c r="B74" s="85" t="inlineStr">
        <is>
          <t>Mirae Asset Equity Savings Fund- Regular Plan- Growth</t>
        </is>
      </c>
      <c r="C74" s="85" t="inlineStr">
        <is>
          <t>Mirae Asset Mutual Fund</t>
        </is>
      </c>
      <c r="D74" s="85" t="inlineStr">
        <is>
          <t>Equity Savings</t>
        </is>
      </c>
      <c r="E74" s="85" t="inlineStr">
        <is>
          <t>Equity Savings</t>
        </is>
      </c>
      <c r="F74" s="86" t="n">
        <v>-0.07000000000000001</v>
      </c>
      <c r="G74" s="87" t="n">
        <v>0.97</v>
      </c>
      <c r="H74" s="87" t="n">
        <v>2.29</v>
      </c>
      <c r="I74" s="87" t="n">
        <v>3.52</v>
      </c>
      <c r="J74" s="87" t="n">
        <v>5.574618161753264</v>
      </c>
      <c r="K74" s="87" t="n">
        <v>29.95</v>
      </c>
      <c r="L74" s="94" t="n">
        <v>59.6</v>
      </c>
      <c r="M74" s="18" t="n">
        <v>0</v>
      </c>
      <c r="N74" s="24" t="n">
        <v>32.8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88" t="inlineStr">
        <is>
          <t>➡️ Neutral</t>
        </is>
      </c>
      <c r="S74" s="88" t="inlineStr">
        <is>
          <t>🔴 Not Qualified</t>
        </is>
      </c>
      <c r="T74" s="88" t="inlineStr">
        <is>
          <t>🔴 Avoid</t>
        </is>
      </c>
      <c r="U74" s="76" t="inlineStr">
        <is>
          <t>FULL</t>
        </is>
      </c>
    </row>
    <row r="75" ht="16" customHeight="1">
      <c r="A75" s="89" t="n">
        <v>71</v>
      </c>
      <c r="B75" s="90" t="inlineStr">
        <is>
          <t>CANARA ROBECO EQUITY HYBRID FUND - REGULAR PLAN - GROWTH OPTION</t>
        </is>
      </c>
      <c r="C75" s="90" t="inlineStr">
        <is>
          <t>Canara Robeco Mutual Fund</t>
        </is>
      </c>
      <c r="D75" s="90" t="inlineStr">
        <is>
          <t>Aggressive Hybrid Fund</t>
        </is>
      </c>
      <c r="E75" s="90" t="inlineStr">
        <is>
          <t>Aggressive Hybrid Fund</t>
        </is>
      </c>
      <c r="F75" s="91" t="n">
        <v>-0.59</v>
      </c>
      <c r="G75" s="92" t="n">
        <v>0.51</v>
      </c>
      <c r="H75" s="92" t="n">
        <v>2.09</v>
      </c>
      <c r="I75" s="92" t="n">
        <v>0.13</v>
      </c>
      <c r="J75" s="92" t="n">
        <v>2.791050194070888</v>
      </c>
      <c r="K75" s="92" t="n">
        <v>33.06</v>
      </c>
      <c r="L75" s="94" t="n">
        <v>59.1</v>
      </c>
      <c r="M75" s="18" t="n">
        <v>0</v>
      </c>
      <c r="N75" s="24" t="n">
        <v>32.5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93" t="inlineStr">
        <is>
          <t>➡️ Neutral</t>
        </is>
      </c>
      <c r="S75" s="93" t="inlineStr">
        <is>
          <t>🔴 Not Qualified</t>
        </is>
      </c>
      <c r="T75" s="93" t="inlineStr">
        <is>
          <t>🔴 Avoid</t>
        </is>
      </c>
      <c r="U75" s="76" t="inlineStr">
        <is>
          <t>FULL</t>
        </is>
      </c>
    </row>
    <row r="76" ht="16" customHeight="1">
      <c r="A76" s="84" t="n">
        <v>72</v>
      </c>
      <c r="B76" s="85" t="inlineStr">
        <is>
          <t>JM Aggressive Hybrid Fund (Regular) -Growth Option</t>
        </is>
      </c>
      <c r="C76" s="85" t="inlineStr">
        <is>
          <t>JM Financial Mutual Fund</t>
        </is>
      </c>
      <c r="D76" s="85" t="inlineStr">
        <is>
          <t>Aggressive Hybrid Fund</t>
        </is>
      </c>
      <c r="E76" s="85" t="inlineStr">
        <is>
          <t>Aggressive Hybrid Fund</t>
        </is>
      </c>
      <c r="F76" s="87" t="n">
        <v>0.6</v>
      </c>
      <c r="G76" s="87" t="n">
        <v>1.14</v>
      </c>
      <c r="H76" s="87" t="n">
        <v>1.26</v>
      </c>
      <c r="I76" s="86" t="n">
        <v>-4.8</v>
      </c>
      <c r="J76" s="86" t="n">
        <v>-3.165088939990246</v>
      </c>
      <c r="K76" s="87" t="n">
        <v>43.88</v>
      </c>
      <c r="L76" s="94" t="n">
        <v>58.8</v>
      </c>
      <c r="M76" s="18" t="n">
        <v>0</v>
      </c>
      <c r="N76" s="24" t="n">
        <v>32.3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88" t="inlineStr">
        <is>
          <t>➡️ Neutral</t>
        </is>
      </c>
      <c r="S76" s="88" t="inlineStr">
        <is>
          <t>🔴 Not Qualified</t>
        </is>
      </c>
      <c r="T76" s="88" t="inlineStr">
        <is>
          <t>🔴 Avoid</t>
        </is>
      </c>
      <c r="U76" s="76" t="inlineStr">
        <is>
          <t>FULL</t>
        </is>
      </c>
    </row>
    <row r="77" ht="16" customHeight="1">
      <c r="A77" s="89" t="n">
        <v>73</v>
      </c>
      <c r="B77" s="90" t="inlineStr">
        <is>
          <t>UTI Arbitrage Fund - Regular Plan - Growth Option</t>
        </is>
      </c>
      <c r="C77" s="90" t="inlineStr">
        <is>
          <t>UTI Mutual Fund</t>
        </is>
      </c>
      <c r="D77" s="90" t="inlineStr">
        <is>
          <t>Arbitrage Fund</t>
        </is>
      </c>
      <c r="E77" s="90" t="inlineStr">
        <is>
          <t>Arbitrage Fund</t>
        </is>
      </c>
      <c r="F77" s="92" t="n">
        <v>0.51</v>
      </c>
      <c r="G77" s="92" t="n">
        <v>1.37</v>
      </c>
      <c r="H77" s="92" t="n">
        <v>2.88</v>
      </c>
      <c r="I77" s="92" t="n">
        <v>5.98</v>
      </c>
      <c r="J77" s="92" t="n">
        <v>6.480045078878516</v>
      </c>
      <c r="K77" s="92" t="n">
        <v>22.32</v>
      </c>
      <c r="L77" s="94" t="n">
        <v>58.6</v>
      </c>
      <c r="M77" s="18" t="n">
        <v>0</v>
      </c>
      <c r="N77" s="24" t="n">
        <v>32.3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93" t="inlineStr">
        <is>
          <t>➡️ Neutral</t>
        </is>
      </c>
      <c r="S77" s="93" t="inlineStr">
        <is>
          <t>🔴 Not Qualified</t>
        </is>
      </c>
      <c r="T77" s="93" t="inlineStr">
        <is>
          <t>🔴 Avoid</t>
        </is>
      </c>
      <c r="U77" s="76" t="inlineStr">
        <is>
          <t>FULL</t>
        </is>
      </c>
    </row>
    <row r="78" ht="16" customHeight="1">
      <c r="A78" s="84" t="n">
        <v>74</v>
      </c>
      <c r="B78" s="85" t="inlineStr">
        <is>
          <t>HSBC Conservative Hybrid Fund - Regular Growth</t>
        </is>
      </c>
      <c r="C78" s="85" t="inlineStr">
        <is>
          <t>HSBC Mutual Fund</t>
        </is>
      </c>
      <c r="D78" s="85" t="inlineStr">
        <is>
          <t>Conservative Hybrid Fund</t>
        </is>
      </c>
      <c r="E78" s="85" t="inlineStr">
        <is>
          <t>Conservative Hybrid Fund</t>
        </is>
      </c>
      <c r="F78" s="86" t="n">
        <v>-0.38</v>
      </c>
      <c r="G78" s="87" t="n">
        <v>1.42</v>
      </c>
      <c r="H78" s="87" t="n">
        <v>5.08</v>
      </c>
      <c r="I78" s="87" t="n">
        <v>2.59</v>
      </c>
      <c r="J78" s="87" t="n">
        <v>5.057127316522414</v>
      </c>
      <c r="K78" s="87" t="n">
        <v>28.7</v>
      </c>
      <c r="L78" s="94" t="n">
        <v>57.9</v>
      </c>
      <c r="M78" s="18" t="n">
        <v>0</v>
      </c>
      <c r="N78" s="24" t="n">
        <v>31.8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88" t="inlineStr">
        <is>
          <t>➡️ Neutral</t>
        </is>
      </c>
      <c r="S78" s="88" t="inlineStr">
        <is>
          <t>🔴 Not Qualified</t>
        </is>
      </c>
      <c r="T78" s="88" t="inlineStr">
        <is>
          <t>🔴 Avoid</t>
        </is>
      </c>
      <c r="U78" s="76" t="inlineStr">
        <is>
          <t>FULL</t>
        </is>
      </c>
    </row>
    <row r="79" ht="16" customHeight="1">
      <c r="A79" s="89" t="n">
        <v>75</v>
      </c>
      <c r="B79" s="90" t="inlineStr">
        <is>
          <t>Union Equity Savings Fund - Regular Plan - Growth Option</t>
        </is>
      </c>
      <c r="C79" s="90" t="inlineStr">
        <is>
          <t>Union Mutual Fund</t>
        </is>
      </c>
      <c r="D79" s="90" t="inlineStr">
        <is>
          <t>Equity Savings</t>
        </is>
      </c>
      <c r="E79" s="90" t="inlineStr">
        <is>
          <t>Equity Savings</t>
        </is>
      </c>
      <c r="F79" s="91" t="n">
        <v>-0.12</v>
      </c>
      <c r="G79" s="92" t="n">
        <v>1.47</v>
      </c>
      <c r="H79" s="92" t="n">
        <v>2.31</v>
      </c>
      <c r="I79" s="92" t="n">
        <v>2.55</v>
      </c>
      <c r="J79" s="92" t="n">
        <v>3.469802357982688</v>
      </c>
      <c r="K79" s="92" t="n">
        <v>21.16</v>
      </c>
      <c r="L79" s="94" t="n">
        <v>57.8</v>
      </c>
      <c r="M79" s="18" t="n">
        <v>0</v>
      </c>
      <c r="N79" s="24" t="n">
        <v>31.8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93" t="inlineStr">
        <is>
          <t>➡️ Neutral</t>
        </is>
      </c>
      <c r="S79" s="93" t="inlineStr">
        <is>
          <t>🔴 Not Qualified</t>
        </is>
      </c>
      <c r="T79" s="93" t="inlineStr">
        <is>
          <t>🔴 Avoid</t>
        </is>
      </c>
      <c r="U79" s="76" t="inlineStr">
        <is>
          <t>FULL</t>
        </is>
      </c>
    </row>
    <row r="80" ht="16" customHeight="1">
      <c r="A80" s="84" t="n">
        <v>76</v>
      </c>
      <c r="B80" s="85" t="inlineStr">
        <is>
          <t>BANK OF INDIA BALANCED ADVANTAGE FUND REGULAR PLAN  GROWTH</t>
        </is>
      </c>
      <c r="C80" s="85" t="inlineStr">
        <is>
          <t>Bank of India Mutual Fund</t>
        </is>
      </c>
      <c r="D80" s="85" t="inlineStr">
        <is>
          <t>Dynamic Asset Allocation Or Balanced Advantage</t>
        </is>
      </c>
      <c r="E80" s="85" t="inlineStr">
        <is>
          <t>Dynamic Asset Allocation Or Balanced Advantage</t>
        </is>
      </c>
      <c r="F80" s="86" t="n">
        <v>-0.41</v>
      </c>
      <c r="G80" s="86" t="n">
        <v>-0.43</v>
      </c>
      <c r="H80" s="87" t="n">
        <v>2.55</v>
      </c>
      <c r="I80" s="87" t="n">
        <v>4.38</v>
      </c>
      <c r="J80" s="87" t="n">
        <v>1.955872807798564</v>
      </c>
      <c r="K80" s="87" t="n">
        <v>27.47</v>
      </c>
      <c r="L80" s="94" t="n">
        <v>57.6</v>
      </c>
      <c r="M80" s="18" t="n">
        <v>0</v>
      </c>
      <c r="N80" s="24" t="n">
        <v>31.7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88" t="inlineStr">
        <is>
          <t>➡️ Neutral</t>
        </is>
      </c>
      <c r="S80" s="88" t="inlineStr">
        <is>
          <t>🔴 Not Qualified</t>
        </is>
      </c>
      <c r="T80" s="88" t="inlineStr">
        <is>
          <t>🔴 Avoid</t>
        </is>
      </c>
      <c r="U80" s="76" t="inlineStr">
        <is>
          <t>FULL</t>
        </is>
      </c>
    </row>
    <row r="81" ht="16" customHeight="1">
      <c r="A81" s="89" t="n">
        <v>77</v>
      </c>
      <c r="B81" s="90" t="inlineStr">
        <is>
          <t>Mirae Asset Balanced Advantage Fund Regular Plan- Growth</t>
        </is>
      </c>
      <c r="C81" s="90" t="inlineStr">
        <is>
          <t>Mirae Asset Mutual Fund</t>
        </is>
      </c>
      <c r="D81" s="90" t="inlineStr">
        <is>
          <t>Dynamic Asset Allocation Or Balanced Advantage</t>
        </is>
      </c>
      <c r="E81" s="90" t="inlineStr">
        <is>
          <t>Dynamic Asset Allocation Or Balanced Advantage</t>
        </is>
      </c>
      <c r="F81" s="91" t="n">
        <v>-0.34</v>
      </c>
      <c r="G81" s="92" t="n">
        <v>0.64</v>
      </c>
      <c r="H81" s="92" t="n">
        <v>1.77</v>
      </c>
      <c r="I81" s="92" t="n">
        <v>2.31</v>
      </c>
      <c r="J81" s="92" t="n">
        <v>4.235310715707086</v>
      </c>
      <c r="K81" s="92" t="n">
        <v>30.36</v>
      </c>
      <c r="L81" s="94" t="n">
        <v>57</v>
      </c>
      <c r="M81" s="18" t="n">
        <v>0</v>
      </c>
      <c r="N81" s="24" t="n">
        <v>31.3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93" t="inlineStr">
        <is>
          <t>➡️ Neutral</t>
        </is>
      </c>
      <c r="S81" s="93" t="inlineStr">
        <is>
          <t>🔴 Not Qualified</t>
        </is>
      </c>
      <c r="T81" s="93" t="inlineStr">
        <is>
          <t>🔴 Avoid</t>
        </is>
      </c>
      <c r="U81" s="76" t="inlineStr">
        <is>
          <t>FULL</t>
        </is>
      </c>
    </row>
    <row r="82" ht="16" customHeight="1">
      <c r="A82" s="84" t="n">
        <v>78</v>
      </c>
      <c r="B82" s="85" t="inlineStr">
        <is>
          <t>Axis Balanced Advantage Fund - Regular Plan - Growth</t>
        </is>
      </c>
      <c r="C82" s="85" t="inlineStr">
        <is>
          <t>Axis Mutual Fund</t>
        </is>
      </c>
      <c r="D82" s="85" t="inlineStr">
        <is>
          <t>Dynamic Asset Allocation Or Balanced Advantage</t>
        </is>
      </c>
      <c r="E82" s="85" t="inlineStr">
        <is>
          <t>Dynamic Asset Allocation Or Balanced Advantage</t>
        </is>
      </c>
      <c r="F82" s="86" t="n">
        <v>-0.05</v>
      </c>
      <c r="G82" s="87" t="n">
        <v>0.95</v>
      </c>
      <c r="H82" s="87" t="n">
        <v>0.8</v>
      </c>
      <c r="I82" s="87" t="n">
        <v>1.72</v>
      </c>
      <c r="J82" s="87" t="n">
        <v>3.821962994349137</v>
      </c>
      <c r="K82" s="87" t="n">
        <v>36.75</v>
      </c>
      <c r="L82" s="94" t="n">
        <v>56.7</v>
      </c>
      <c r="M82" s="18" t="n">
        <v>0</v>
      </c>
      <c r="N82" s="24" t="n">
        <v>31.2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88" t="inlineStr">
        <is>
          <t>➡️ Neutral</t>
        </is>
      </c>
      <c r="S82" s="88" t="inlineStr">
        <is>
          <t>🔴 Not Qualified</t>
        </is>
      </c>
      <c r="T82" s="88" t="inlineStr">
        <is>
          <t>🔴 Avoid</t>
        </is>
      </c>
      <c r="U82" s="76" t="inlineStr">
        <is>
          <t>FULL</t>
        </is>
      </c>
    </row>
    <row r="83" ht="16" customHeight="1">
      <c r="A83" s="89" t="n">
        <v>79</v>
      </c>
      <c r="B83" s="90" t="inlineStr">
        <is>
          <t>Nippon India Aggressive Hybrid Fund - Growth Plan</t>
        </is>
      </c>
      <c r="C83" s="90" t="inlineStr">
        <is>
          <t>Nippon India Mutual Fund</t>
        </is>
      </c>
      <c r="D83" s="90" t="inlineStr">
        <is>
          <t>Aggressive Hybrid Fund</t>
        </is>
      </c>
      <c r="E83" s="90" t="inlineStr">
        <is>
          <t>Aggressive Hybrid Fund</t>
        </is>
      </c>
      <c r="F83" s="91" t="n">
        <v>-0.63</v>
      </c>
      <c r="G83" s="92" t="n">
        <v>0.39</v>
      </c>
      <c r="H83" s="92" t="n">
        <v>1.69</v>
      </c>
      <c r="I83" s="92" t="n">
        <v>0.61</v>
      </c>
      <c r="J83" s="92" t="n">
        <v>2.956301409869999</v>
      </c>
      <c r="K83" s="92" t="n">
        <v>35.61</v>
      </c>
      <c r="L83" s="94" t="n">
        <v>56.2</v>
      </c>
      <c r="M83" s="18" t="n">
        <v>0</v>
      </c>
      <c r="N83" s="24" t="n">
        <v>30.9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93" t="inlineStr">
        <is>
          <t>➡️ Neutral</t>
        </is>
      </c>
      <c r="S83" s="93" t="inlineStr">
        <is>
          <t>🔴 Not Qualified</t>
        </is>
      </c>
      <c r="T83" s="93" t="inlineStr">
        <is>
          <t>🔴 Avoid</t>
        </is>
      </c>
      <c r="U83" s="76" t="inlineStr">
        <is>
          <t>FULL</t>
        </is>
      </c>
    </row>
    <row r="84" ht="16" customHeight="1">
      <c r="A84" s="84" t="n">
        <v>80</v>
      </c>
      <c r="B84" s="85" t="inlineStr">
        <is>
          <t>SBI MULTI ASSET ALLOCATION FUND - REGULAR PLAN - GROWTH</t>
        </is>
      </c>
      <c r="C84" s="85" t="inlineStr">
        <is>
          <t>SBI Mutual Fund</t>
        </is>
      </c>
      <c r="D84" s="85" t="inlineStr">
        <is>
          <t>Multi Asset Allocation</t>
        </is>
      </c>
      <c r="E84" s="85" t="inlineStr">
        <is>
          <t>Multi Asset Allocation</t>
        </is>
      </c>
      <c r="F84" s="86" t="n">
        <v>-0.63</v>
      </c>
      <c r="G84" s="87" t="n">
        <v>0.82</v>
      </c>
      <c r="H84" s="87" t="n">
        <v>0.14</v>
      </c>
      <c r="I84" s="87" t="n">
        <v>10.04</v>
      </c>
      <c r="J84" s="87" t="n">
        <v>9.608393839158147</v>
      </c>
      <c r="K84" s="87" t="n">
        <v>52.92</v>
      </c>
      <c r="L84" s="94" t="n">
        <v>56.1</v>
      </c>
      <c r="M84" s="18" t="n">
        <v>0</v>
      </c>
      <c r="N84" s="24" t="n">
        <v>30.9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88" t="inlineStr">
        <is>
          <t>➡️ Neutral</t>
        </is>
      </c>
      <c r="S84" s="88" t="inlineStr">
        <is>
          <t>🔴 Not Qualified</t>
        </is>
      </c>
      <c r="T84" s="88" t="inlineStr">
        <is>
          <t>🔴 Avoid</t>
        </is>
      </c>
      <c r="U84" s="76" t="inlineStr">
        <is>
          <t>FULL</t>
        </is>
      </c>
    </row>
    <row r="85" ht="16" customHeight="1">
      <c r="A85" s="89" t="n">
        <v>81</v>
      </c>
      <c r="B85" s="90" t="inlineStr">
        <is>
          <t>quant Dynamic Asset Allocation Fund - Growth Option - Regular Plan</t>
        </is>
      </c>
      <c r="C85" s="90" t="inlineStr">
        <is>
          <t>quant Mutual Fund</t>
        </is>
      </c>
      <c r="D85" s="90" t="inlineStr">
        <is>
          <t>Dynamic Asset Allocation Or Balanced Advantage</t>
        </is>
      </c>
      <c r="E85" s="90" t="inlineStr">
        <is>
          <t>Dynamic Asset Allocation Or Balanced Advantage</t>
        </is>
      </c>
      <c r="F85" s="91" t="n">
        <v>-2.18</v>
      </c>
      <c r="G85" s="92" t="n">
        <v>1.2</v>
      </c>
      <c r="H85" s="92" t="n">
        <v>5.63</v>
      </c>
      <c r="I85" s="91" t="n">
        <v>-1.87</v>
      </c>
      <c r="J85" s="91" t="n">
        <v>-2.368038020328611</v>
      </c>
      <c r="K85" s="92" t="n">
        <v>45.75</v>
      </c>
      <c r="L85" s="94" t="n">
        <v>55.7</v>
      </c>
      <c r="M85" s="18" t="n">
        <v>0</v>
      </c>
      <c r="N85" s="24" t="n">
        <v>30.6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93" t="inlineStr">
        <is>
          <t>➡️ Neutral</t>
        </is>
      </c>
      <c r="S85" s="93" t="inlineStr">
        <is>
          <t>🔴 Not Qualified</t>
        </is>
      </c>
      <c r="T85" s="93" t="inlineStr">
        <is>
          <t>🔴 Avoid</t>
        </is>
      </c>
      <c r="U85" s="76" t="inlineStr">
        <is>
          <t>FULL</t>
        </is>
      </c>
    </row>
    <row r="86" ht="16" customHeight="1">
      <c r="A86" s="84" t="n">
        <v>82</v>
      </c>
      <c r="B86" s="85" t="inlineStr">
        <is>
          <t>ICICI Prudential Regular Savings Fund - Plan - Growth</t>
        </is>
      </c>
      <c r="C86" s="85" t="inlineStr">
        <is>
          <t>ICICI Prudential Mutual Fund</t>
        </is>
      </c>
      <c r="D86" s="85" t="inlineStr">
        <is>
          <t>Conservative Hybrid Fund</t>
        </is>
      </c>
      <c r="E86" s="85" t="inlineStr">
        <is>
          <t>Conservative Hybrid Fund</t>
        </is>
      </c>
      <c r="F86" s="87" t="n">
        <v>0.15</v>
      </c>
      <c r="G86" s="87" t="n">
        <v>1.49</v>
      </c>
      <c r="H86" s="87" t="n">
        <v>2.23</v>
      </c>
      <c r="I86" s="87" t="n">
        <v>3.63</v>
      </c>
      <c r="J86" s="87" t="n">
        <v>6.117859005918524</v>
      </c>
      <c r="K86" s="87" t="n">
        <v>28.26</v>
      </c>
      <c r="L86" s="94" t="n">
        <v>52.9</v>
      </c>
      <c r="M86" s="18" t="n">
        <v>0</v>
      </c>
      <c r="N86" s="24" t="n">
        <v>29.1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88" t="inlineStr">
        <is>
          <t>➡️ Neutral</t>
        </is>
      </c>
      <c r="S86" s="88" t="inlineStr">
        <is>
          <t>🔴 Not Qualified</t>
        </is>
      </c>
      <c r="T86" s="88" t="inlineStr">
        <is>
          <t>🔴 Avoid</t>
        </is>
      </c>
      <c r="U86" s="76" t="inlineStr">
        <is>
          <t>FULL</t>
        </is>
      </c>
    </row>
    <row r="87" ht="16" customHeight="1">
      <c r="A87" s="89" t="n">
        <v>83</v>
      </c>
      <c r="B87" s="90" t="inlineStr">
        <is>
          <t>Franklin India Equity Savings Fund- Growth</t>
        </is>
      </c>
      <c r="C87" s="90" t="inlineStr">
        <is>
          <t>Franklin Templeton Mutual Fund</t>
        </is>
      </c>
      <c r="D87" s="90" t="inlineStr">
        <is>
          <t>Equity Savings</t>
        </is>
      </c>
      <c r="E87" s="90" t="inlineStr">
        <is>
          <t>Equity Savings</t>
        </is>
      </c>
      <c r="F87" s="92" t="n">
        <v>0.26</v>
      </c>
      <c r="G87" s="92" t="n">
        <v>0.88</v>
      </c>
      <c r="H87" s="92" t="n">
        <v>1.24</v>
      </c>
      <c r="I87" s="92" t="n">
        <v>3.2</v>
      </c>
      <c r="J87" s="92" t="n">
        <v>4.551422754546963</v>
      </c>
      <c r="K87" s="92" t="n">
        <v>22.17</v>
      </c>
      <c r="L87" s="94" t="n">
        <v>52.8</v>
      </c>
      <c r="M87" s="18" t="n">
        <v>0</v>
      </c>
      <c r="N87" s="24" t="n">
        <v>29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93" t="inlineStr">
        <is>
          <t>➡️ Neutral</t>
        </is>
      </c>
      <c r="S87" s="93" t="inlineStr">
        <is>
          <t>🔴 Not Qualified</t>
        </is>
      </c>
      <c r="T87" s="93" t="inlineStr">
        <is>
          <t>🔴 Avoid</t>
        </is>
      </c>
      <c r="U87" s="76" t="inlineStr">
        <is>
          <t>FULL</t>
        </is>
      </c>
    </row>
    <row r="88" ht="16" customHeight="1">
      <c r="A88" s="84" t="n">
        <v>84</v>
      </c>
      <c r="B88" s="85" t="inlineStr">
        <is>
          <t>Axis Arbitrage Fund - Regular Plan - Growth</t>
        </is>
      </c>
      <c r="C88" s="85" t="inlineStr">
        <is>
          <t>Axis Mutual Fund</t>
        </is>
      </c>
      <c r="D88" s="85" t="inlineStr">
        <is>
          <t>Arbitrage Fund</t>
        </is>
      </c>
      <c r="E88" s="85" t="inlineStr">
        <is>
          <t>Arbitrage Fund</t>
        </is>
      </c>
      <c r="F88" s="87" t="n">
        <v>0.52</v>
      </c>
      <c r="G88" s="87" t="n">
        <v>1.36</v>
      </c>
      <c r="H88" s="87" t="n">
        <v>2.87</v>
      </c>
      <c r="I88" s="87" t="n">
        <v>5.88</v>
      </c>
      <c r="J88" s="87" t="n">
        <v>6.30616162763098</v>
      </c>
      <c r="K88" s="87" t="n">
        <v>21.77</v>
      </c>
      <c r="L88" s="94" t="n">
        <v>51.4</v>
      </c>
      <c r="M88" s="18" t="n">
        <v>0</v>
      </c>
      <c r="N88" s="24" t="n">
        <v>28.2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88" t="inlineStr">
        <is>
          <t>➡️ Neutral</t>
        </is>
      </c>
      <c r="S88" s="88" t="inlineStr">
        <is>
          <t>🔴 Not Qualified</t>
        </is>
      </c>
      <c r="T88" s="88" t="inlineStr">
        <is>
          <t>🔴 Avoid</t>
        </is>
      </c>
      <c r="U88" s="76" t="inlineStr">
        <is>
          <t>FULL</t>
        </is>
      </c>
    </row>
    <row r="89" ht="16" customHeight="1">
      <c r="A89" s="89" t="n">
        <v>85</v>
      </c>
      <c r="B89" s="90" t="inlineStr">
        <is>
          <t>DSP Regular Savings Fund- Regular Plan - Growth</t>
        </is>
      </c>
      <c r="C89" s="90" t="inlineStr">
        <is>
          <t>DSP Mutual Fund</t>
        </is>
      </c>
      <c r="D89" s="90" t="inlineStr">
        <is>
          <t>Conservative Hybrid Fund</t>
        </is>
      </c>
      <c r="E89" s="90" t="inlineStr">
        <is>
          <t>Conservative Hybrid Fund</t>
        </is>
      </c>
      <c r="F89" s="92" t="n">
        <v>0.23</v>
      </c>
      <c r="G89" s="92" t="n">
        <v>1.39</v>
      </c>
      <c r="H89" s="92" t="n">
        <v>1.9</v>
      </c>
      <c r="I89" s="92" t="n">
        <v>2.95</v>
      </c>
      <c r="J89" s="92" t="n">
        <v>5.688220724922788</v>
      </c>
      <c r="K89" s="92" t="n">
        <v>27.11</v>
      </c>
      <c r="L89" s="94" t="n">
        <v>51</v>
      </c>
      <c r="M89" s="18" t="n">
        <v>0</v>
      </c>
      <c r="N89" s="24" t="n">
        <v>28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93" t="inlineStr">
        <is>
          <t>➡️ Neutral</t>
        </is>
      </c>
      <c r="S89" s="93" t="inlineStr">
        <is>
          <t>🔴 Not Qualified</t>
        </is>
      </c>
      <c r="T89" s="93" t="inlineStr">
        <is>
          <t>🔴 Avoid</t>
        </is>
      </c>
      <c r="U89" s="76" t="inlineStr">
        <is>
          <t>FULL</t>
        </is>
      </c>
    </row>
    <row r="90" ht="16" customHeight="1">
      <c r="A90" s="84" t="n">
        <v>86</v>
      </c>
      <c r="B90" s="85" t="inlineStr">
        <is>
          <t>Shriram Aggressive Hybrid Fund- Regular Growth</t>
        </is>
      </c>
      <c r="C90" s="85" t="inlineStr">
        <is>
          <t>Shriram Mutual Fund</t>
        </is>
      </c>
      <c r="D90" s="85" t="inlineStr">
        <is>
          <t>Aggressive Hybrid Fund</t>
        </is>
      </c>
      <c r="E90" s="85" t="inlineStr">
        <is>
          <t>Aggressive Hybrid Fund</t>
        </is>
      </c>
      <c r="F90" s="86" t="n">
        <v>-0.64</v>
      </c>
      <c r="G90" s="87" t="n">
        <v>0.71</v>
      </c>
      <c r="H90" s="87" t="n">
        <v>1.02</v>
      </c>
      <c r="I90" s="87" t="n">
        <v>0.12</v>
      </c>
      <c r="J90" s="86" t="n">
        <v>-1.694354180443935</v>
      </c>
      <c r="K90" s="87" t="n">
        <v>26.9</v>
      </c>
      <c r="L90" s="94" t="n">
        <v>50.9</v>
      </c>
      <c r="M90" s="18" t="n">
        <v>0</v>
      </c>
      <c r="N90" s="24" t="n">
        <v>28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88" t="inlineStr">
        <is>
          <t>➡️ Neutral</t>
        </is>
      </c>
      <c r="S90" s="88" t="inlineStr">
        <is>
          <t>🔴 Not Qualified</t>
        </is>
      </c>
      <c r="T90" s="88" t="inlineStr">
        <is>
          <t>🔴 Avoid</t>
        </is>
      </c>
      <c r="U90" s="76" t="inlineStr">
        <is>
          <t>FULL</t>
        </is>
      </c>
    </row>
    <row r="91" ht="16" customHeight="1">
      <c r="A91" s="89" t="n">
        <v>87</v>
      </c>
      <c r="B91" s="90" t="inlineStr">
        <is>
          <t>BARODA BNP PARIBAS Conservative Hybrid Fund-Regular Plan-Growth Option</t>
        </is>
      </c>
      <c r="C91" s="90" t="inlineStr">
        <is>
          <t>Baroda BNP Paribas Mutual Fund</t>
        </is>
      </c>
      <c r="D91" s="90" t="inlineStr">
        <is>
          <t>Conservative Hybrid Fund</t>
        </is>
      </c>
      <c r="E91" s="90" t="inlineStr">
        <is>
          <t>Conservative Hybrid Fund</t>
        </is>
      </c>
      <c r="F91" s="92" t="n">
        <v>0.03</v>
      </c>
      <c r="G91" s="92" t="n">
        <v>1.52</v>
      </c>
      <c r="H91" s="92" t="n">
        <v>2.59</v>
      </c>
      <c r="I91" s="92" t="n">
        <v>2.74</v>
      </c>
      <c r="J91" s="92" t="n">
        <v>4.704345659576137</v>
      </c>
      <c r="K91" s="92" t="n">
        <v>22.94</v>
      </c>
      <c r="L91" s="94" t="n">
        <v>50.7</v>
      </c>
      <c r="M91" s="18" t="n">
        <v>0</v>
      </c>
      <c r="N91" s="24" t="n">
        <v>27.9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93" t="inlineStr">
        <is>
          <t>➡️ Neutral</t>
        </is>
      </c>
      <c r="S91" s="93" t="inlineStr">
        <is>
          <t>🔴 Not Qualified</t>
        </is>
      </c>
      <c r="T91" s="93" t="inlineStr">
        <is>
          <t>🔴 Avoid</t>
        </is>
      </c>
      <c r="U91" s="76" t="inlineStr">
        <is>
          <t>FULL</t>
        </is>
      </c>
    </row>
    <row r="92" ht="16" customHeight="1">
      <c r="A92" s="84" t="n">
        <v>88</v>
      </c>
      <c r="B92" s="85" t="inlineStr">
        <is>
          <t>Union Balanced Advantage Fund - Regular Plan - Growth Option</t>
        </is>
      </c>
      <c r="C92" s="85" t="inlineStr">
        <is>
          <t>Union Mutual Fund</t>
        </is>
      </c>
      <c r="D92" s="85" t="inlineStr">
        <is>
          <t>Dynamic Asset Allocation Or Balanced Advantage</t>
        </is>
      </c>
      <c r="E92" s="85" t="inlineStr">
        <is>
          <t>Dynamic Asset Allocation Or Balanced Advantage</t>
        </is>
      </c>
      <c r="F92" s="86" t="n">
        <v>-0.39</v>
      </c>
      <c r="G92" s="87" t="n">
        <v>0.99</v>
      </c>
      <c r="H92" s="87" t="n">
        <v>1.25</v>
      </c>
      <c r="I92" s="87" t="n">
        <v>0.15</v>
      </c>
      <c r="J92" s="87" t="n">
        <v>1.926444066297139</v>
      </c>
      <c r="K92" s="87" t="n">
        <v>23.9</v>
      </c>
      <c r="L92" s="95" t="n">
        <v>49.5</v>
      </c>
      <c r="M92" s="18" t="n">
        <v>0</v>
      </c>
      <c r="N92" s="24" t="n">
        <v>27.2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88" t="inlineStr">
        <is>
          <t>➡️ Neutral</t>
        </is>
      </c>
      <c r="S92" s="88" t="inlineStr">
        <is>
          <t>🔴 Not Qualified</t>
        </is>
      </c>
      <c r="T92" s="88" t="inlineStr">
        <is>
          <t>🔴 Avoid</t>
        </is>
      </c>
      <c r="U92" s="76" t="inlineStr">
        <is>
          <t>FULL</t>
        </is>
      </c>
    </row>
    <row r="93" ht="16" customHeight="1">
      <c r="A93" s="89" t="n">
        <v>89</v>
      </c>
      <c r="B93" s="90" t="inlineStr">
        <is>
          <t>TATA Arbitrage Fund Regular Plan - Monthly Reinvestment of Income Distribution cum capital withdrawal option</t>
        </is>
      </c>
      <c r="C93" s="90" t="inlineStr">
        <is>
          <t>Tata Mutual Fund</t>
        </is>
      </c>
      <c r="D93" s="90" t="inlineStr">
        <is>
          <t>Arbitrage Fund</t>
        </is>
      </c>
      <c r="E93" s="90" t="inlineStr">
        <is>
          <t>Arbitrage Fund</t>
        </is>
      </c>
      <c r="F93" s="92" t="n">
        <v>0.51</v>
      </c>
      <c r="G93" s="92" t="n">
        <v>1.37</v>
      </c>
      <c r="H93" s="92" t="n">
        <v>2.87</v>
      </c>
      <c r="I93" s="92" t="n">
        <v>5.93</v>
      </c>
      <c r="J93" s="92" t="n">
        <v>6.367288204597932</v>
      </c>
      <c r="K93" s="92" t="n">
        <v>21.83</v>
      </c>
      <c r="L93" s="95" t="n">
        <v>49.2</v>
      </c>
      <c r="M93" s="18" t="n">
        <v>0</v>
      </c>
      <c r="N93" s="24" t="n">
        <v>27.1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93" t="inlineStr">
        <is>
          <t>➡️ Neutral</t>
        </is>
      </c>
      <c r="S93" s="93" t="inlineStr">
        <is>
          <t>🔴 Not Qualified</t>
        </is>
      </c>
      <c r="T93" s="93" t="inlineStr">
        <is>
          <t>🔴 Avoid</t>
        </is>
      </c>
      <c r="U93" s="76" t="inlineStr">
        <is>
          <t>FULL</t>
        </is>
      </c>
    </row>
    <row r="94" ht="16" customHeight="1">
      <c r="A94" s="84" t="n">
        <v>90</v>
      </c>
      <c r="B94" s="85" t="inlineStr">
        <is>
          <t>TATA Arbitrage Fund Regular Plan - Monthly Payout of Income Distribution cum capital withdrawal option</t>
        </is>
      </c>
      <c r="C94" s="85" t="inlineStr">
        <is>
          <t>Tata Mutual Fund</t>
        </is>
      </c>
      <c r="D94" s="85" t="inlineStr">
        <is>
          <t>Arbitrage Fund</t>
        </is>
      </c>
      <c r="E94" s="85" t="inlineStr">
        <is>
          <t>Arbitrage Fund</t>
        </is>
      </c>
      <c r="F94" s="87" t="n">
        <v>0.51</v>
      </c>
      <c r="G94" s="87" t="n">
        <v>1.37</v>
      </c>
      <c r="H94" s="87" t="n">
        <v>2.87</v>
      </c>
      <c r="I94" s="87" t="n">
        <v>5.93</v>
      </c>
      <c r="J94" s="87" t="n">
        <v>6.367288204597932</v>
      </c>
      <c r="K94" s="87" t="n">
        <v>21.83</v>
      </c>
      <c r="L94" s="95" t="n">
        <v>49.2</v>
      </c>
      <c r="M94" s="18" t="n">
        <v>0</v>
      </c>
      <c r="N94" s="24" t="n">
        <v>27.1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88" t="inlineStr">
        <is>
          <t>➡️ Neutral</t>
        </is>
      </c>
      <c r="S94" s="88" t="inlineStr">
        <is>
          <t>🔴 Not Qualified</t>
        </is>
      </c>
      <c r="T94" s="88" t="inlineStr">
        <is>
          <t>🔴 Avoid</t>
        </is>
      </c>
      <c r="U94" s="76" t="inlineStr">
        <is>
          <t>FULL</t>
        </is>
      </c>
    </row>
    <row r="95" ht="16" customHeight="1">
      <c r="A95" s="89" t="n">
        <v>91</v>
      </c>
      <c r="B95" s="90" t="inlineStr">
        <is>
          <t>Tata Arbitrage Fund-Regular Plan-Growth</t>
        </is>
      </c>
      <c r="C95" s="90" t="inlineStr">
        <is>
          <t>Tata Mutual Fund</t>
        </is>
      </c>
      <c r="D95" s="90" t="inlineStr">
        <is>
          <t>Arbitrage Fund</t>
        </is>
      </c>
      <c r="E95" s="90" t="inlineStr">
        <is>
          <t>Arbitrage Fund</t>
        </is>
      </c>
      <c r="F95" s="92" t="n">
        <v>0.51</v>
      </c>
      <c r="G95" s="92" t="n">
        <v>1.37</v>
      </c>
      <c r="H95" s="92" t="n">
        <v>2.87</v>
      </c>
      <c r="I95" s="92" t="n">
        <v>5.93</v>
      </c>
      <c r="J95" s="92" t="n">
        <v>6.362587407415021</v>
      </c>
      <c r="K95" s="92" t="n">
        <v>21.82</v>
      </c>
      <c r="L95" s="95" t="n">
        <v>49.2</v>
      </c>
      <c r="M95" s="18" t="n">
        <v>0</v>
      </c>
      <c r="N95" s="24" t="n">
        <v>27.1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93" t="inlineStr">
        <is>
          <t>➡️ Neutral</t>
        </is>
      </c>
      <c r="S95" s="93" t="inlineStr">
        <is>
          <t>🔴 Not Qualified</t>
        </is>
      </c>
      <c r="T95" s="93" t="inlineStr">
        <is>
          <t>🔴 Avoid</t>
        </is>
      </c>
      <c r="U95" s="76" t="inlineStr">
        <is>
          <t>FULL</t>
        </is>
      </c>
    </row>
    <row r="96" ht="16" customHeight="1">
      <c r="A96" s="84" t="n">
        <v>92</v>
      </c>
      <c r="B96" s="85" t="inlineStr">
        <is>
          <t>Tata Aggressive Hybrid Fund- Regular Plan - Growth Option</t>
        </is>
      </c>
      <c r="C96" s="85" t="inlineStr">
        <is>
          <t>Tata Mutual Fund</t>
        </is>
      </c>
      <c r="D96" s="85" t="inlineStr">
        <is>
          <t>Aggressive Hybrid Fund</t>
        </is>
      </c>
      <c r="E96" s="85" t="inlineStr">
        <is>
          <t>Aggressive Hybrid Fund</t>
        </is>
      </c>
      <c r="F96" s="86" t="n">
        <v>-0.87</v>
      </c>
      <c r="G96" s="87" t="n">
        <v>1.7</v>
      </c>
      <c r="H96" s="87" t="n">
        <v>0.04</v>
      </c>
      <c r="I96" s="86" t="n">
        <v>-0.11</v>
      </c>
      <c r="J96" s="87" t="n">
        <v>0.4888053466653552</v>
      </c>
      <c r="K96" s="87" t="n">
        <v>24.9</v>
      </c>
      <c r="L96" s="95" t="n">
        <v>48.1</v>
      </c>
      <c r="M96" s="18" t="n">
        <v>0</v>
      </c>
      <c r="N96" s="24" t="n">
        <v>26.5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88" t="inlineStr">
        <is>
          <t>➡️ Neutral</t>
        </is>
      </c>
      <c r="S96" s="88" t="inlineStr">
        <is>
          <t>🔴 Not Qualified</t>
        </is>
      </c>
      <c r="T96" s="88" t="inlineStr">
        <is>
          <t>🔴 Avoid</t>
        </is>
      </c>
      <c r="U96" s="76" t="inlineStr">
        <is>
          <t>FULL</t>
        </is>
      </c>
    </row>
    <row r="97" ht="16" customHeight="1">
      <c r="A97" s="89" t="n">
        <v>93</v>
      </c>
      <c r="B97" s="90" t="inlineStr">
        <is>
          <t>HSBC Balanced Advantage Fund - Regular Growth</t>
        </is>
      </c>
      <c r="C97" s="90" t="inlineStr">
        <is>
          <t>HSBC Mutual Fund</t>
        </is>
      </c>
      <c r="D97" s="90" t="inlineStr">
        <is>
          <t>Dynamic Asset Allocation Or Balanced Advantage</t>
        </is>
      </c>
      <c r="E97" s="90" t="inlineStr">
        <is>
          <t>Dynamic Asset Allocation Or Balanced Advantage</t>
        </is>
      </c>
      <c r="F97" s="91" t="n">
        <v>-0.45</v>
      </c>
      <c r="G97" s="92" t="n">
        <v>1.17</v>
      </c>
      <c r="H97" s="92" t="n">
        <v>1.25</v>
      </c>
      <c r="I97" s="91" t="n">
        <v>-0.16</v>
      </c>
      <c r="J97" s="92" t="n">
        <v>2.440226473783236</v>
      </c>
      <c r="K97" s="92" t="n">
        <v>28.34</v>
      </c>
      <c r="L97" s="95" t="n">
        <v>47.8</v>
      </c>
      <c r="M97" s="18" t="n">
        <v>0</v>
      </c>
      <c r="N97" s="24" t="n">
        <v>26.3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93" t="inlineStr">
        <is>
          <t>➡️ Neutral</t>
        </is>
      </c>
      <c r="S97" s="93" t="inlineStr">
        <is>
          <t>🔴 Not Qualified</t>
        </is>
      </c>
      <c r="T97" s="93" t="inlineStr">
        <is>
          <t>🔴 Avoid</t>
        </is>
      </c>
      <c r="U97" s="76" t="inlineStr">
        <is>
          <t>FULL</t>
        </is>
      </c>
    </row>
    <row r="98" ht="16" customHeight="1">
      <c r="A98" s="84" t="n">
        <v>94</v>
      </c>
      <c r="B98" s="85" t="inlineStr">
        <is>
          <t>ICICI Prudential Equity Savings Fund - Cumulative option</t>
        </is>
      </c>
      <c r="C98" s="85" t="inlineStr">
        <is>
          <t>ICICI Prudential Mutual Fund</t>
        </is>
      </c>
      <c r="D98" s="85" t="inlineStr">
        <is>
          <t>Equity Savings</t>
        </is>
      </c>
      <c r="E98" s="85" t="inlineStr">
        <is>
          <t>Equity Savings</t>
        </is>
      </c>
      <c r="F98" s="87" t="n">
        <v>0.52</v>
      </c>
      <c r="G98" s="87" t="n">
        <v>1.04</v>
      </c>
      <c r="H98" s="87" t="n">
        <v>0.3</v>
      </c>
      <c r="I98" s="87" t="n">
        <v>2.7</v>
      </c>
      <c r="J98" s="87" t="n">
        <v>5.099952426249943</v>
      </c>
      <c r="K98" s="87" t="n">
        <v>22.13</v>
      </c>
      <c r="L98" s="95" t="n">
        <v>47.5</v>
      </c>
      <c r="M98" s="18" t="n">
        <v>0</v>
      </c>
      <c r="N98" s="24" t="n">
        <v>26.1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88" t="inlineStr">
        <is>
          <t>➡️ Neutral</t>
        </is>
      </c>
      <c r="S98" s="88" t="inlineStr">
        <is>
          <t>🔴 Not Qualified</t>
        </is>
      </c>
      <c r="T98" s="88" t="inlineStr">
        <is>
          <t>🔴 Avoid</t>
        </is>
      </c>
      <c r="U98" s="76" t="inlineStr">
        <is>
          <t>FULL</t>
        </is>
      </c>
    </row>
    <row r="99" ht="16" customHeight="1">
      <c r="A99" s="89" t="n">
        <v>95</v>
      </c>
      <c r="B99" s="90" t="inlineStr">
        <is>
          <t>UTI Aggressive Hybrid Fund - Regular Plan - Growth</t>
        </is>
      </c>
      <c r="C99" s="90" t="inlineStr">
        <is>
          <t>UTI Mutual Fund</t>
        </is>
      </c>
      <c r="D99" s="90" t="inlineStr">
        <is>
          <t>Aggressive Hybrid Fund</t>
        </is>
      </c>
      <c r="E99" s="90" t="inlineStr">
        <is>
          <t>Aggressive Hybrid Fund</t>
        </is>
      </c>
      <c r="F99" s="91" t="n">
        <v>-0.34</v>
      </c>
      <c r="G99" s="92" t="n">
        <v>0.57</v>
      </c>
      <c r="H99" s="91" t="n">
        <v>-0.83</v>
      </c>
      <c r="I99" s="91" t="n">
        <v>-1.02</v>
      </c>
      <c r="J99" s="92" t="n">
        <v>1.852835012089882</v>
      </c>
      <c r="K99" s="92" t="n">
        <v>37.59</v>
      </c>
      <c r="L99" s="95" t="n">
        <v>47.2</v>
      </c>
      <c r="M99" s="18" t="n">
        <v>0</v>
      </c>
      <c r="N99" s="24" t="n">
        <v>26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93" t="inlineStr">
        <is>
          <t>➡️ Neutral</t>
        </is>
      </c>
      <c r="S99" s="93" t="inlineStr">
        <is>
          <t>🔴 Not Qualified</t>
        </is>
      </c>
      <c r="T99" s="93" t="inlineStr">
        <is>
          <t>🔴 Avoid</t>
        </is>
      </c>
      <c r="U99" s="76" t="inlineStr">
        <is>
          <t>FULL</t>
        </is>
      </c>
    </row>
    <row r="100" ht="16" customHeight="1">
      <c r="A100" s="84" t="n">
        <v>96</v>
      </c>
      <c r="B100" s="85" t="inlineStr">
        <is>
          <t>Mirae Asset Aggressive Hybrid Fund - Regular Plan - Growth</t>
        </is>
      </c>
      <c r="C100" s="85" t="inlineStr">
        <is>
          <t>Mirae Asset Mutual Fund</t>
        </is>
      </c>
      <c r="D100" s="85" t="inlineStr">
        <is>
          <t>Aggressive Hybrid Fund</t>
        </is>
      </c>
      <c r="E100" s="85" t="inlineStr">
        <is>
          <t>Aggressive Hybrid Fund</t>
        </is>
      </c>
      <c r="F100" s="86" t="n">
        <v>-0.85</v>
      </c>
      <c r="G100" s="87" t="n">
        <v>0.14</v>
      </c>
      <c r="H100" s="87" t="n">
        <v>1.26</v>
      </c>
      <c r="I100" s="87" t="n">
        <v>1.41</v>
      </c>
      <c r="J100" s="87" t="n">
        <v>3.363436475380399</v>
      </c>
      <c r="K100" s="87" t="n">
        <v>33.63</v>
      </c>
      <c r="L100" s="95" t="n">
        <v>47</v>
      </c>
      <c r="M100" s="18" t="n">
        <v>0</v>
      </c>
      <c r="N100" s="24" t="n">
        <v>25.8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88" t="inlineStr">
        <is>
          <t>➡️ Neutral</t>
        </is>
      </c>
      <c r="S100" s="88" t="inlineStr">
        <is>
          <t>🔴 Not Qualified</t>
        </is>
      </c>
      <c r="T100" s="88" t="inlineStr">
        <is>
          <t>🔴 Avoid</t>
        </is>
      </c>
      <c r="U100" s="76" t="inlineStr">
        <is>
          <t>FULL</t>
        </is>
      </c>
    </row>
    <row r="101" ht="16" customHeight="1">
      <c r="A101" s="89" t="n">
        <v>97</v>
      </c>
      <c r="B101" s="90" t="inlineStr">
        <is>
          <t>SBI Balanced Advantage Fund - Regular Plan - Growth</t>
        </is>
      </c>
      <c r="C101" s="90" t="inlineStr">
        <is>
          <t>SBI Mutual Fund</t>
        </is>
      </c>
      <c r="D101" s="90" t="inlineStr">
        <is>
          <t>Dynamic Asset Allocation Or Balanced Advantage</t>
        </is>
      </c>
      <c r="E101" s="90" t="inlineStr">
        <is>
          <t>Dynamic Asset Allocation Or Balanced Advantage</t>
        </is>
      </c>
      <c r="F101" s="91" t="n">
        <v>-0.51</v>
      </c>
      <c r="G101" s="92" t="n">
        <v>0.15</v>
      </c>
      <c r="H101" s="92" t="n">
        <v>0.32</v>
      </c>
      <c r="I101" s="92" t="n">
        <v>2.68</v>
      </c>
      <c r="J101" s="92" t="n">
        <v>4.297650980259382</v>
      </c>
      <c r="K101" s="92" t="n">
        <v>32.44</v>
      </c>
      <c r="L101" s="95" t="n">
        <v>45.4</v>
      </c>
      <c r="M101" s="18" t="n">
        <v>0</v>
      </c>
      <c r="N101" s="24" t="n">
        <v>25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93" t="inlineStr">
        <is>
          <t>➡️ Neutral</t>
        </is>
      </c>
      <c r="S101" s="93" t="inlineStr">
        <is>
          <t>🔴 Not Qualified</t>
        </is>
      </c>
      <c r="T101" s="93" t="inlineStr">
        <is>
          <t>🔴 Avoid</t>
        </is>
      </c>
      <c r="U101" s="76" t="inlineStr">
        <is>
          <t>FULL</t>
        </is>
      </c>
    </row>
    <row r="102" ht="16" customHeight="1">
      <c r="A102" s="84" t="n">
        <v>98</v>
      </c>
      <c r="B102" s="85" t="inlineStr">
        <is>
          <t>UTI Conservative Hybrid Fund - Regular Plan - Growth Option</t>
        </is>
      </c>
      <c r="C102" s="85" t="inlineStr">
        <is>
          <t>UTI Mutual Fund</t>
        </is>
      </c>
      <c r="D102" s="85" t="inlineStr">
        <is>
          <t>Conservative Hybrid Fund</t>
        </is>
      </c>
      <c r="E102" s="85" t="inlineStr">
        <is>
          <t>Conservative Hybrid Fund</t>
        </is>
      </c>
      <c r="F102" s="87" t="n">
        <v>0.27</v>
      </c>
      <c r="G102" s="87" t="n">
        <v>1.59</v>
      </c>
      <c r="H102" s="87" t="n">
        <v>1.33</v>
      </c>
      <c r="I102" s="87" t="n">
        <v>1.11</v>
      </c>
      <c r="J102" s="87" t="n">
        <v>4.350371345769544</v>
      </c>
      <c r="K102" s="87" t="n">
        <v>25.1</v>
      </c>
      <c r="L102" s="95" t="n">
        <v>45.4</v>
      </c>
      <c r="M102" s="18" t="n">
        <v>0</v>
      </c>
      <c r="N102" s="24" t="n">
        <v>24.9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88" t="inlineStr">
        <is>
          <t>➡️ Neutral</t>
        </is>
      </c>
      <c r="S102" s="88" t="inlineStr">
        <is>
          <t>🔴 Not Qualified</t>
        </is>
      </c>
      <c r="T102" s="88" t="inlineStr">
        <is>
          <t>🔴 Avoid</t>
        </is>
      </c>
      <c r="U102" s="76" t="inlineStr">
        <is>
          <t>FULL</t>
        </is>
      </c>
    </row>
    <row r="103" ht="16" customHeight="1">
      <c r="A103" s="89" t="n">
        <v>99</v>
      </c>
      <c r="B103" s="90" t="inlineStr">
        <is>
          <t>UTI Conservative Hybrd Fund - Regular Plan - Monthly Payment Option</t>
        </is>
      </c>
      <c r="C103" s="90" t="inlineStr">
        <is>
          <t>UTI Mutual Fund</t>
        </is>
      </c>
      <c r="D103" s="90" t="inlineStr">
        <is>
          <t>Conservative Hybrid Fund</t>
        </is>
      </c>
      <c r="E103" s="90" t="inlineStr">
        <is>
          <t>Conservative Hybrid Fund</t>
        </is>
      </c>
      <c r="F103" s="92" t="n">
        <v>0.27</v>
      </c>
      <c r="G103" s="92" t="n">
        <v>1.59</v>
      </c>
      <c r="H103" s="92" t="n">
        <v>1.33</v>
      </c>
      <c r="I103" s="92" t="n">
        <v>1.11</v>
      </c>
      <c r="J103" s="92" t="n">
        <v>4.350371345769544</v>
      </c>
      <c r="K103" s="92" t="n">
        <v>25.1</v>
      </c>
      <c r="L103" s="95" t="n">
        <v>45.4</v>
      </c>
      <c r="M103" s="18" t="n">
        <v>0</v>
      </c>
      <c r="N103" s="24" t="n">
        <v>24.9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93" t="inlineStr">
        <is>
          <t>➡️ Neutral</t>
        </is>
      </c>
      <c r="S103" s="93" t="inlineStr">
        <is>
          <t>🔴 Not Qualified</t>
        </is>
      </c>
      <c r="T103" s="93" t="inlineStr">
        <is>
          <t>🔴 Avoid</t>
        </is>
      </c>
      <c r="U103" s="76" t="inlineStr">
        <is>
          <t>FULL</t>
        </is>
      </c>
    </row>
    <row r="104" ht="16" customHeight="1">
      <c r="A104" s="84" t="n">
        <v>100</v>
      </c>
      <c r="B104" s="85" t="inlineStr">
        <is>
          <t>Baroda BNP Paribas Multi Asset Fund - Regular Plan - Growth Option</t>
        </is>
      </c>
      <c r="C104" s="85" t="inlineStr">
        <is>
          <t>Baroda BNP Paribas Mutual Fund</t>
        </is>
      </c>
      <c r="D104" s="85" t="inlineStr">
        <is>
          <t>Multi Asset Allocation</t>
        </is>
      </c>
      <c r="E104" s="85" t="inlineStr">
        <is>
          <t>Multi Asset Allocation</t>
        </is>
      </c>
      <c r="F104" s="86" t="n">
        <v>-1.38</v>
      </c>
      <c r="G104" s="86" t="n">
        <v>-0.36</v>
      </c>
      <c r="H104" s="87" t="n">
        <v>0.86</v>
      </c>
      <c r="I104" s="87" t="n">
        <v>6.68</v>
      </c>
      <c r="J104" s="87" t="n">
        <v>6.141415102682712</v>
      </c>
      <c r="K104" s="87" t="n">
        <v>47.66</v>
      </c>
      <c r="L104" s="95" t="n">
        <v>45.3</v>
      </c>
      <c r="M104" s="18" t="n">
        <v>0</v>
      </c>
      <c r="N104" s="24" t="n">
        <v>24.9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88" t="inlineStr">
        <is>
          <t>➡️ Neutral</t>
        </is>
      </c>
      <c r="S104" s="88" t="inlineStr">
        <is>
          <t>🔴 Not Qualified</t>
        </is>
      </c>
      <c r="T104" s="88" t="inlineStr">
        <is>
          <t>🔴 Avoid</t>
        </is>
      </c>
      <c r="U104" s="76" t="inlineStr">
        <is>
          <t>FULL</t>
        </is>
      </c>
    </row>
    <row r="105" ht="16" customHeight="1">
      <c r="A105" s="89" t="n">
        <v>101</v>
      </c>
      <c r="B105" s="90" t="inlineStr">
        <is>
          <t>ICICI Prudential Multi-Asset Fund - Growth</t>
        </is>
      </c>
      <c r="C105" s="90" t="inlineStr">
        <is>
          <t>ICICI Prudential Mutual Fund</t>
        </is>
      </c>
      <c r="D105" s="90" t="inlineStr">
        <is>
          <t>Multi Asset Allocation</t>
        </is>
      </c>
      <c r="E105" s="90" t="inlineStr">
        <is>
          <t>Multi Asset Allocation</t>
        </is>
      </c>
      <c r="F105" s="91" t="n">
        <v>-0.07000000000000001</v>
      </c>
      <c r="G105" s="91" t="n">
        <v>-0.11</v>
      </c>
      <c r="H105" s="91" t="n">
        <v>-0.24</v>
      </c>
      <c r="I105" s="92" t="n">
        <v>6.02</v>
      </c>
      <c r="J105" s="92" t="n">
        <v>7.874927578191215</v>
      </c>
      <c r="K105" s="92" t="n">
        <v>52.83</v>
      </c>
      <c r="L105" s="95" t="n">
        <v>44.2</v>
      </c>
      <c r="M105" s="18" t="n">
        <v>0</v>
      </c>
      <c r="N105" s="24" t="n">
        <v>24.3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93" t="inlineStr">
        <is>
          <t>➡️ Neutral</t>
        </is>
      </c>
      <c r="S105" s="93" t="inlineStr">
        <is>
          <t>🔴 Not Qualified</t>
        </is>
      </c>
      <c r="T105" s="93" t="inlineStr">
        <is>
          <t>🔴 Avoid</t>
        </is>
      </c>
      <c r="U105" s="76" t="inlineStr">
        <is>
          <t>FULL</t>
        </is>
      </c>
    </row>
    <row r="106" ht="16" customHeight="1">
      <c r="A106" s="84" t="n">
        <v>102</v>
      </c>
      <c r="B106" s="85" t="inlineStr">
        <is>
          <t>Baroda BNP Paribas Equity Savings Fund - Regular Plan - Growth</t>
        </is>
      </c>
      <c r="C106" s="85" t="inlineStr">
        <is>
          <t>Baroda BNP Paribas Mutual Fund</t>
        </is>
      </c>
      <c r="D106" s="85" t="inlineStr">
        <is>
          <t>Equity Savings</t>
        </is>
      </c>
      <c r="E106" s="85" t="inlineStr">
        <is>
          <t>Equity Savings</t>
        </is>
      </c>
      <c r="F106" s="86" t="n">
        <v>-0.35</v>
      </c>
      <c r="G106" s="87" t="n">
        <v>1.04</v>
      </c>
      <c r="H106" s="87" t="n">
        <v>1.92</v>
      </c>
      <c r="I106" s="87" t="n">
        <v>2.95</v>
      </c>
      <c r="J106" s="87" t="n">
        <v>4.990475758518209</v>
      </c>
      <c r="K106" s="87" t="n">
        <v>27.02</v>
      </c>
      <c r="L106" s="95" t="n">
        <v>43.6</v>
      </c>
      <c r="M106" s="18" t="n">
        <v>0</v>
      </c>
      <c r="N106" s="24" t="n">
        <v>24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88" t="inlineStr">
        <is>
          <t>➡️ Neutral</t>
        </is>
      </c>
      <c r="S106" s="88" t="inlineStr">
        <is>
          <t>🔴 Not Qualified</t>
        </is>
      </c>
      <c r="T106" s="88" t="inlineStr">
        <is>
          <t>🔴 Avoid</t>
        </is>
      </c>
      <c r="U106" s="76" t="inlineStr">
        <is>
          <t>FULL</t>
        </is>
      </c>
    </row>
    <row r="107" ht="16" customHeight="1">
      <c r="A107" s="89" t="n">
        <v>103</v>
      </c>
      <c r="B107" s="90" t="inlineStr">
        <is>
          <t>BANDHAN Conservative Hybrid Fund - Regular Plan - Growth</t>
        </is>
      </c>
      <c r="C107" s="90" t="inlineStr">
        <is>
          <t>Bandhan Mutual Fund</t>
        </is>
      </c>
      <c r="D107" s="90" t="inlineStr">
        <is>
          <t>Conservative Hybrid Fund</t>
        </is>
      </c>
      <c r="E107" s="90" t="inlineStr">
        <is>
          <t>Conservative Hybrid Fund</t>
        </is>
      </c>
      <c r="F107" s="92" t="n">
        <v>0.59</v>
      </c>
      <c r="G107" s="92" t="n">
        <v>1.14</v>
      </c>
      <c r="H107" s="92" t="n">
        <v>1.08</v>
      </c>
      <c r="I107" s="92" t="n">
        <v>2.09</v>
      </c>
      <c r="J107" s="92" t="n">
        <v>3.759336929261448</v>
      </c>
      <c r="K107" s="92" t="n">
        <v>20.24</v>
      </c>
      <c r="L107" s="95" t="n">
        <v>42.5</v>
      </c>
      <c r="M107" s="18" t="n">
        <v>0</v>
      </c>
      <c r="N107" s="24" t="n">
        <v>23.4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93" t="inlineStr">
        <is>
          <t>➡️ Neutral</t>
        </is>
      </c>
      <c r="S107" s="93" t="inlineStr">
        <is>
          <t>🔴 Not Qualified</t>
        </is>
      </c>
      <c r="T107" s="93" t="inlineStr">
        <is>
          <t>🔴 Avoid</t>
        </is>
      </c>
      <c r="U107" s="76" t="inlineStr">
        <is>
          <t>FULL</t>
        </is>
      </c>
    </row>
    <row r="108" ht="16" customHeight="1">
      <c r="A108" s="84" t="n">
        <v>104</v>
      </c>
      <c r="B108" s="85" t="inlineStr">
        <is>
          <t>LIC MF Balanced Advantage Fund-Regular Plan-Growth</t>
        </is>
      </c>
      <c r="C108" s="85" t="inlineStr">
        <is>
          <t>LIC Mutual Fund</t>
        </is>
      </c>
      <c r="D108" s="85" t="inlineStr">
        <is>
          <t>Dynamic Asset Allocation Or Balanced Advantage</t>
        </is>
      </c>
      <c r="E108" s="85" t="inlineStr">
        <is>
          <t>Dynamic Asset Allocation Or Balanced Advantage</t>
        </is>
      </c>
      <c r="F108" s="86" t="n">
        <v>-0.38</v>
      </c>
      <c r="G108" s="87" t="n">
        <v>1.33</v>
      </c>
      <c r="H108" s="87" t="n">
        <v>0.96</v>
      </c>
      <c r="I108" s="86" t="n">
        <v>-3.32</v>
      </c>
      <c r="J108" s="87" t="n">
        <v>1.730034896288113</v>
      </c>
      <c r="K108" s="87" t="n">
        <v>19.11</v>
      </c>
      <c r="L108" s="95" t="n">
        <v>41.3</v>
      </c>
      <c r="M108" s="18" t="n">
        <v>0</v>
      </c>
      <c r="N108" s="24" t="n">
        <v>22.7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88" t="inlineStr">
        <is>
          <t>➡️ Neutral</t>
        </is>
      </c>
      <c r="S108" s="88" t="inlineStr">
        <is>
          <t>🔴 Not Qualified</t>
        </is>
      </c>
      <c r="T108" s="88" t="inlineStr">
        <is>
          <t>🔴 Avoid</t>
        </is>
      </c>
      <c r="U108" s="76" t="inlineStr">
        <is>
          <t>FULL</t>
        </is>
      </c>
    </row>
    <row r="109" ht="16" customHeight="1">
      <c r="A109" s="89" t="n">
        <v>105</v>
      </c>
      <c r="B109" s="90" t="inlineStr">
        <is>
          <t>UTI Multi Asset Allocation Fund - Regular Plan - Growth Option</t>
        </is>
      </c>
      <c r="C109" s="90" t="inlineStr">
        <is>
          <t>UTI Mutual Fund</t>
        </is>
      </c>
      <c r="D109" s="90" t="inlineStr">
        <is>
          <t>Multi Asset Allocation</t>
        </is>
      </c>
      <c r="E109" s="90" t="inlineStr">
        <is>
          <t>Multi Asset Allocation</t>
        </is>
      </c>
      <c r="F109" s="91" t="n">
        <v>-0.53</v>
      </c>
      <c r="G109" s="92" t="n">
        <v>0.49</v>
      </c>
      <c r="H109" s="91" t="n">
        <v>-1.27</v>
      </c>
      <c r="I109" s="92" t="n">
        <v>4.48</v>
      </c>
      <c r="J109" s="92" t="n">
        <v>5.399240983984321</v>
      </c>
      <c r="K109" s="92" t="n">
        <v>52.2</v>
      </c>
      <c r="L109" s="95" t="n">
        <v>39.7</v>
      </c>
      <c r="M109" s="18" t="n">
        <v>0</v>
      </c>
      <c r="N109" s="24" t="n">
        <v>21.8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93" t="inlineStr">
        <is>
          <t>📉 Weak</t>
        </is>
      </c>
      <c r="S109" s="93" t="inlineStr">
        <is>
          <t>🔴 Not Qualified</t>
        </is>
      </c>
      <c r="T109" s="93" t="inlineStr">
        <is>
          <t>🔴 Avoid</t>
        </is>
      </c>
      <c r="U109" s="76" t="inlineStr">
        <is>
          <t>FULL</t>
        </is>
      </c>
    </row>
    <row r="110" ht="16" customHeight="1">
      <c r="A110" s="84" t="n">
        <v>106</v>
      </c>
      <c r="B110" s="85" t="inlineStr">
        <is>
          <t>DSP Arbitrage Fund - Regular - Growth</t>
        </is>
      </c>
      <c r="C110" s="85" t="inlineStr">
        <is>
          <t>DSP Mutual Fund</t>
        </is>
      </c>
      <c r="D110" s="85" t="inlineStr">
        <is>
          <t>Arbitrage Fund</t>
        </is>
      </c>
      <c r="E110" s="85" t="inlineStr">
        <is>
          <t>Arbitrage Fund</t>
        </is>
      </c>
      <c r="F110" s="87" t="n">
        <v>0.5</v>
      </c>
      <c r="G110" s="87" t="n">
        <v>1.33</v>
      </c>
      <c r="H110" s="87" t="n">
        <v>2.81</v>
      </c>
      <c r="I110" s="87" t="n">
        <v>5.78</v>
      </c>
      <c r="J110" s="87" t="n">
        <v>6.212052046836947</v>
      </c>
      <c r="K110" s="87" t="n">
        <v>21.38</v>
      </c>
      <c r="L110" s="95" t="n">
        <v>35.7</v>
      </c>
      <c r="M110" s="18" t="n">
        <v>0</v>
      </c>
      <c r="N110" s="24" t="n">
        <v>19.6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88" t="inlineStr">
        <is>
          <t>📉 Weak</t>
        </is>
      </c>
      <c r="S110" s="88" t="inlineStr">
        <is>
          <t>🔴 Not Qualified</t>
        </is>
      </c>
      <c r="T110" s="88" t="inlineStr">
        <is>
          <t>🔴 Avoid</t>
        </is>
      </c>
      <c r="U110" s="76" t="inlineStr">
        <is>
          <t>FULL</t>
        </is>
      </c>
    </row>
    <row r="111" ht="16" customHeight="1">
      <c r="A111" s="89" t="n">
        <v>107</v>
      </c>
      <c r="B111" s="90" t="inlineStr">
        <is>
          <t>BANDHAN Arbitrage Fund - Regular Plan - Growth</t>
        </is>
      </c>
      <c r="C111" s="90" t="inlineStr">
        <is>
          <t>Bandhan Mutual Fund</t>
        </is>
      </c>
      <c r="D111" s="90" t="inlineStr">
        <is>
          <t>Arbitrage Fund</t>
        </is>
      </c>
      <c r="E111" s="90" t="inlineStr">
        <is>
          <t>Arbitrage Fund</t>
        </is>
      </c>
      <c r="F111" s="92" t="n">
        <v>0.51</v>
      </c>
      <c r="G111" s="92" t="n">
        <v>1.33</v>
      </c>
      <c r="H111" s="92" t="n">
        <v>2.77</v>
      </c>
      <c r="I111" s="92" t="n">
        <v>5.63</v>
      </c>
      <c r="J111" s="92" t="n">
        <v>6.197928416706877</v>
      </c>
      <c r="K111" s="92" t="n">
        <v>21.48</v>
      </c>
      <c r="L111" s="95" t="n">
        <v>34.9</v>
      </c>
      <c r="M111" s="18" t="n">
        <v>0</v>
      </c>
      <c r="N111" s="24" t="n">
        <v>19.2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93" t="inlineStr">
        <is>
          <t>📉 Weak</t>
        </is>
      </c>
      <c r="S111" s="93" t="inlineStr">
        <is>
          <t>🔴 Not Qualified</t>
        </is>
      </c>
      <c r="T111" s="93" t="inlineStr">
        <is>
          <t>🔴 Avoid</t>
        </is>
      </c>
      <c r="U111" s="76" t="inlineStr">
        <is>
          <t>FULL</t>
        </is>
      </c>
    </row>
    <row r="112" ht="16" customHeight="1">
      <c r="A112" s="84" t="n">
        <v>108</v>
      </c>
      <c r="B112" s="85" t="inlineStr">
        <is>
          <t>Baroda BNP Paribas Aggressive Hybrid Fund- REGULAT PLAN -GROWTH OPTION</t>
        </is>
      </c>
      <c r="C112" s="85" t="inlineStr">
        <is>
          <t>Baroda BNP Paribas Mutual Fund</t>
        </is>
      </c>
      <c r="D112" s="85" t="inlineStr">
        <is>
          <t>Aggressive Hybrid Fund</t>
        </is>
      </c>
      <c r="E112" s="85" t="inlineStr">
        <is>
          <t>Aggressive Hybrid Fund</t>
        </is>
      </c>
      <c r="F112" s="86" t="n">
        <v>-1.18</v>
      </c>
      <c r="G112" s="87" t="n">
        <v>0.29</v>
      </c>
      <c r="H112" s="87" t="n">
        <v>1.03</v>
      </c>
      <c r="I112" s="86" t="n">
        <v>-1.23</v>
      </c>
      <c r="J112" s="87" t="n">
        <v>1.187943945906911</v>
      </c>
      <c r="K112" s="87" t="n">
        <v>33.76</v>
      </c>
      <c r="L112" s="95" t="n">
        <v>33.8</v>
      </c>
      <c r="M112" s="18" t="n">
        <v>0</v>
      </c>
      <c r="N112" s="24" t="n">
        <v>18.6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88" t="inlineStr">
        <is>
          <t>📉 Weak</t>
        </is>
      </c>
      <c r="S112" s="88" t="inlineStr">
        <is>
          <t>🔴 Not Qualified</t>
        </is>
      </c>
      <c r="T112" s="88" t="inlineStr">
        <is>
          <t>🔴 Avoid</t>
        </is>
      </c>
      <c r="U112" s="76" t="inlineStr">
        <is>
          <t>FULL</t>
        </is>
      </c>
    </row>
    <row r="113" ht="16" customHeight="1">
      <c r="A113" s="89" t="n">
        <v>109</v>
      </c>
      <c r="B113" s="90" t="inlineStr">
        <is>
          <t>Franklin India Balanced Advantage Fund- Growth</t>
        </is>
      </c>
      <c r="C113" s="90" t="inlineStr">
        <is>
          <t>Franklin Templeton Mutual Fund</t>
        </is>
      </c>
      <c r="D113" s="90" t="inlineStr">
        <is>
          <t>Dynamic Asset Allocation Or Balanced Advantage</t>
        </is>
      </c>
      <c r="E113" s="90" t="inlineStr">
        <is>
          <t>Dynamic Asset Allocation Or Balanced Advantage</t>
        </is>
      </c>
      <c r="F113" s="91" t="n">
        <v>-0.64</v>
      </c>
      <c r="G113" s="92" t="n">
        <v>0.05</v>
      </c>
      <c r="H113" s="92" t="n">
        <v>0.53</v>
      </c>
      <c r="I113" s="91" t="n">
        <v>-0.91</v>
      </c>
      <c r="J113" s="92" t="n">
        <v>2.40117186829456</v>
      </c>
      <c r="K113" s="92" t="n">
        <v>30.98</v>
      </c>
      <c r="L113" s="95" t="n">
        <v>33.4</v>
      </c>
      <c r="M113" s="18" t="n">
        <v>0</v>
      </c>
      <c r="N113" s="24" t="n">
        <v>18.4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93" t="inlineStr">
        <is>
          <t>📉 Weak</t>
        </is>
      </c>
      <c r="S113" s="93" t="inlineStr">
        <is>
          <t>🔴 Not Qualified</t>
        </is>
      </c>
      <c r="T113" s="93" t="inlineStr">
        <is>
          <t>🔴 Avoid</t>
        </is>
      </c>
      <c r="U113" s="76" t="inlineStr">
        <is>
          <t>FULL</t>
        </is>
      </c>
    </row>
    <row r="114" ht="16" customHeight="1">
      <c r="A114" s="84" t="n">
        <v>110</v>
      </c>
      <c r="B114" s="85" t="inlineStr">
        <is>
          <t>Kotak Debt Hybrid - Growth</t>
        </is>
      </c>
      <c r="C114" s="85" t="inlineStr">
        <is>
          <t>Kotak Mahindra Mutual Fund</t>
        </is>
      </c>
      <c r="D114" s="85" t="inlineStr">
        <is>
          <t>Conservative Hybrid Fund</t>
        </is>
      </c>
      <c r="E114" s="85" t="inlineStr">
        <is>
          <t>Conservative Hybrid Fund</t>
        </is>
      </c>
      <c r="F114" s="87" t="n">
        <v>0.24</v>
      </c>
      <c r="G114" s="87" t="n">
        <v>1.31</v>
      </c>
      <c r="H114" s="87" t="n">
        <v>1.25</v>
      </c>
      <c r="I114" s="87" t="n">
        <v>1.16</v>
      </c>
      <c r="J114" s="87" t="n">
        <v>3.841224954254074</v>
      </c>
      <c r="K114" s="87" t="n">
        <v>25.21</v>
      </c>
      <c r="L114" s="95" t="n">
        <v>33.2</v>
      </c>
      <c r="M114" s="18" t="n">
        <v>0</v>
      </c>
      <c r="N114" s="24" t="n">
        <v>18.3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88" t="inlineStr">
        <is>
          <t>📉 Weak</t>
        </is>
      </c>
      <c r="S114" s="88" t="inlineStr">
        <is>
          <t>🔴 Not Qualified</t>
        </is>
      </c>
      <c r="T114" s="88" t="inlineStr">
        <is>
          <t>🔴 Avoid</t>
        </is>
      </c>
      <c r="U114" s="76" t="inlineStr">
        <is>
          <t>FULL</t>
        </is>
      </c>
    </row>
    <row r="115" ht="16" customHeight="1">
      <c r="A115" s="89" t="n">
        <v>111</v>
      </c>
      <c r="B115" s="90" t="inlineStr">
        <is>
          <t>HDFC Equity Savings Fund - GROWTH PLAN</t>
        </is>
      </c>
      <c r="C115" s="90" t="inlineStr">
        <is>
          <t>HDFC Mutual Fund</t>
        </is>
      </c>
      <c r="D115" s="90" t="inlineStr">
        <is>
          <t>Equity Savings</t>
        </is>
      </c>
      <c r="E115" s="90" t="inlineStr">
        <is>
          <t>Equity Savings</t>
        </is>
      </c>
      <c r="F115" s="92" t="n">
        <v>0.02</v>
      </c>
      <c r="G115" s="92" t="n">
        <v>0.62</v>
      </c>
      <c r="H115" s="92" t="n">
        <v>0.44</v>
      </c>
      <c r="I115" s="92" t="n">
        <v>2.2</v>
      </c>
      <c r="J115" s="92" t="n">
        <v>3.498792263484884</v>
      </c>
      <c r="K115" s="92" t="n">
        <v>25.4</v>
      </c>
      <c r="L115" s="95" t="n">
        <v>32.9</v>
      </c>
      <c r="M115" s="18" t="n">
        <v>0</v>
      </c>
      <c r="N115" s="24" t="n">
        <v>18.1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93" t="inlineStr">
        <is>
          <t>📉 Weak</t>
        </is>
      </c>
      <c r="S115" s="93" t="inlineStr">
        <is>
          <t>🔴 Not Qualified</t>
        </is>
      </c>
      <c r="T115" s="93" t="inlineStr">
        <is>
          <t>🔴 Avoid</t>
        </is>
      </c>
      <c r="U115" s="76" t="inlineStr">
        <is>
          <t>FULL</t>
        </is>
      </c>
    </row>
    <row r="116" ht="16" customHeight="1">
      <c r="A116" s="84" t="n">
        <v>112</v>
      </c>
      <c r="B116" s="85" t="inlineStr">
        <is>
          <t>HDFC Hybrid Debt Fund - Growth Plan</t>
        </is>
      </c>
      <c r="C116" s="85" t="inlineStr">
        <is>
          <t>HDFC Mutual Fund</t>
        </is>
      </c>
      <c r="D116" s="85" t="inlineStr">
        <is>
          <t>Conservative Hybrid Fund</t>
        </is>
      </c>
      <c r="E116" s="85" t="inlineStr">
        <is>
          <t>Conservative Hybrid Fund</t>
        </is>
      </c>
      <c r="F116" s="87" t="n">
        <v>0.19</v>
      </c>
      <c r="G116" s="87" t="n">
        <v>1.11</v>
      </c>
      <c r="H116" s="87" t="n">
        <v>1.31</v>
      </c>
      <c r="I116" s="87" t="n">
        <v>1.49</v>
      </c>
      <c r="J116" s="87" t="n">
        <v>3.648444271971596</v>
      </c>
      <c r="K116" s="87" t="n">
        <v>24.28</v>
      </c>
      <c r="L116" s="95" t="n">
        <v>32.9</v>
      </c>
      <c r="M116" s="18" t="n">
        <v>0</v>
      </c>
      <c r="N116" s="24" t="n">
        <v>18.1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88" t="inlineStr">
        <is>
          <t>📉 Weak</t>
        </is>
      </c>
      <c r="S116" s="88" t="inlineStr">
        <is>
          <t>🔴 Not Qualified</t>
        </is>
      </c>
      <c r="T116" s="88" t="inlineStr">
        <is>
          <t>🔴 Avoid</t>
        </is>
      </c>
      <c r="U116" s="76" t="inlineStr">
        <is>
          <t>FULL</t>
        </is>
      </c>
    </row>
    <row r="117" ht="16" customHeight="1">
      <c r="A117" s="89" t="n">
        <v>113</v>
      </c>
      <c r="B117" s="90" t="inlineStr">
        <is>
          <t>Invesco India Aggressive Hybrid Fund - Regular Plan - Growth</t>
        </is>
      </c>
      <c r="C117" s="90" t="inlineStr">
        <is>
          <t>Invesco Mutual Fund</t>
        </is>
      </c>
      <c r="D117" s="90" t="inlineStr">
        <is>
          <t>Aggressive Hybrid Fund</t>
        </is>
      </c>
      <c r="E117" s="90" t="inlineStr">
        <is>
          <t>Aggressive Hybrid Fund</t>
        </is>
      </c>
      <c r="F117" s="91" t="n">
        <v>-0.39</v>
      </c>
      <c r="G117" s="92" t="n">
        <v>0.85</v>
      </c>
      <c r="H117" s="91" t="n">
        <v>-3.51</v>
      </c>
      <c r="I117" s="91" t="n">
        <v>-7.6</v>
      </c>
      <c r="J117" s="91" t="n">
        <v>-0.5364388331083325</v>
      </c>
      <c r="K117" s="92" t="n">
        <v>33.57</v>
      </c>
      <c r="L117" s="95" t="n">
        <v>32.3</v>
      </c>
      <c r="M117" s="18" t="n">
        <v>0</v>
      </c>
      <c r="N117" s="24" t="n">
        <v>17.8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93" t="inlineStr">
        <is>
          <t>📉 Weak</t>
        </is>
      </c>
      <c r="S117" s="93" t="inlineStr">
        <is>
          <t>🔴 Not Qualified</t>
        </is>
      </c>
      <c r="T117" s="93" t="inlineStr">
        <is>
          <t>🔴 Avoid</t>
        </is>
      </c>
      <c r="U117" s="76" t="inlineStr">
        <is>
          <t>FULL</t>
        </is>
      </c>
    </row>
    <row r="118" ht="16" customHeight="1">
      <c r="A118" s="84" t="n">
        <v>114</v>
      </c>
      <c r="B118" s="85" t="inlineStr">
        <is>
          <t>SBI Equity Savings Fund - Regular Plan - Growth</t>
        </is>
      </c>
      <c r="C118" s="85" t="inlineStr">
        <is>
          <t>SBI Mutual Fund</t>
        </is>
      </c>
      <c r="D118" s="85" t="inlineStr">
        <is>
          <t>Equity Savings</t>
        </is>
      </c>
      <c r="E118" s="85" t="inlineStr">
        <is>
          <t>Equity Savings</t>
        </is>
      </c>
      <c r="F118" s="86" t="n">
        <v>-0.22</v>
      </c>
      <c r="G118" s="87" t="n">
        <v>0.47</v>
      </c>
      <c r="H118" s="87" t="n">
        <v>1.4</v>
      </c>
      <c r="I118" s="87" t="n">
        <v>1.43</v>
      </c>
      <c r="J118" s="87" t="n">
        <v>4.412642912628173</v>
      </c>
      <c r="K118" s="87" t="n">
        <v>27.54</v>
      </c>
      <c r="L118" s="95" t="n">
        <v>31.8</v>
      </c>
      <c r="M118" s="18" t="n">
        <v>0</v>
      </c>
      <c r="N118" s="24" t="n">
        <v>17.5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88" t="inlineStr">
        <is>
          <t>📉 Weak</t>
        </is>
      </c>
      <c r="S118" s="88" t="inlineStr">
        <is>
          <t>🔴 Not Qualified</t>
        </is>
      </c>
      <c r="T118" s="88" t="inlineStr">
        <is>
          <t>🔴 Avoid</t>
        </is>
      </c>
      <c r="U118" s="76" t="inlineStr">
        <is>
          <t>FULL</t>
        </is>
      </c>
    </row>
    <row r="119" ht="16" customHeight="1">
      <c r="A119" s="89" t="n">
        <v>115</v>
      </c>
      <c r="B119" s="90" t="inlineStr">
        <is>
          <t>DSP Equity Savings Fund - Regular Plan - Growth</t>
        </is>
      </c>
      <c r="C119" s="90" t="inlineStr">
        <is>
          <t>DSP Mutual Fund</t>
        </is>
      </c>
      <c r="D119" s="90" t="inlineStr">
        <is>
          <t>Equity Savings</t>
        </is>
      </c>
      <c r="E119" s="90" t="inlineStr">
        <is>
          <t>Equity Savings</t>
        </is>
      </c>
      <c r="F119" s="91" t="n">
        <v>-0.16</v>
      </c>
      <c r="G119" s="92" t="n">
        <v>0.78</v>
      </c>
      <c r="H119" s="92" t="n">
        <v>0.75</v>
      </c>
      <c r="I119" s="92" t="n">
        <v>1.59</v>
      </c>
      <c r="J119" s="92" t="n">
        <v>4.513157066467</v>
      </c>
      <c r="K119" s="92" t="n">
        <v>25.53</v>
      </c>
      <c r="L119" s="95" t="n">
        <v>31.3</v>
      </c>
      <c r="M119" s="18" t="n">
        <v>0</v>
      </c>
      <c r="N119" s="24" t="n">
        <v>17.2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93" t="inlineStr">
        <is>
          <t>📉 Weak</t>
        </is>
      </c>
      <c r="S119" s="93" t="inlineStr">
        <is>
          <t>🔴 Not Qualified</t>
        </is>
      </c>
      <c r="T119" s="93" t="inlineStr">
        <is>
          <t>🔴 Avoid</t>
        </is>
      </c>
      <c r="U119" s="76" t="inlineStr">
        <is>
          <t>FULL</t>
        </is>
      </c>
    </row>
    <row r="120" ht="16" customHeight="1">
      <c r="A120" s="84" t="n">
        <v>116</v>
      </c>
      <c r="B120" s="85" t="inlineStr">
        <is>
          <t>HDFC Multi-Asset Fund - Growth Option</t>
        </is>
      </c>
      <c r="C120" s="85" t="inlineStr">
        <is>
          <t>HDFC Mutual Fund</t>
        </is>
      </c>
      <c r="D120" s="85" t="inlineStr">
        <is>
          <t>Multi Asset Allocation</t>
        </is>
      </c>
      <c r="E120" s="85" t="inlineStr">
        <is>
          <t>Multi Asset Allocation</t>
        </is>
      </c>
      <c r="F120" s="86" t="n">
        <v>-0.44</v>
      </c>
      <c r="G120" s="86" t="n">
        <v>-0.43</v>
      </c>
      <c r="H120" s="86" t="n">
        <v>-1.94</v>
      </c>
      <c r="I120" s="87" t="n">
        <v>3.37</v>
      </c>
      <c r="J120" s="87" t="n">
        <v>5.527247666183355</v>
      </c>
      <c r="K120" s="87" t="n">
        <v>36.74</v>
      </c>
      <c r="L120" s="95" t="n">
        <v>30</v>
      </c>
      <c r="M120" s="18" t="n">
        <v>0</v>
      </c>
      <c r="N120" s="24" t="n">
        <v>16.5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88" t="inlineStr">
        <is>
          <t>📉 Weak</t>
        </is>
      </c>
      <c r="S120" s="88" t="inlineStr">
        <is>
          <t>🔴 Not Qualified</t>
        </is>
      </c>
      <c r="T120" s="88" t="inlineStr">
        <is>
          <t>🔴 Avoid</t>
        </is>
      </c>
      <c r="U120" s="76" t="inlineStr">
        <is>
          <t>FULL</t>
        </is>
      </c>
    </row>
    <row r="121" ht="16" customHeight="1">
      <c r="A121" s="89" t="n">
        <v>117</v>
      </c>
      <c r="B121" s="90" t="inlineStr">
        <is>
          <t>PGIM India Balanced Advantage Fund - Regular Plan - Growth Option</t>
        </is>
      </c>
      <c r="C121" s="90" t="inlineStr">
        <is>
          <t>PGIM India Mutual Fund</t>
        </is>
      </c>
      <c r="D121" s="90" t="inlineStr">
        <is>
          <t>Dynamic Asset Allocation Or Balanced Advantage</t>
        </is>
      </c>
      <c r="E121" s="90" t="inlineStr">
        <is>
          <t>Dynamic Asset Allocation Or Balanced Advantage</t>
        </is>
      </c>
      <c r="F121" s="91" t="n">
        <v>-0.4</v>
      </c>
      <c r="G121" s="92" t="n">
        <v>0.4</v>
      </c>
      <c r="H121" s="92" t="n">
        <v>0</v>
      </c>
      <c r="I121" s="91" t="n">
        <v>-2.79</v>
      </c>
      <c r="J121" s="92" t="n">
        <v>1.049492824061216</v>
      </c>
      <c r="K121" s="92" t="n">
        <v>17.75</v>
      </c>
      <c r="L121" s="95" t="n">
        <v>29.9</v>
      </c>
      <c r="M121" s="18" t="n">
        <v>0</v>
      </c>
      <c r="N121" s="24" t="n">
        <v>16.4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93" t="inlineStr">
        <is>
          <t>📉 Weak</t>
        </is>
      </c>
      <c r="S121" s="93" t="inlineStr">
        <is>
          <t>🔴 Not Qualified</t>
        </is>
      </c>
      <c r="T121" s="93" t="inlineStr">
        <is>
          <t>🔴 Avoid</t>
        </is>
      </c>
      <c r="U121" s="76" t="inlineStr">
        <is>
          <t>FULL</t>
        </is>
      </c>
    </row>
    <row r="122" ht="16" customHeight="1">
      <c r="A122" s="84" t="n">
        <v>118</v>
      </c>
      <c r="B122" s="85" t="inlineStr">
        <is>
          <t>Groww Aggressive Hybrid Fund (formerly known as Indiabulls Equity Hybrid Fund)- Regular Plan- Quarterly - Income Distribution cum capital withdrawal Option (Payout &amp; Reinvestment)</t>
        </is>
      </c>
      <c r="C122" s="85" t="inlineStr">
        <is>
          <t>Groww Mutual Fund</t>
        </is>
      </c>
      <c r="D122" s="85" t="inlineStr">
        <is>
          <t>Aggressive Hybrid Fund</t>
        </is>
      </c>
      <c r="E122" s="85" t="inlineStr">
        <is>
          <t>Aggressive Hybrid Fund</t>
        </is>
      </c>
      <c r="F122" s="86" t="n">
        <v>-0.59</v>
      </c>
      <c r="G122" s="87" t="n">
        <v>0.32</v>
      </c>
      <c r="H122" s="86" t="n">
        <v>-0.39</v>
      </c>
      <c r="I122" s="86" t="n">
        <v>-2.23</v>
      </c>
      <c r="J122" s="86" t="n">
        <v>-1.065678351746913</v>
      </c>
      <c r="K122" s="87" t="n">
        <v>25.46</v>
      </c>
      <c r="L122" s="95" t="n">
        <v>28.9</v>
      </c>
      <c r="M122" s="18" t="n">
        <v>0</v>
      </c>
      <c r="N122" s="24" t="n">
        <v>15.9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88" t="inlineStr">
        <is>
          <t>📉 Weak</t>
        </is>
      </c>
      <c r="S122" s="88" t="inlineStr">
        <is>
          <t>🔴 Not Qualified</t>
        </is>
      </c>
      <c r="T122" s="88" t="inlineStr">
        <is>
          <t>🔴 Avoid</t>
        </is>
      </c>
      <c r="U122" s="76" t="inlineStr">
        <is>
          <t>FULL</t>
        </is>
      </c>
    </row>
    <row r="123" ht="16" customHeight="1">
      <c r="A123" s="89" t="n">
        <v>119</v>
      </c>
      <c r="B123" s="90" t="inlineStr">
        <is>
          <t>Groww Aggressive Hybrid Fund (formerly known as Indiabulls Equity Hybrid Fund) - Regular Plan - Growth option</t>
        </is>
      </c>
      <c r="C123" s="90" t="inlineStr">
        <is>
          <t>Groww Mutual Fund</t>
        </is>
      </c>
      <c r="D123" s="90" t="inlineStr">
        <is>
          <t>Aggressive Hybrid Fund</t>
        </is>
      </c>
      <c r="E123" s="90" t="inlineStr">
        <is>
          <t>Aggressive Hybrid Fund</t>
        </is>
      </c>
      <c r="F123" s="91" t="n">
        <v>-0.59</v>
      </c>
      <c r="G123" s="92" t="n">
        <v>0.32</v>
      </c>
      <c r="H123" s="91" t="n">
        <v>-0.39</v>
      </c>
      <c r="I123" s="91" t="n">
        <v>-2.23</v>
      </c>
      <c r="J123" s="91" t="n">
        <v>-1.065678351746913</v>
      </c>
      <c r="K123" s="92" t="n">
        <v>25.46</v>
      </c>
      <c r="L123" s="95" t="n">
        <v>28.9</v>
      </c>
      <c r="M123" s="18" t="n">
        <v>0</v>
      </c>
      <c r="N123" s="24" t="n">
        <v>15.9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93" t="inlineStr">
        <is>
          <t>📉 Weak</t>
        </is>
      </c>
      <c r="S123" s="93" t="inlineStr">
        <is>
          <t>🔴 Not Qualified</t>
        </is>
      </c>
      <c r="T123" s="93" t="inlineStr">
        <is>
          <t>🔴 Avoid</t>
        </is>
      </c>
      <c r="U123" s="76" t="inlineStr">
        <is>
          <t>FULL</t>
        </is>
      </c>
    </row>
    <row r="124" ht="16" customHeight="1">
      <c r="A124" s="84" t="n">
        <v>120</v>
      </c>
      <c r="B124" s="85" t="inlineStr">
        <is>
          <t>Groww Aggressive Hybrid Fund (formerly known as Indiabulls Equity Hybrid Fund)- Regular Plan- Half Yearly - Income Distribution cum capital withdrawal Option (Payout &amp; Reinvestment)</t>
        </is>
      </c>
      <c r="C124" s="85" t="inlineStr">
        <is>
          <t>Groww Mutual Fund</t>
        </is>
      </c>
      <c r="D124" s="85" t="inlineStr">
        <is>
          <t>Aggressive Hybrid Fund</t>
        </is>
      </c>
      <c r="E124" s="85" t="inlineStr">
        <is>
          <t>Aggressive Hybrid Fund</t>
        </is>
      </c>
      <c r="F124" s="86" t="n">
        <v>-0.59</v>
      </c>
      <c r="G124" s="87" t="n">
        <v>0.32</v>
      </c>
      <c r="H124" s="86" t="n">
        <v>-0.39</v>
      </c>
      <c r="I124" s="86" t="n">
        <v>-2.23</v>
      </c>
      <c r="J124" s="86" t="n">
        <v>-1.065678351746913</v>
      </c>
      <c r="K124" s="87" t="n">
        <v>25.46</v>
      </c>
      <c r="L124" s="95" t="n">
        <v>28.9</v>
      </c>
      <c r="M124" s="18" t="n">
        <v>0</v>
      </c>
      <c r="N124" s="24" t="n">
        <v>15.9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88" t="inlineStr">
        <is>
          <t>📉 Weak</t>
        </is>
      </c>
      <c r="S124" s="88" t="inlineStr">
        <is>
          <t>🔴 Not Qualified</t>
        </is>
      </c>
      <c r="T124" s="88" t="inlineStr">
        <is>
          <t>🔴 Avoid</t>
        </is>
      </c>
      <c r="U124" s="76" t="inlineStr">
        <is>
          <t>FULL</t>
        </is>
      </c>
    </row>
    <row r="125" ht="16" customHeight="1">
      <c r="A125" s="89" t="n">
        <v>121</v>
      </c>
      <c r="B125" s="90" t="inlineStr">
        <is>
          <t>Groww Aggressive Hybrid Fund (formerly known as Indiabulls Equity Hybrid Fund)- Regular Plan- - Income Distribution cum capital withdrawal Option (Payout &amp; Reinvestment)</t>
        </is>
      </c>
      <c r="C125" s="90" t="inlineStr">
        <is>
          <t>Groww Mutual Fund</t>
        </is>
      </c>
      <c r="D125" s="90" t="inlineStr">
        <is>
          <t>Aggressive Hybrid Fund</t>
        </is>
      </c>
      <c r="E125" s="90" t="inlineStr">
        <is>
          <t>Aggressive Hybrid Fund</t>
        </is>
      </c>
      <c r="F125" s="91" t="n">
        <v>-0.59</v>
      </c>
      <c r="G125" s="92" t="n">
        <v>0.32</v>
      </c>
      <c r="H125" s="91" t="n">
        <v>-0.39</v>
      </c>
      <c r="I125" s="91" t="n">
        <v>-2.23</v>
      </c>
      <c r="J125" s="91" t="n">
        <v>-1.065678351746913</v>
      </c>
      <c r="K125" s="92" t="n">
        <v>25.46</v>
      </c>
      <c r="L125" s="95" t="n">
        <v>28.9</v>
      </c>
      <c r="M125" s="18" t="n">
        <v>0</v>
      </c>
      <c r="N125" s="24" t="n">
        <v>15.9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93" t="inlineStr">
        <is>
          <t>📉 Weak</t>
        </is>
      </c>
      <c r="S125" s="93" t="inlineStr">
        <is>
          <t>🔴 Not Qualified</t>
        </is>
      </c>
      <c r="T125" s="93" t="inlineStr">
        <is>
          <t>🔴 Avoid</t>
        </is>
      </c>
      <c r="U125" s="76" t="inlineStr">
        <is>
          <t>FULL</t>
        </is>
      </c>
    </row>
    <row r="126" ht="16" customHeight="1">
      <c r="A126" s="84" t="n">
        <v>122</v>
      </c>
      <c r="B126" s="85" t="inlineStr">
        <is>
          <t>Groww Aggressive Hybrid Fund (formerly known as Indiabulls Equity Hybrid Fund)- Regular Plan- Monthly - Income Distribution cum capital withdrawal Option (Payout &amp; Reinvestment.</t>
        </is>
      </c>
      <c r="C126" s="85" t="inlineStr">
        <is>
          <t>Groww Mutual Fund</t>
        </is>
      </c>
      <c r="D126" s="85" t="inlineStr">
        <is>
          <t>Aggressive Hybrid Fund</t>
        </is>
      </c>
      <c r="E126" s="85" t="inlineStr">
        <is>
          <t>Aggressive Hybrid Fund</t>
        </is>
      </c>
      <c r="F126" s="86" t="n">
        <v>-0.59</v>
      </c>
      <c r="G126" s="87" t="n">
        <v>0.31</v>
      </c>
      <c r="H126" s="86" t="n">
        <v>-0.39</v>
      </c>
      <c r="I126" s="86" t="n">
        <v>-2.23</v>
      </c>
      <c r="J126" s="86" t="n">
        <v>-1.065678351746913</v>
      </c>
      <c r="K126" s="87" t="n">
        <v>25.46</v>
      </c>
      <c r="L126" s="95" t="n">
        <v>28.3</v>
      </c>
      <c r="M126" s="18" t="n">
        <v>0</v>
      </c>
      <c r="N126" s="24" t="n">
        <v>15.5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88" t="inlineStr">
        <is>
          <t>📉 Weak</t>
        </is>
      </c>
      <c r="S126" s="88" t="inlineStr">
        <is>
          <t>🔴 Not Qualified</t>
        </is>
      </c>
      <c r="T126" s="88" t="inlineStr">
        <is>
          <t>🔴 Avoid</t>
        </is>
      </c>
      <c r="U126" s="76" t="inlineStr">
        <is>
          <t>FULL</t>
        </is>
      </c>
    </row>
    <row r="127" ht="16" customHeight="1">
      <c r="A127" s="89" t="n">
        <v>123</v>
      </c>
      <c r="B127" s="90" t="inlineStr">
        <is>
          <t>Invesco India Equity Savings Fund - Regular Plan - Growth</t>
        </is>
      </c>
      <c r="C127" s="90" t="inlineStr">
        <is>
          <t>Invesco Mutual Fund</t>
        </is>
      </c>
      <c r="D127" s="90" t="inlineStr">
        <is>
          <t>Equity Savings</t>
        </is>
      </c>
      <c r="E127" s="90" t="inlineStr">
        <is>
          <t>Equity Savings</t>
        </is>
      </c>
      <c r="F127" s="91" t="n">
        <v>-0.05</v>
      </c>
      <c r="G127" s="92" t="n">
        <v>1.18</v>
      </c>
      <c r="H127" s="91" t="n">
        <v>-0.29</v>
      </c>
      <c r="I127" s="91" t="n">
        <v>-3.14</v>
      </c>
      <c r="J127" s="92" t="n">
        <v>1.370607179793493</v>
      </c>
      <c r="K127" s="92" t="n">
        <v>23.43</v>
      </c>
      <c r="L127" s="95" t="n">
        <v>27.7</v>
      </c>
      <c r="M127" s="18" t="n">
        <v>0</v>
      </c>
      <c r="N127" s="24" t="n">
        <v>15.2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93" t="inlineStr">
        <is>
          <t>📉 Weak</t>
        </is>
      </c>
      <c r="S127" s="93" t="inlineStr">
        <is>
          <t>🔴 Not Qualified</t>
        </is>
      </c>
      <c r="T127" s="93" t="inlineStr">
        <is>
          <t>🔴 Avoid</t>
        </is>
      </c>
      <c r="U127" s="76" t="inlineStr">
        <is>
          <t>FULL</t>
        </is>
      </c>
    </row>
    <row r="128" ht="16" customHeight="1">
      <c r="A128" s="84" t="n">
        <v>124</v>
      </c>
      <c r="B128" s="85" t="inlineStr">
        <is>
          <t>DSP Aggressive Hybrid Fund- Regular Plan - Growth</t>
        </is>
      </c>
      <c r="C128" s="85" t="inlineStr">
        <is>
          <t>DSP Mutual Fund</t>
        </is>
      </c>
      <c r="D128" s="85" t="inlineStr">
        <is>
          <t>Aggressive Hybrid Fund</t>
        </is>
      </c>
      <c r="E128" s="85" t="inlineStr">
        <is>
          <t>Aggressive Hybrid Fund</t>
        </is>
      </c>
      <c r="F128" s="86" t="n">
        <v>-0.62</v>
      </c>
      <c r="G128" s="87" t="n">
        <v>0.46</v>
      </c>
      <c r="H128" s="86" t="n">
        <v>-1.19</v>
      </c>
      <c r="I128" s="86" t="n">
        <v>-3.68</v>
      </c>
      <c r="J128" s="87" t="n">
        <v>2.176318195558413</v>
      </c>
      <c r="K128" s="87" t="n">
        <v>34.22</v>
      </c>
      <c r="L128" s="95" t="n">
        <v>27.7</v>
      </c>
      <c r="M128" s="18" t="n">
        <v>0</v>
      </c>
      <c r="N128" s="24" t="n">
        <v>15.2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88" t="inlineStr">
        <is>
          <t>📉 Weak</t>
        </is>
      </c>
      <c r="S128" s="88" t="inlineStr">
        <is>
          <t>🔴 Not Qualified</t>
        </is>
      </c>
      <c r="T128" s="88" t="inlineStr">
        <is>
          <t>🔴 Avoid</t>
        </is>
      </c>
      <c r="U128" s="76" t="inlineStr">
        <is>
          <t>FULL</t>
        </is>
      </c>
    </row>
    <row r="129" ht="16" customHeight="1">
      <c r="A129" s="89" t="n">
        <v>125</v>
      </c>
      <c r="B129" s="90" t="inlineStr">
        <is>
          <t>JM Arbitrage Fund (Regular) - Growth Option</t>
        </is>
      </c>
      <c r="C129" s="90" t="inlineStr">
        <is>
          <t>JM Financial Mutual Fund</t>
        </is>
      </c>
      <c r="D129" s="90" t="inlineStr">
        <is>
          <t>Arbitrage Fund</t>
        </is>
      </c>
      <c r="E129" s="90" t="inlineStr">
        <is>
          <t>Arbitrage Fund</t>
        </is>
      </c>
      <c r="F129" s="92" t="n">
        <v>0.49</v>
      </c>
      <c r="G129" s="92" t="n">
        <v>1.3</v>
      </c>
      <c r="H129" s="92" t="n">
        <v>2.69</v>
      </c>
      <c r="I129" s="92" t="n">
        <v>5.61</v>
      </c>
      <c r="J129" s="92" t="n">
        <v>5.910339438602485</v>
      </c>
      <c r="K129" s="92" t="n">
        <v>20.43</v>
      </c>
      <c r="L129" s="95" t="n">
        <v>27.6</v>
      </c>
      <c r="M129" s="18" t="n">
        <v>0</v>
      </c>
      <c r="N129" s="24" t="n">
        <v>15.2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93" t="inlineStr">
        <is>
          <t>📉 Weak</t>
        </is>
      </c>
      <c r="S129" s="93" t="inlineStr">
        <is>
          <t>🔴 Not Qualified</t>
        </is>
      </c>
      <c r="T129" s="93" t="inlineStr">
        <is>
          <t>🔴 Avoid</t>
        </is>
      </c>
      <c r="U129" s="76" t="inlineStr">
        <is>
          <t>FULL</t>
        </is>
      </c>
    </row>
    <row r="130" ht="16" customHeight="1">
      <c r="A130" s="84" t="n">
        <v>126</v>
      </c>
      <c r="B130" s="85" t="inlineStr">
        <is>
          <t>Franklin India Aggressive Hybrid Fund - Growth Plan</t>
        </is>
      </c>
      <c r="C130" s="85" t="inlineStr">
        <is>
          <t>Franklin Templeton Mutual Fund</t>
        </is>
      </c>
      <c r="D130" s="85" t="inlineStr">
        <is>
          <t>Aggressive Hybrid Fund</t>
        </is>
      </c>
      <c r="E130" s="85" t="inlineStr">
        <is>
          <t>Aggressive Hybrid Fund</t>
        </is>
      </c>
      <c r="F130" s="86" t="n">
        <v>-0.71</v>
      </c>
      <c r="G130" s="86" t="n">
        <v>-0.11</v>
      </c>
      <c r="H130" s="86" t="n">
        <v>-0.16</v>
      </c>
      <c r="I130" s="86" t="n">
        <v>-2.8</v>
      </c>
      <c r="J130" s="87" t="n">
        <v>1.024749442896411</v>
      </c>
      <c r="K130" s="87" t="n">
        <v>33.49</v>
      </c>
      <c r="L130" s="95" t="n">
        <v>26.4</v>
      </c>
      <c r="M130" s="18" t="n">
        <v>0</v>
      </c>
      <c r="N130" s="24" t="n">
        <v>14.5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88" t="inlineStr">
        <is>
          <t>📉 Weak</t>
        </is>
      </c>
      <c r="S130" s="88" t="inlineStr">
        <is>
          <t>🔴 Not Qualified</t>
        </is>
      </c>
      <c r="T130" s="88" t="inlineStr">
        <is>
          <t>🔴 Avoid</t>
        </is>
      </c>
      <c r="U130" s="76" t="inlineStr">
        <is>
          <t>FULL</t>
        </is>
      </c>
    </row>
    <row r="131" ht="16" customHeight="1">
      <c r="A131" s="89" t="n">
        <v>127</v>
      </c>
      <c r="B131" s="90" t="inlineStr">
        <is>
          <t>HDFC Balanced Advantage Fund - Growth Plan</t>
        </is>
      </c>
      <c r="C131" s="90" t="inlineStr">
        <is>
          <t>HDFC Mutual Fund</t>
        </is>
      </c>
      <c r="D131" s="90" t="inlineStr">
        <is>
          <t>Dynamic Asset Allocation Or Balanced Advantage</t>
        </is>
      </c>
      <c r="E131" s="90" t="inlineStr">
        <is>
          <t>Dynamic Asset Allocation Or Balanced Advantage</t>
        </is>
      </c>
      <c r="F131" s="91" t="n">
        <v>-0.78</v>
      </c>
      <c r="G131" s="91" t="n">
        <v>-0.06</v>
      </c>
      <c r="H131" s="91" t="n">
        <v>-0.4</v>
      </c>
      <c r="I131" s="91" t="n">
        <v>-0.44</v>
      </c>
      <c r="J131" s="92" t="n">
        <v>1.459351466486325</v>
      </c>
      <c r="K131" s="92" t="n">
        <v>43.32</v>
      </c>
      <c r="L131" s="95" t="n">
        <v>25.9</v>
      </c>
      <c r="M131" s="18" t="n">
        <v>0</v>
      </c>
      <c r="N131" s="24" t="n">
        <v>14.3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93" t="inlineStr">
        <is>
          <t>📉 Weak</t>
        </is>
      </c>
      <c r="S131" s="93" t="inlineStr">
        <is>
          <t>🔴 Not Qualified</t>
        </is>
      </c>
      <c r="T131" s="93" t="inlineStr">
        <is>
          <t>🔴 Avoid</t>
        </is>
      </c>
      <c r="U131" s="76" t="inlineStr">
        <is>
          <t>FULL</t>
        </is>
      </c>
    </row>
    <row r="132" ht="16" customHeight="1">
      <c r="A132" s="84" t="n">
        <v>128</v>
      </c>
      <c r="B132" s="85" t="inlineStr">
        <is>
          <t>TATA Balanced Advantage Fund Regular Plan - Payout of Income Distribution cum capital withdrawal option</t>
        </is>
      </c>
      <c r="C132" s="85" t="inlineStr">
        <is>
          <t>Tata Mutual Fund</t>
        </is>
      </c>
      <c r="D132" s="85" t="inlineStr">
        <is>
          <t>Dynamic Asset Allocation Or Balanced Advantage</t>
        </is>
      </c>
      <c r="E132" s="85" t="inlineStr">
        <is>
          <t>Dynamic Asset Allocation Or Balanced Advantage</t>
        </is>
      </c>
      <c r="F132" s="86" t="n">
        <v>-0.18</v>
      </c>
      <c r="G132" s="86" t="n">
        <v>-1.98</v>
      </c>
      <c r="H132" s="86" t="n">
        <v>-1.62</v>
      </c>
      <c r="I132" s="86" t="n">
        <v>-2.19</v>
      </c>
      <c r="J132" s="87" t="n">
        <v>0.4888053466653552</v>
      </c>
      <c r="K132" s="87" t="n">
        <v>22.02</v>
      </c>
      <c r="L132" s="95" t="n">
        <v>25.1</v>
      </c>
      <c r="M132" s="18" t="n">
        <v>0</v>
      </c>
      <c r="N132" s="24" t="n">
        <v>13.8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88" t="inlineStr">
        <is>
          <t>📉 Weak</t>
        </is>
      </c>
      <c r="S132" s="88" t="inlineStr">
        <is>
          <t>🔴 Not Qualified</t>
        </is>
      </c>
      <c r="T132" s="88" t="inlineStr">
        <is>
          <t>🔴 Avoid</t>
        </is>
      </c>
      <c r="U132" s="76" t="inlineStr">
        <is>
          <t>FULL</t>
        </is>
      </c>
    </row>
    <row r="133" ht="16" customHeight="1">
      <c r="A133" s="89" t="n">
        <v>129</v>
      </c>
      <c r="B133" s="90" t="inlineStr">
        <is>
          <t>TATA Balanced Advantage Fund Regular Plan - Reinvestment of Income Distribution cum capital withdrawal option</t>
        </is>
      </c>
      <c r="C133" s="90" t="inlineStr">
        <is>
          <t>Tata Mutual Fund</t>
        </is>
      </c>
      <c r="D133" s="90" t="inlineStr">
        <is>
          <t>Dynamic Asset Allocation Or Balanced Advantage</t>
        </is>
      </c>
      <c r="E133" s="90" t="inlineStr">
        <is>
          <t>Dynamic Asset Allocation Or Balanced Advantage</t>
        </is>
      </c>
      <c r="F133" s="91" t="n">
        <v>-0.18</v>
      </c>
      <c r="G133" s="91" t="n">
        <v>-1.98</v>
      </c>
      <c r="H133" s="91" t="n">
        <v>-1.62</v>
      </c>
      <c r="I133" s="91" t="n">
        <v>-2.19</v>
      </c>
      <c r="J133" s="92" t="n">
        <v>0.4888053466653552</v>
      </c>
      <c r="K133" s="92" t="n">
        <v>22.02</v>
      </c>
      <c r="L133" s="95" t="n">
        <v>25.1</v>
      </c>
      <c r="M133" s="18" t="n">
        <v>0</v>
      </c>
      <c r="N133" s="24" t="n">
        <v>13.8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93" t="inlineStr">
        <is>
          <t>📉 Weak</t>
        </is>
      </c>
      <c r="S133" s="93" t="inlineStr">
        <is>
          <t>🔴 Not Qualified</t>
        </is>
      </c>
      <c r="T133" s="93" t="inlineStr">
        <is>
          <t>🔴 Avoid</t>
        </is>
      </c>
      <c r="U133" s="76" t="inlineStr">
        <is>
          <t>FULL</t>
        </is>
      </c>
    </row>
    <row r="134" ht="16" customHeight="1">
      <c r="A134" s="84" t="n">
        <v>130</v>
      </c>
      <c r="B134" s="85" t="inlineStr">
        <is>
          <t>Nippon India Equity Savings Fund- Growth Plan- Growth Option</t>
        </is>
      </c>
      <c r="C134" s="85" t="inlineStr">
        <is>
          <t>Nippon India Mutual Fund</t>
        </is>
      </c>
      <c r="D134" s="85" t="inlineStr">
        <is>
          <t>Equity Savings</t>
        </is>
      </c>
      <c r="E134" s="85" t="inlineStr">
        <is>
          <t>Equity Savings</t>
        </is>
      </c>
      <c r="F134" s="86" t="n">
        <v>-0.29</v>
      </c>
      <c r="G134" s="87" t="n">
        <v>0.41</v>
      </c>
      <c r="H134" s="87" t="n">
        <v>0.61</v>
      </c>
      <c r="I134" s="87" t="n">
        <v>2.42</v>
      </c>
      <c r="J134" s="87" t="n">
        <v>3.406963015069731</v>
      </c>
      <c r="K134" s="87" t="n">
        <v>19.78</v>
      </c>
      <c r="L134" s="95" t="n">
        <v>24.4</v>
      </c>
      <c r="M134" s="18" t="n">
        <v>0</v>
      </c>
      <c r="N134" s="24" t="n">
        <v>13.4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88" t="inlineStr">
        <is>
          <t>📉 Weak</t>
        </is>
      </c>
      <c r="S134" s="88" t="inlineStr">
        <is>
          <t>🔴 Not Qualified</t>
        </is>
      </c>
      <c r="T134" s="88" t="inlineStr">
        <is>
          <t>🔴 Avoid</t>
        </is>
      </c>
      <c r="U134" s="76" t="inlineStr">
        <is>
          <t>FULL</t>
        </is>
      </c>
    </row>
    <row r="135" ht="16" customHeight="1">
      <c r="A135" s="89" t="n">
        <v>131</v>
      </c>
      <c r="B135" s="90" t="inlineStr">
        <is>
          <t>Nippon India Equity Savings Fund- Growth Plan- Bonus Option</t>
        </is>
      </c>
      <c r="C135" s="90" t="inlineStr">
        <is>
          <t>Nippon India Mutual Fund</t>
        </is>
      </c>
      <c r="D135" s="90" t="inlineStr">
        <is>
          <t>Equity Savings</t>
        </is>
      </c>
      <c r="E135" s="90" t="inlineStr">
        <is>
          <t>Equity Savings</t>
        </is>
      </c>
      <c r="F135" s="91" t="n">
        <v>-0.29</v>
      </c>
      <c r="G135" s="92" t="n">
        <v>0.41</v>
      </c>
      <c r="H135" s="92" t="n">
        <v>0.61</v>
      </c>
      <c r="I135" s="92" t="n">
        <v>2.42</v>
      </c>
      <c r="J135" s="92" t="n">
        <v>3.406963015069731</v>
      </c>
      <c r="K135" s="92" t="n">
        <v>19.78</v>
      </c>
      <c r="L135" s="95" t="n">
        <v>24.4</v>
      </c>
      <c r="M135" s="18" t="n">
        <v>0</v>
      </c>
      <c r="N135" s="24" t="n">
        <v>13.4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93" t="inlineStr">
        <is>
          <t>📉 Weak</t>
        </is>
      </c>
      <c r="S135" s="93" t="inlineStr">
        <is>
          <t>🔴 Not Qualified</t>
        </is>
      </c>
      <c r="T135" s="93" t="inlineStr">
        <is>
          <t>🔴 Avoid</t>
        </is>
      </c>
      <c r="U135" s="76" t="inlineStr">
        <is>
          <t>FULL</t>
        </is>
      </c>
    </row>
    <row r="136" ht="16" customHeight="1">
      <c r="A136" s="84" t="n">
        <v>132</v>
      </c>
      <c r="B136" s="85" t="inlineStr">
        <is>
          <t>Axis Conservative Hybrid Fund - Regular Plan - Growth Option</t>
        </is>
      </c>
      <c r="C136" s="85" t="inlineStr">
        <is>
          <t>Axis Mutual Fund</t>
        </is>
      </c>
      <c r="D136" s="85" t="inlineStr">
        <is>
          <t>Conservative Hybrid Fund</t>
        </is>
      </c>
      <c r="E136" s="85" t="inlineStr">
        <is>
          <t>Conservative Hybrid Fund</t>
        </is>
      </c>
      <c r="F136" s="87" t="n">
        <v>0.25</v>
      </c>
      <c r="G136" s="87" t="n">
        <v>1.02</v>
      </c>
      <c r="H136" s="87" t="n">
        <v>0.42</v>
      </c>
      <c r="I136" s="87" t="n">
        <v>0.95</v>
      </c>
      <c r="J136" s="87" t="n">
        <v>3.730419839119525</v>
      </c>
      <c r="K136" s="87" t="n">
        <v>17.95</v>
      </c>
      <c r="L136" s="95" t="n">
        <v>23.7</v>
      </c>
      <c r="M136" s="18" t="n">
        <v>0</v>
      </c>
      <c r="N136" s="24" t="n">
        <v>13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88" t="inlineStr">
        <is>
          <t>📉 Weak</t>
        </is>
      </c>
      <c r="S136" s="88" t="inlineStr">
        <is>
          <t>🔴 Not Qualified</t>
        </is>
      </c>
      <c r="T136" s="88" t="inlineStr">
        <is>
          <t>🔴 Avoid</t>
        </is>
      </c>
      <c r="U136" s="76" t="inlineStr">
        <is>
          <t>FULL</t>
        </is>
      </c>
    </row>
    <row r="137" ht="16" customHeight="1">
      <c r="A137" s="89" t="n">
        <v>133</v>
      </c>
      <c r="B137" s="90" t="inlineStr">
        <is>
          <t>Shriram Balanced Advantage Fund - Regular Growth</t>
        </is>
      </c>
      <c r="C137" s="90" t="inlineStr">
        <is>
          <t>Shriram Mutual Fund</t>
        </is>
      </c>
      <c r="D137" s="90" t="inlineStr">
        <is>
          <t>Dynamic Asset Allocation Or Balanced Advantage</t>
        </is>
      </c>
      <c r="E137" s="90" t="inlineStr">
        <is>
          <t>Dynamic Asset Allocation Or Balanced Advantage</t>
        </is>
      </c>
      <c r="F137" s="91" t="n">
        <v>-0.47</v>
      </c>
      <c r="G137" s="92" t="n">
        <v>0.09</v>
      </c>
      <c r="H137" s="91" t="n">
        <v>-1.07</v>
      </c>
      <c r="I137" s="91" t="n">
        <v>-2.27</v>
      </c>
      <c r="J137" s="91" t="n">
        <v>-3.625729574745939</v>
      </c>
      <c r="K137" s="92" t="n">
        <v>16.17</v>
      </c>
      <c r="L137" s="95" t="n">
        <v>23.3</v>
      </c>
      <c r="M137" s="18" t="n">
        <v>0</v>
      </c>
      <c r="N137" s="24" t="n">
        <v>12.8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93" t="inlineStr">
        <is>
          <t>📉 Weak</t>
        </is>
      </c>
      <c r="S137" s="93" t="inlineStr">
        <is>
          <t>🔴 Not Qualified</t>
        </is>
      </c>
      <c r="T137" s="93" t="inlineStr">
        <is>
          <t>🔴 Avoid</t>
        </is>
      </c>
      <c r="U137" s="76" t="inlineStr">
        <is>
          <t>FULL</t>
        </is>
      </c>
    </row>
    <row r="138" ht="16" customHeight="1">
      <c r="A138" s="84" t="n">
        <v>134</v>
      </c>
      <c r="B138" s="85" t="inlineStr">
        <is>
          <t>Sundaram Balanced Advantage Fund (Formerly Known as Principal Balanced Advantage Fund) - Growth Option</t>
        </is>
      </c>
      <c r="C138" s="85" t="inlineStr">
        <is>
          <t>Sundaram Mutual Fund</t>
        </is>
      </c>
      <c r="D138" s="85" t="inlineStr">
        <is>
          <t>Dynamic Asset Allocation Or Balanced Advantage</t>
        </is>
      </c>
      <c r="E138" s="85" t="inlineStr">
        <is>
          <t>Dynamic Asset Allocation Or Balanced Advantage</t>
        </is>
      </c>
      <c r="F138" s="86" t="n">
        <v>-0.86</v>
      </c>
      <c r="G138" s="86" t="n">
        <v>-0.05</v>
      </c>
      <c r="H138" s="86" t="n">
        <v>-1.04</v>
      </c>
      <c r="I138" s="86" t="n">
        <v>-1.58</v>
      </c>
      <c r="J138" s="87" t="n">
        <v>1.321271211922714</v>
      </c>
      <c r="K138" s="87" t="n">
        <v>23.8</v>
      </c>
      <c r="L138" s="95" t="n">
        <v>22.4</v>
      </c>
      <c r="M138" s="18" t="n">
        <v>0</v>
      </c>
      <c r="N138" s="24" t="n">
        <v>12.3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88" t="inlineStr">
        <is>
          <t>📉 Weak</t>
        </is>
      </c>
      <c r="S138" s="88" t="inlineStr">
        <is>
          <t>🔴 Not Qualified</t>
        </is>
      </c>
      <c r="T138" s="88" t="inlineStr">
        <is>
          <t>🔴 Avoid</t>
        </is>
      </c>
      <c r="U138" s="76" t="inlineStr">
        <is>
          <t>FULL</t>
        </is>
      </c>
    </row>
    <row r="139" ht="16" customHeight="1">
      <c r="A139" s="89" t="n">
        <v>135</v>
      </c>
      <c r="B139" s="90" t="inlineStr">
        <is>
          <t>NJ Arbitrage Fund - Regular Plan - Growth Option</t>
        </is>
      </c>
      <c r="C139" s="90" t="inlineStr">
        <is>
          <t>NJ Mutual Fund</t>
        </is>
      </c>
      <c r="D139" s="90" t="inlineStr">
        <is>
          <t>Arbitrage Fund</t>
        </is>
      </c>
      <c r="E139" s="90" t="inlineStr">
        <is>
          <t>Arbitrage Fund</t>
        </is>
      </c>
      <c r="F139" s="92" t="n">
        <v>0.47</v>
      </c>
      <c r="G139" s="92" t="n">
        <v>1.29</v>
      </c>
      <c r="H139" s="92" t="n">
        <v>2.68</v>
      </c>
      <c r="I139" s="92" t="n">
        <v>5.5</v>
      </c>
      <c r="J139" s="92" t="n">
        <v>5.688220724922788</v>
      </c>
      <c r="K139" s="92" t="n">
        <v>19.85</v>
      </c>
      <c r="L139" s="95" t="n">
        <v>22</v>
      </c>
      <c r="M139" s="18" t="n">
        <v>0</v>
      </c>
      <c r="N139" s="24" t="n">
        <v>12.1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93" t="inlineStr">
        <is>
          <t>📉 Weak</t>
        </is>
      </c>
      <c r="S139" s="93" t="inlineStr">
        <is>
          <t>🔴 Not Qualified</t>
        </is>
      </c>
      <c r="T139" s="93" t="inlineStr">
        <is>
          <t>🔴 Avoid</t>
        </is>
      </c>
      <c r="U139" s="76" t="inlineStr">
        <is>
          <t>FULL</t>
        </is>
      </c>
    </row>
    <row r="140" ht="16" customHeight="1">
      <c r="A140" s="84" t="n">
        <v>136</v>
      </c>
      <c r="B140" s="85" t="inlineStr">
        <is>
          <t>UTI Equity Savings Fund - Regular Plan - Growth Option</t>
        </is>
      </c>
      <c r="C140" s="85" t="inlineStr">
        <is>
          <t>UTI Mutual Fund</t>
        </is>
      </c>
      <c r="D140" s="85" t="inlineStr">
        <is>
          <t>Equity Savings</t>
        </is>
      </c>
      <c r="E140" s="85" t="inlineStr">
        <is>
          <t>Equity Savings</t>
        </is>
      </c>
      <c r="F140" s="86" t="n">
        <v>-0.23</v>
      </c>
      <c r="G140" s="87" t="n">
        <v>0.07000000000000001</v>
      </c>
      <c r="H140" s="86" t="n">
        <v>-0.21</v>
      </c>
      <c r="I140" s="87" t="n">
        <v>2.89</v>
      </c>
      <c r="J140" s="87" t="n">
        <v>4.000000000000004</v>
      </c>
      <c r="K140" s="87" t="n">
        <v>25.48</v>
      </c>
      <c r="L140" s="95" t="n">
        <v>21.9</v>
      </c>
      <c r="M140" s="18" t="n">
        <v>0</v>
      </c>
      <c r="N140" s="24" t="n">
        <v>12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88" t="inlineStr">
        <is>
          <t>📉 Weak</t>
        </is>
      </c>
      <c r="S140" s="88" t="inlineStr">
        <is>
          <t>🔴 Not Qualified</t>
        </is>
      </c>
      <c r="T140" s="88" t="inlineStr">
        <is>
          <t>🔴 Avoid</t>
        </is>
      </c>
      <c r="U140" s="76" t="inlineStr">
        <is>
          <t>FULL</t>
        </is>
      </c>
    </row>
    <row r="141" ht="16" customHeight="1">
      <c r="A141" s="89" t="n">
        <v>137</v>
      </c>
      <c r="B141" s="90" t="inlineStr">
        <is>
          <t>ITI Arbitrage Fund - Regular Plan - Growth Option</t>
        </is>
      </c>
      <c r="C141" s="90" t="inlineStr">
        <is>
          <t>ITI Mutual Fund</t>
        </is>
      </c>
      <c r="D141" s="90" t="inlineStr">
        <is>
          <t>Arbitrage Fund</t>
        </is>
      </c>
      <c r="E141" s="90" t="inlineStr">
        <is>
          <t>Arbitrage Fund</t>
        </is>
      </c>
      <c r="F141" s="92" t="n">
        <v>0.46</v>
      </c>
      <c r="G141" s="92" t="n">
        <v>1.1</v>
      </c>
      <c r="H141" s="92" t="n">
        <v>2.62</v>
      </c>
      <c r="I141" s="92" t="n">
        <v>5.78</v>
      </c>
      <c r="J141" s="92" t="n">
        <v>6.240293674292907</v>
      </c>
      <c r="K141" s="92" t="n">
        <v>21.31</v>
      </c>
      <c r="L141" s="95" t="n">
        <v>20</v>
      </c>
      <c r="M141" s="18" t="n">
        <v>0</v>
      </c>
      <c r="N141" s="24" t="n">
        <v>11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93" t="inlineStr">
        <is>
          <t>📉 Weak</t>
        </is>
      </c>
      <c r="S141" s="93" t="inlineStr">
        <is>
          <t>🔴 Not Qualified</t>
        </is>
      </c>
      <c r="T141" s="93" t="inlineStr">
        <is>
          <t>🔴 Avoid</t>
        </is>
      </c>
      <c r="U141" s="76" t="inlineStr">
        <is>
          <t>FULL</t>
        </is>
      </c>
    </row>
    <row r="142" ht="16" customHeight="1">
      <c r="A142" s="84" t="n">
        <v>138</v>
      </c>
      <c r="B142" s="85" t="inlineStr">
        <is>
          <t>BARODA BNP PARIBAS ARBITRAGE FUND- REGULAR PLAN- GROWTH OPTION</t>
        </is>
      </c>
      <c r="C142" s="85" t="inlineStr">
        <is>
          <t>Baroda BNP Paribas Mutual Fund</t>
        </is>
      </c>
      <c r="D142" s="85" t="inlineStr">
        <is>
          <t>Arbitrage Fund</t>
        </is>
      </c>
      <c r="E142" s="85" t="inlineStr">
        <is>
          <t>Arbitrage Fund</t>
        </is>
      </c>
      <c r="F142" s="87" t="n">
        <v>0.44</v>
      </c>
      <c r="G142" s="87" t="n">
        <v>1.27</v>
      </c>
      <c r="H142" s="87" t="n">
        <v>2.64</v>
      </c>
      <c r="I142" s="87" t="n">
        <v>5.54</v>
      </c>
      <c r="J142" s="87" t="n">
        <v>6.028298109514152</v>
      </c>
      <c r="K142" s="87" t="n">
        <v>21.19</v>
      </c>
      <c r="L142" s="95" t="n">
        <v>19.2</v>
      </c>
      <c r="M142" s="18" t="n">
        <v>0</v>
      </c>
      <c r="N142" s="24" t="n">
        <v>10.6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88" t="inlineStr">
        <is>
          <t>📉 Weak</t>
        </is>
      </c>
      <c r="S142" s="88" t="inlineStr">
        <is>
          <t>🔴 Not Qualified</t>
        </is>
      </c>
      <c r="T142" s="88" t="inlineStr">
        <is>
          <t>🔴 Avoid</t>
        </is>
      </c>
      <c r="U142" s="76" t="inlineStr">
        <is>
          <t>FULL</t>
        </is>
      </c>
    </row>
    <row r="143" ht="16" customHeight="1">
      <c r="A143" s="89" t="n">
        <v>139</v>
      </c>
      <c r="B143" s="90" t="inlineStr">
        <is>
          <t>Sundaram Conservative Hybrid Fund (Formerly Known as Sundaram Debt Oriented Hybrid Fund) Regular Plan - Growth</t>
        </is>
      </c>
      <c r="C143" s="90" t="inlineStr">
        <is>
          <t>Sundaram Mutual Fund</t>
        </is>
      </c>
      <c r="D143" s="90" t="inlineStr">
        <is>
          <t>Conservative Hybrid Fund</t>
        </is>
      </c>
      <c r="E143" s="90" t="inlineStr">
        <is>
          <t>Conservative Hybrid Fund</t>
        </is>
      </c>
      <c r="F143" s="92" t="n">
        <v>0.26</v>
      </c>
      <c r="G143" s="92" t="n">
        <v>0.76</v>
      </c>
      <c r="H143" s="91" t="n">
        <v>-1</v>
      </c>
      <c r="I143" s="91" t="n">
        <v>-1.2</v>
      </c>
      <c r="J143" s="92" t="n">
        <v>2.068604379603434</v>
      </c>
      <c r="K143" s="92" t="n">
        <v>14.87</v>
      </c>
      <c r="L143" s="95" t="n">
        <v>19.2</v>
      </c>
      <c r="M143" s="18" t="n">
        <v>0</v>
      </c>
      <c r="N143" s="24" t="n">
        <v>10.5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93" t="inlineStr">
        <is>
          <t>📉 Weak</t>
        </is>
      </c>
      <c r="S143" s="93" t="inlineStr">
        <is>
          <t>🔴 Not Qualified</t>
        </is>
      </c>
      <c r="T143" s="93" t="inlineStr">
        <is>
          <t>🔴 Avoid</t>
        </is>
      </c>
      <c r="U143" s="76" t="inlineStr">
        <is>
          <t>FULL</t>
        </is>
      </c>
    </row>
    <row r="144" ht="16" customHeight="1">
      <c r="A144" s="84" t="n">
        <v>140</v>
      </c>
      <c r="B144" s="85" t="inlineStr">
        <is>
          <t>Franklin India Conservative Hybrid Fund - Growth</t>
        </is>
      </c>
      <c r="C144" s="85" t="inlineStr">
        <is>
          <t>Franklin Templeton Mutual Fund</t>
        </is>
      </c>
      <c r="D144" s="85" t="inlineStr">
        <is>
          <t>Conservative Hybrid Fund</t>
        </is>
      </c>
      <c r="E144" s="85" t="inlineStr">
        <is>
          <t>Conservative Hybrid Fund</t>
        </is>
      </c>
      <c r="F144" s="87" t="n">
        <v>0.14</v>
      </c>
      <c r="G144" s="87" t="n">
        <v>0.83</v>
      </c>
      <c r="H144" s="87" t="n">
        <v>1.08</v>
      </c>
      <c r="I144" s="87" t="n">
        <v>0.78</v>
      </c>
      <c r="J144" s="87" t="n">
        <v>4.22091920531118</v>
      </c>
      <c r="K144" s="87" t="n">
        <v>24.14</v>
      </c>
      <c r="L144" s="95" t="n">
        <v>18.3</v>
      </c>
      <c r="M144" s="18" t="n">
        <v>0</v>
      </c>
      <c r="N144" s="24" t="n">
        <v>10.1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88" t="inlineStr">
        <is>
          <t>📉 Weak</t>
        </is>
      </c>
      <c r="S144" s="88" t="inlineStr">
        <is>
          <t>🔴 Not Qualified</t>
        </is>
      </c>
      <c r="T144" s="88" t="inlineStr">
        <is>
          <t>🔴 Avoid</t>
        </is>
      </c>
      <c r="U144" s="76" t="inlineStr">
        <is>
          <t>FULL</t>
        </is>
      </c>
    </row>
    <row r="145" ht="16" customHeight="1">
      <c r="A145" s="89" t="n">
        <v>141</v>
      </c>
      <c r="B145" s="90" t="inlineStr">
        <is>
          <t>ITI Balanced Advantage Fund - Regular Plan - Growth Option</t>
        </is>
      </c>
      <c r="C145" s="90" t="inlineStr">
        <is>
          <t>ITI Mutual Fund</t>
        </is>
      </c>
      <c r="D145" s="90" t="inlineStr">
        <is>
          <t>Dynamic Asset Allocation Or Balanced Advantage</t>
        </is>
      </c>
      <c r="E145" s="90" t="inlineStr">
        <is>
          <t>Dynamic Asset Allocation Or Balanced Advantage</t>
        </is>
      </c>
      <c r="F145" s="91" t="n">
        <v>-1.71</v>
      </c>
      <c r="G145" s="92" t="n">
        <v>0.62</v>
      </c>
      <c r="H145" s="91" t="n">
        <v>-1.47</v>
      </c>
      <c r="I145" s="91" t="n">
        <v>-3.42</v>
      </c>
      <c r="J145" s="92" t="n">
        <v>0.3444069193694554</v>
      </c>
      <c r="K145" s="92" t="n">
        <v>24.69</v>
      </c>
      <c r="L145" s="95" t="n">
        <v>17.8</v>
      </c>
      <c r="M145" s="18" t="n">
        <v>0</v>
      </c>
      <c r="N145" s="24" t="n">
        <v>9.800000000000001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93" t="inlineStr">
        <is>
          <t>📉 Weak</t>
        </is>
      </c>
      <c r="S145" s="93" t="inlineStr">
        <is>
          <t>🔴 Not Qualified</t>
        </is>
      </c>
      <c r="T145" s="93" t="inlineStr">
        <is>
          <t>🔴 Avoid</t>
        </is>
      </c>
      <c r="U145" s="76" t="inlineStr">
        <is>
          <t>FULL</t>
        </is>
      </c>
    </row>
    <row r="146" ht="16" customHeight="1">
      <c r="A146" s="84" t="n">
        <v>142</v>
      </c>
      <c r="B146" s="85" t="inlineStr">
        <is>
          <t>Invesco India Balanced Advantage Fund - Regular Plan - Growth</t>
        </is>
      </c>
      <c r="C146" s="85" t="inlineStr">
        <is>
          <t>Invesco Mutual Fund</t>
        </is>
      </c>
      <c r="D146" s="85" t="inlineStr">
        <is>
          <t>Dynamic Asset Allocation Or Balanced Advantage</t>
        </is>
      </c>
      <c r="E146" s="85" t="inlineStr">
        <is>
          <t>Dynamic Asset Allocation Or Balanced Advantage</t>
        </is>
      </c>
      <c r="F146" s="86" t="n">
        <v>-0.6899999999999999</v>
      </c>
      <c r="G146" s="87" t="n">
        <v>0.42</v>
      </c>
      <c r="H146" s="86" t="n">
        <v>-2.46</v>
      </c>
      <c r="I146" s="86" t="n">
        <v>-3.67</v>
      </c>
      <c r="J146" s="87" t="n">
        <v>0.379280730636844</v>
      </c>
      <c r="K146" s="87" t="n">
        <v>26.47</v>
      </c>
      <c r="L146" s="95" t="n">
        <v>16.7</v>
      </c>
      <c r="M146" s="18" t="n">
        <v>0</v>
      </c>
      <c r="N146" s="24" t="n">
        <v>9.199999999999999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88" t="inlineStr">
        <is>
          <t>📉 Weak</t>
        </is>
      </c>
      <c r="S146" s="88" t="inlineStr">
        <is>
          <t>🔴 Not Qualified</t>
        </is>
      </c>
      <c r="T146" s="88" t="inlineStr">
        <is>
          <t>🔴 Avoid</t>
        </is>
      </c>
      <c r="U146" s="76" t="inlineStr">
        <is>
          <t>FULL</t>
        </is>
      </c>
    </row>
    <row r="147" ht="16" customHeight="1">
      <c r="A147" s="89" t="n">
        <v>143</v>
      </c>
      <c r="B147" s="90" t="inlineStr">
        <is>
          <t>Sundaram Aggressive Hybrid Fund (Formerly Known as Principal Hybrid Equity Fund)-Growth</t>
        </is>
      </c>
      <c r="C147" s="90" t="inlineStr">
        <is>
          <t>Sundaram Mutual Fund</t>
        </is>
      </c>
      <c r="D147" s="90" t="inlineStr">
        <is>
          <t>Aggressive Hybrid Fund</t>
        </is>
      </c>
      <c r="E147" s="90" t="inlineStr">
        <is>
          <t>Aggressive Hybrid Fund</t>
        </is>
      </c>
      <c r="F147" s="91" t="n">
        <v>-0.98</v>
      </c>
      <c r="G147" s="91" t="n">
        <v>-0.23</v>
      </c>
      <c r="H147" s="91" t="n">
        <v>-1.67</v>
      </c>
      <c r="I147" s="91" t="n">
        <v>-2.69</v>
      </c>
      <c r="J147" s="92" t="n">
        <v>0.722390757964031</v>
      </c>
      <c r="K147" s="92" t="n">
        <v>28.16</v>
      </c>
      <c r="L147" s="95" t="n">
        <v>15.5</v>
      </c>
      <c r="M147" s="18" t="n">
        <v>0</v>
      </c>
      <c r="N147" s="24" t="n">
        <v>8.5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93" t="inlineStr">
        <is>
          <t>📉 Weak</t>
        </is>
      </c>
      <c r="S147" s="93" t="inlineStr">
        <is>
          <t>🔴 Not Qualified</t>
        </is>
      </c>
      <c r="T147" s="93" t="inlineStr">
        <is>
          <t>🔴 Avoid</t>
        </is>
      </c>
      <c r="U147" s="76" t="inlineStr">
        <is>
          <t>FULL</t>
        </is>
      </c>
    </row>
    <row r="148" ht="16" customHeight="1">
      <c r="A148" s="84" t="n">
        <v>144</v>
      </c>
      <c r="B148" s="85" t="inlineStr">
        <is>
          <t>Mahindra Manulife Arbitrage Fund - Regular Plan - Growth</t>
        </is>
      </c>
      <c r="C148" s="85" t="inlineStr">
        <is>
          <t>Mahindra Manulife Mutual Fund</t>
        </is>
      </c>
      <c r="D148" s="85" t="inlineStr">
        <is>
          <t>Arbitrage Fund</t>
        </is>
      </c>
      <c r="E148" s="85" t="inlineStr">
        <is>
          <t>Arbitrage Fund</t>
        </is>
      </c>
      <c r="F148" s="87" t="n">
        <v>0.43</v>
      </c>
      <c r="G148" s="87" t="n">
        <v>1.23</v>
      </c>
      <c r="H148" s="87" t="n">
        <v>2.62</v>
      </c>
      <c r="I148" s="87" t="n">
        <v>5.39</v>
      </c>
      <c r="J148" s="87" t="n">
        <v>5.380263806843844</v>
      </c>
      <c r="K148" s="87" t="n">
        <v>18.08</v>
      </c>
      <c r="L148" s="95" t="n">
        <v>14.3</v>
      </c>
      <c r="M148" s="18" t="n">
        <v>0</v>
      </c>
      <c r="N148" s="24" t="n">
        <v>7.9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88" t="inlineStr">
        <is>
          <t>📉 Weak</t>
        </is>
      </c>
      <c r="S148" s="88" t="inlineStr">
        <is>
          <t>🔴 Not Qualified</t>
        </is>
      </c>
      <c r="T148" s="88" t="inlineStr">
        <is>
          <t>🔴 Avoid</t>
        </is>
      </c>
      <c r="U148" s="76" t="inlineStr">
        <is>
          <t>FULL</t>
        </is>
      </c>
    </row>
    <row r="149" ht="16" customHeight="1">
      <c r="A149" s="89" t="n">
        <v>145</v>
      </c>
      <c r="B149" s="90" t="inlineStr">
        <is>
          <t>HDFC Hybrid Equity Fund - Growth Plan</t>
        </is>
      </c>
      <c r="C149" s="90" t="inlineStr">
        <is>
          <t>HDFC Mutual Fund</t>
        </is>
      </c>
      <c r="D149" s="90" t="inlineStr">
        <is>
          <t>Aggressive Hybrid Fund</t>
        </is>
      </c>
      <c r="E149" s="90" t="inlineStr">
        <is>
          <t>Aggressive Hybrid Fund</t>
        </is>
      </c>
      <c r="F149" s="91" t="n">
        <v>-0.78</v>
      </c>
      <c r="G149" s="91" t="n">
        <v>-0.34</v>
      </c>
      <c r="H149" s="91" t="n">
        <v>-3.29</v>
      </c>
      <c r="I149" s="91" t="n">
        <v>-6.11</v>
      </c>
      <c r="J149" s="91" t="n">
        <v>-0.7629101595577836</v>
      </c>
      <c r="K149" s="92" t="n">
        <v>18.54</v>
      </c>
      <c r="L149" s="95" t="n">
        <v>14</v>
      </c>
      <c r="M149" s="18" t="n">
        <v>0</v>
      </c>
      <c r="N149" s="24" t="n">
        <v>7.7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93" t="inlineStr">
        <is>
          <t>📉 Weak</t>
        </is>
      </c>
      <c r="S149" s="93" t="inlineStr">
        <is>
          <t>🔴 Not Qualified</t>
        </is>
      </c>
      <c r="T149" s="93" t="inlineStr">
        <is>
          <t>🔴 Avoid</t>
        </is>
      </c>
      <c r="U149" s="76" t="inlineStr">
        <is>
          <t>FULL</t>
        </is>
      </c>
    </row>
    <row r="150" ht="16" customHeight="1">
      <c r="A150" s="84" t="n">
        <v>146</v>
      </c>
      <c r="B150" s="85" t="inlineStr">
        <is>
          <t>BANK OF INDIA Arbitrage Fund Regular Growth</t>
        </is>
      </c>
      <c r="C150" s="85" t="inlineStr">
        <is>
          <t>Bank of India Mutual Fund</t>
        </is>
      </c>
      <c r="D150" s="85" t="inlineStr">
        <is>
          <t>Arbitrage Fund</t>
        </is>
      </c>
      <c r="E150" s="85" t="inlineStr">
        <is>
          <t>Arbitrage Fund</t>
        </is>
      </c>
      <c r="F150" s="87" t="n">
        <v>0.39</v>
      </c>
      <c r="G150" s="87" t="n">
        <v>1.18</v>
      </c>
      <c r="H150" s="87" t="n">
        <v>2.58</v>
      </c>
      <c r="I150" s="87" t="n">
        <v>5.47</v>
      </c>
      <c r="J150" s="87" t="n">
        <v>5.910339438602485</v>
      </c>
      <c r="K150" s="87" t="n">
        <v>19.95</v>
      </c>
      <c r="L150" s="95" t="n">
        <v>13</v>
      </c>
      <c r="M150" s="18" t="n">
        <v>0</v>
      </c>
      <c r="N150" s="24" t="n">
        <v>7.1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88" t="inlineStr">
        <is>
          <t>📉 Weak</t>
        </is>
      </c>
      <c r="S150" s="88" t="inlineStr">
        <is>
          <t>🔴 Not Qualified</t>
        </is>
      </c>
      <c r="T150" s="88" t="inlineStr">
        <is>
          <t>🔴 Avoid</t>
        </is>
      </c>
      <c r="U150" s="76" t="inlineStr">
        <is>
          <t>FULL</t>
        </is>
      </c>
    </row>
    <row r="151" ht="16" customHeight="1">
      <c r="A151" s="89" t="n">
        <v>147</v>
      </c>
      <c r="B151" s="90" t="inlineStr">
        <is>
          <t>Sundaram Arbitrage Fund (Formerly Known as Principal Arbitrage Fund)- Regular Plan - Monthly Income Distribution CUM Capital Withdrawal</t>
        </is>
      </c>
      <c r="C151" s="90" t="inlineStr">
        <is>
          <t>Sundaram Mutual Fund</t>
        </is>
      </c>
      <c r="D151" s="90" t="inlineStr">
        <is>
          <t>Arbitrage Fund</t>
        </is>
      </c>
      <c r="E151" s="90" t="inlineStr">
        <is>
          <t>Arbitrage Fund</t>
        </is>
      </c>
      <c r="F151" s="92" t="n">
        <v>0.51</v>
      </c>
      <c r="G151" s="91" t="n">
        <v>-4.62</v>
      </c>
      <c r="H151" s="91" t="n">
        <v>-3.14</v>
      </c>
      <c r="I151" s="91" t="n">
        <v>-0.39</v>
      </c>
      <c r="J151" s="92" t="n">
        <v>3.004854254544709</v>
      </c>
      <c r="K151" s="92" t="n">
        <v>13.89</v>
      </c>
      <c r="L151" s="95" t="n">
        <v>10.6</v>
      </c>
      <c r="M151" s="18" t="n">
        <v>0</v>
      </c>
      <c r="N151" s="24" t="n">
        <v>5.8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93" t="inlineStr">
        <is>
          <t>📉 Weak</t>
        </is>
      </c>
      <c r="S151" s="93" t="inlineStr">
        <is>
          <t>🔴 Not Qualified</t>
        </is>
      </c>
      <c r="T151" s="93" t="inlineStr">
        <is>
          <t>🔴 Avoid</t>
        </is>
      </c>
      <c r="U151" s="76" t="inlineStr">
        <is>
          <t>FULL</t>
        </is>
      </c>
    </row>
    <row r="152" ht="16" customHeight="1">
      <c r="A152" s="84" t="n">
        <v>148</v>
      </c>
      <c r="B152" s="85" t="inlineStr">
        <is>
          <t>Sundaram Equity Savings Fund (Formerly Known as Principal Equity Savings Fund) - Growth Option</t>
        </is>
      </c>
      <c r="C152" s="85" t="inlineStr">
        <is>
          <t>Sundaram Mutual Fund</t>
        </is>
      </c>
      <c r="D152" s="85" t="inlineStr">
        <is>
          <t>Equity Savings</t>
        </is>
      </c>
      <c r="E152" s="85" t="inlineStr">
        <is>
          <t>Equity Savings</t>
        </is>
      </c>
      <c r="F152" s="86" t="n">
        <v>-0.46</v>
      </c>
      <c r="G152" s="87" t="n">
        <v>0.2</v>
      </c>
      <c r="H152" s="86" t="n">
        <v>-0.41</v>
      </c>
      <c r="I152" s="86" t="n">
        <v>-0.09</v>
      </c>
      <c r="J152" s="87" t="n">
        <v>3.566403818999131</v>
      </c>
      <c r="K152" s="87" t="n">
        <v>25.62</v>
      </c>
      <c r="L152" s="95" t="n">
        <v>4.3</v>
      </c>
      <c r="M152" s="18" t="n">
        <v>0</v>
      </c>
      <c r="N152" s="24" t="n">
        <v>2.4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88" t="inlineStr">
        <is>
          <t>📉 Weak</t>
        </is>
      </c>
      <c r="S152" s="88" t="inlineStr">
        <is>
          <t>🔴 Not Qualified</t>
        </is>
      </c>
      <c r="T152" s="88" t="inlineStr">
        <is>
          <t>🔴 Avoid</t>
        </is>
      </c>
      <c r="U152" s="76" t="inlineStr">
        <is>
          <t>FULL</t>
        </is>
      </c>
    </row>
    <row r="153" ht="16" customHeight="1">
      <c r="A153" s="89" t="n">
        <v>149</v>
      </c>
      <c r="B153" s="90" t="inlineStr">
        <is>
          <t>Sundaram Aggressive Hybrid Fund (Formerly Known as Principal Hybrid Equity Fund)- Monthly Income Distribution CUM Capital Withdrawal</t>
        </is>
      </c>
      <c r="C153" s="90" t="inlineStr">
        <is>
          <t>Sundaram Mutual Fund</t>
        </is>
      </c>
      <c r="D153" s="90" t="inlineStr">
        <is>
          <t>Aggressive Hybrid Fund</t>
        </is>
      </c>
      <c r="E153" s="90" t="inlineStr">
        <is>
          <t>Aggressive Hybrid Fund</t>
        </is>
      </c>
      <c r="F153" s="91" t="n">
        <v>-1.82</v>
      </c>
      <c r="G153" s="91" t="n">
        <v>-2.9</v>
      </c>
      <c r="H153" s="91" t="n">
        <v>-7.05</v>
      </c>
      <c r="I153" s="91" t="n">
        <v>-12.9</v>
      </c>
      <c r="J153" s="91" t="n">
        <v>-9.584293399874378</v>
      </c>
      <c r="K153" s="91" t="n">
        <v>-7.36</v>
      </c>
      <c r="L153" s="95" t="n">
        <v>0</v>
      </c>
      <c r="M153" s="18" t="n">
        <v>0</v>
      </c>
      <c r="N153" s="24" t="n">
        <v>0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93" t="inlineStr">
        <is>
          <t>📉 Weak</t>
        </is>
      </c>
      <c r="S153" s="93" t="inlineStr">
        <is>
          <t>🔴 Not Qualified</t>
        </is>
      </c>
      <c r="T153" s="93" t="inlineStr">
        <is>
          <t>🔴 Avoid</t>
        </is>
      </c>
      <c r="U153" s="76" t="inlineStr">
        <is>
          <t>FULL</t>
        </is>
      </c>
    </row>
    <row r="154" ht="16" customHeight="1">
      <c r="A154" s="84" t="n">
        <v>150</v>
      </c>
      <c r="B154" s="85" t="inlineStr">
        <is>
          <t>Sundaram Balanced Advantage Fund (Formerly Known as Principal Balanced Advantage Fund) - Monthly Income Distribution CUM Capital Withdrawal Option</t>
        </is>
      </c>
      <c r="C154" s="85" t="inlineStr">
        <is>
          <t>Sundaram Mutual Fund</t>
        </is>
      </c>
      <c r="D154" s="85" t="inlineStr">
        <is>
          <t>Dynamic Asset Allocation Or Balanced Advantage</t>
        </is>
      </c>
      <c r="E154" s="85" t="inlineStr">
        <is>
          <t>Dynamic Asset Allocation Or Balanced Advantage</t>
        </is>
      </c>
      <c r="F154" s="86" t="n">
        <v>-1.66</v>
      </c>
      <c r="G154" s="86" t="n">
        <v>-2.44</v>
      </c>
      <c r="H154" s="86" t="n">
        <v>-5.65</v>
      </c>
      <c r="I154" s="86" t="n">
        <v>-10.26</v>
      </c>
      <c r="J154" s="86" t="n">
        <v>-7.17758891302166</v>
      </c>
      <c r="K154" s="86" t="n">
        <v>-2.47</v>
      </c>
      <c r="L154" s="95" t="n">
        <v>0</v>
      </c>
      <c r="M154" s="18" t="n">
        <v>0</v>
      </c>
      <c r="N154" s="24" t="n">
        <v>0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88" t="inlineStr">
        <is>
          <t>📉 Weak</t>
        </is>
      </c>
      <c r="S154" s="88" t="inlineStr">
        <is>
          <t>🔴 Not Qualified</t>
        </is>
      </c>
      <c r="T154" s="88" t="inlineStr">
        <is>
          <t>🔴 Avoid</t>
        </is>
      </c>
      <c r="U154" s="76" t="inlineStr">
        <is>
          <t>FULL</t>
        </is>
      </c>
    </row>
    <row r="155" ht="16" customHeight="1">
      <c r="A155" s="89" t="n">
        <v>151</v>
      </c>
      <c r="B155" s="90" t="inlineStr">
        <is>
          <t>Kotak Debt Hybrid - Monthly Payout of Income Distribution cum capital withdrawal option</t>
        </is>
      </c>
      <c r="C155" s="90" t="inlineStr">
        <is>
          <t>Kotak Mahindra Mutual Fund</t>
        </is>
      </c>
      <c r="D155" s="90" t="inlineStr">
        <is>
          <t>Conservative Hybrid Fund</t>
        </is>
      </c>
      <c r="E155" s="90" t="inlineStr">
        <is>
          <t>Conservative Hybrid Fund</t>
        </is>
      </c>
      <c r="F155" s="91" t="n">
        <v>-0.39</v>
      </c>
      <c r="G155" s="91" t="n">
        <v>-0.5600000000000001</v>
      </c>
      <c r="H155" s="91" t="n">
        <v>-2.48</v>
      </c>
      <c r="I155" s="91" t="n">
        <v>-6.14</v>
      </c>
      <c r="J155" s="91" t="n">
        <v>-3.651673600420025</v>
      </c>
      <c r="K155" s="91" t="n">
        <v>-1.27</v>
      </c>
      <c r="L155" s="95" t="n">
        <v>0</v>
      </c>
      <c r="M155" s="18" t="n">
        <v>0</v>
      </c>
      <c r="N155" s="24" t="n">
        <v>0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93" t="inlineStr">
        <is>
          <t>📉 Weak</t>
        </is>
      </c>
      <c r="S155" s="93" t="inlineStr">
        <is>
          <t>🔴 Not Qualified</t>
        </is>
      </c>
      <c r="T155" s="93" t="inlineStr">
        <is>
          <t>🔴 Avoid</t>
        </is>
      </c>
      <c r="U155" s="76" t="inlineStr">
        <is>
          <t>FULL</t>
        </is>
      </c>
    </row>
    <row r="156" ht="16" customHeight="1">
      <c r="A156" s="26" t="n">
        <v>152</v>
      </c>
      <c r="B156" s="27" t="inlineStr">
        <is>
          <t>quant Arbitrage Fund - Growth Option - Regular Plan</t>
        </is>
      </c>
      <c r="C156" s="27" t="inlineStr">
        <is>
          <t>quant Mutual Fund</t>
        </is>
      </c>
      <c r="D156" s="27" t="inlineStr">
        <is>
          <t>Arbitrage Fund</t>
        </is>
      </c>
      <c r="E156" s="27" t="inlineStr">
        <is>
          <t>Arbitrage Fund</t>
        </is>
      </c>
      <c r="F156" s="29" t="n">
        <v>0.64</v>
      </c>
      <c r="G156" s="29" t="n">
        <v>1.69</v>
      </c>
      <c r="H156" s="29" t="n">
        <v>3.38</v>
      </c>
      <c r="I156" s="29" t="n">
        <v>6.91</v>
      </c>
      <c r="J156" s="29" t="n">
        <v>0</v>
      </c>
      <c r="K156" s="29" t="n">
        <v>0</v>
      </c>
      <c r="L156" s="17" t="n">
        <v>100</v>
      </c>
      <c r="M156" s="18" t="n">
        <v>0</v>
      </c>
      <c r="N156" s="19" t="n">
        <v>55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101" t="inlineStr">
        <is>
          <t>🔥 Hot</t>
        </is>
      </c>
      <c r="S156" s="101" t="inlineStr">
        <is>
          <t>⏳ New Fund</t>
        </is>
      </c>
      <c r="T156" s="101" t="inlineStr">
        <is>
          <t>🔥 Hot Momentum</t>
        </is>
      </c>
      <c r="U156" s="102" t="inlineStr">
        <is>
          <t>MOMENTUM_ONLY</t>
        </is>
      </c>
    </row>
    <row r="157" ht="16" customHeight="1">
      <c r="A157" s="26" t="n">
        <v>153</v>
      </c>
      <c r="B157" s="27" t="inlineStr">
        <is>
          <t>WhiteOak Capital Arbitrage Fund Regular Plan Growth</t>
        </is>
      </c>
      <c r="C157" s="27" t="inlineStr">
        <is>
          <t>WhiteOak Capital Mutual Fund</t>
        </is>
      </c>
      <c r="D157" s="27" t="inlineStr">
        <is>
          <t>Arbitrage Fund</t>
        </is>
      </c>
      <c r="E157" s="27" t="inlineStr">
        <is>
          <t>Arbitrage Fund</t>
        </is>
      </c>
      <c r="F157" s="29" t="n">
        <v>0.64</v>
      </c>
      <c r="G157" s="29" t="n">
        <v>1.54</v>
      </c>
      <c r="H157" s="29" t="n">
        <v>3.15</v>
      </c>
      <c r="I157" s="29" t="n">
        <v>6.29</v>
      </c>
      <c r="J157" s="29" t="n">
        <v>0</v>
      </c>
      <c r="K157" s="29" t="n">
        <v>0</v>
      </c>
      <c r="L157" s="17" t="n">
        <v>100</v>
      </c>
      <c r="M157" s="18" t="n">
        <v>0</v>
      </c>
      <c r="N157" s="19" t="n">
        <v>55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101" t="inlineStr">
        <is>
          <t>🔥 Hot</t>
        </is>
      </c>
      <c r="S157" s="101" t="inlineStr">
        <is>
          <t>⏳ New Fund</t>
        </is>
      </c>
      <c r="T157" s="101" t="inlineStr">
        <is>
          <t>🔥 Hot Momentum</t>
        </is>
      </c>
      <c r="U157" s="102" t="inlineStr">
        <is>
          <t>MOMENTUM_ONLY</t>
        </is>
      </c>
    </row>
    <row r="158" ht="16" customHeight="1">
      <c r="A158" s="26" t="n">
        <v>154</v>
      </c>
      <c r="B158" s="27" t="inlineStr">
        <is>
          <t>Unifi Dynamic Asset Allocation Fund - Regular Growth</t>
        </is>
      </c>
      <c r="C158" s="27" t="inlineStr">
        <is>
          <t>Unifi Mutual Fund</t>
        </is>
      </c>
      <c r="D158" s="27" t="inlineStr">
        <is>
          <t>Dynamic Asset Allocation Or Balanced Advantage</t>
        </is>
      </c>
      <c r="E158" s="27" t="inlineStr">
        <is>
          <t>Dynamic Asset Allocation Or Balanced Advantage</t>
        </is>
      </c>
      <c r="F158" s="29" t="n">
        <v>0.68</v>
      </c>
      <c r="G158" s="29" t="n">
        <v>2.06</v>
      </c>
      <c r="H158" s="29" t="n">
        <v>3.75</v>
      </c>
      <c r="I158" s="29" t="n">
        <v>7.35</v>
      </c>
      <c r="J158" s="29" t="n">
        <v>0</v>
      </c>
      <c r="K158" s="29" t="n">
        <v>0</v>
      </c>
      <c r="L158" s="17" t="n">
        <v>98.3</v>
      </c>
      <c r="M158" s="18" t="n">
        <v>0</v>
      </c>
      <c r="N158" s="19" t="n">
        <v>54.1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101" t="inlineStr">
        <is>
          <t>🔥 Hot</t>
        </is>
      </c>
      <c r="S158" s="101" t="inlineStr">
        <is>
          <t>⏳ New Fund</t>
        </is>
      </c>
      <c r="T158" s="101" t="inlineStr">
        <is>
          <t>🔥 Hot Momentum</t>
        </is>
      </c>
      <c r="U158" s="102" t="inlineStr">
        <is>
          <t>MOMENTUM_ONLY</t>
        </is>
      </c>
    </row>
    <row r="159" ht="16" customHeight="1">
      <c r="A159" s="26" t="n">
        <v>155</v>
      </c>
      <c r="B159" s="27" t="inlineStr">
        <is>
          <t>WhiteOak Capital Equity Savings Fund Regular Plan Growth</t>
        </is>
      </c>
      <c r="C159" s="27" t="inlineStr">
        <is>
          <t>WhiteOak Capital Mutual Fund</t>
        </is>
      </c>
      <c r="D159" s="27" t="inlineStr">
        <is>
          <t>Equity Savings</t>
        </is>
      </c>
      <c r="E159" s="27" t="inlineStr">
        <is>
          <t>Equity Savings</t>
        </is>
      </c>
      <c r="F159" s="29" t="n">
        <v>1.08</v>
      </c>
      <c r="G159" s="29" t="n">
        <v>2.19</v>
      </c>
      <c r="H159" s="29" t="n">
        <v>2.37</v>
      </c>
      <c r="I159" s="29" t="n">
        <v>6.94</v>
      </c>
      <c r="J159" s="29" t="n">
        <v>0</v>
      </c>
      <c r="K159" s="29" t="n">
        <v>0</v>
      </c>
      <c r="L159" s="17" t="n">
        <v>92.59999999999999</v>
      </c>
      <c r="M159" s="18" t="n">
        <v>0</v>
      </c>
      <c r="N159" s="19" t="n">
        <v>50.9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101" t="inlineStr">
        <is>
          <t>🔥 Hot</t>
        </is>
      </c>
      <c r="S159" s="101" t="inlineStr">
        <is>
          <t>⏳ New Fund</t>
        </is>
      </c>
      <c r="T159" s="101" t="inlineStr">
        <is>
          <t>🔥 Hot Momentum</t>
        </is>
      </c>
      <c r="U159" s="102" t="inlineStr">
        <is>
          <t>MOMENTUM_ONLY</t>
        </is>
      </c>
    </row>
    <row r="160" ht="16" customHeight="1">
      <c r="A160" s="26" t="n">
        <v>156</v>
      </c>
      <c r="B160" s="27" t="inlineStr">
        <is>
          <t>Mahindra Manulife Multi Asset Allocation Fund- Regular Plan - Growth</t>
        </is>
      </c>
      <c r="C160" s="27" t="inlineStr">
        <is>
          <t>Mahindra Manulife Mutual Fund</t>
        </is>
      </c>
      <c r="D160" s="27" t="inlineStr">
        <is>
          <t>Multi Asset Allocation</t>
        </is>
      </c>
      <c r="E160" s="27" t="inlineStr">
        <is>
          <t>Multi Asset Allocation</t>
        </is>
      </c>
      <c r="F160" s="29" t="n">
        <v>0.04</v>
      </c>
      <c r="G160" s="29" t="n">
        <v>1.51</v>
      </c>
      <c r="H160" s="29" t="n">
        <v>1.54</v>
      </c>
      <c r="I160" s="29" t="n">
        <v>12.74</v>
      </c>
      <c r="J160" s="29" t="n">
        <v>10.76551810017412</v>
      </c>
      <c r="K160" s="29" t="n">
        <v>0</v>
      </c>
      <c r="L160" s="17" t="n">
        <v>85.8</v>
      </c>
      <c r="M160" s="18" t="n">
        <v>0</v>
      </c>
      <c r="N160" s="24" t="n">
        <v>47.2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101" t="inlineStr">
        <is>
          <t>⭐ Strong</t>
        </is>
      </c>
      <c r="S160" s="101" t="inlineStr">
        <is>
          <t>⏳ New Fund</t>
        </is>
      </c>
      <c r="T160" s="101" t="inlineStr">
        <is>
          <t>🔥 Hot Momentum</t>
        </is>
      </c>
      <c r="U160" s="102" t="inlineStr">
        <is>
          <t>MOMENTUM_ONLY</t>
        </is>
      </c>
    </row>
    <row r="161" ht="16" customHeight="1">
      <c r="A161" s="26" t="n">
        <v>157</v>
      </c>
      <c r="B161" s="27" t="inlineStr">
        <is>
          <t>Parag Parikh Dynamic Asset Allocation Fund - Regular Plan Growth</t>
        </is>
      </c>
      <c r="C161" s="27" t="inlineStr">
        <is>
          <t>PPFAS Mutual Fund</t>
        </is>
      </c>
      <c r="D161" s="27" t="inlineStr">
        <is>
          <t>Dynamic Asset Allocation Or Balanced Advantage</t>
        </is>
      </c>
      <c r="E161" s="27" t="inlineStr">
        <is>
          <t>Dynamic Asset Allocation Or Balanced Advantage</t>
        </is>
      </c>
      <c r="F161" s="29" t="n">
        <v>0.27</v>
      </c>
      <c r="G161" s="29" t="n">
        <v>1.28</v>
      </c>
      <c r="H161" s="29" t="n">
        <v>2.83</v>
      </c>
      <c r="I161" s="29" t="n">
        <v>3.22</v>
      </c>
      <c r="J161" s="29" t="n">
        <v>5.242576935382948</v>
      </c>
      <c r="K161" s="29" t="n">
        <v>0</v>
      </c>
      <c r="L161" s="17" t="n">
        <v>84.2</v>
      </c>
      <c r="M161" s="18" t="n">
        <v>0</v>
      </c>
      <c r="N161" s="24" t="n">
        <v>46.3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101" t="inlineStr">
        <is>
          <t>⭐ Strong</t>
        </is>
      </c>
      <c r="S161" s="101" t="inlineStr">
        <is>
          <t>⏳ New Fund</t>
        </is>
      </c>
      <c r="T161" s="101" t="inlineStr">
        <is>
          <t>🔥 Hot Momentum</t>
        </is>
      </c>
      <c r="U161" s="102" t="inlineStr">
        <is>
          <t>MOMENTUM_ONLY</t>
        </is>
      </c>
    </row>
    <row r="162" ht="16" customHeight="1">
      <c r="A162" s="26" t="n">
        <v>158</v>
      </c>
      <c r="B162" s="27" t="inlineStr">
        <is>
          <t>DSP Multi Asset Allocation Fund - Regular - Growth</t>
        </is>
      </c>
      <c r="C162" s="27" t="inlineStr">
        <is>
          <t>DSP Mutual Fund</t>
        </is>
      </c>
      <c r="D162" s="27" t="inlineStr">
        <is>
          <t>Multi Asset Allocation</t>
        </is>
      </c>
      <c r="E162" s="27" t="inlineStr">
        <is>
          <t>Multi Asset Allocation</t>
        </is>
      </c>
      <c r="F162" s="29" t="n">
        <v>0.05</v>
      </c>
      <c r="G162" s="29" t="n">
        <v>0.79</v>
      </c>
      <c r="H162" s="29" t="n">
        <v>0.86</v>
      </c>
      <c r="I162" s="29" t="n">
        <v>16.07</v>
      </c>
      <c r="J162" s="29" t="n">
        <v>14.14902540100813</v>
      </c>
      <c r="K162" s="29" t="n">
        <v>0</v>
      </c>
      <c r="L162" s="17" t="n">
        <v>81.2</v>
      </c>
      <c r="M162" s="18" t="n">
        <v>0</v>
      </c>
      <c r="N162" s="24" t="n">
        <v>44.7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101" t="inlineStr">
        <is>
          <t>⭐ Strong</t>
        </is>
      </c>
      <c r="S162" s="101" t="inlineStr">
        <is>
          <t>⏳ New Fund</t>
        </is>
      </c>
      <c r="T162" s="101" t="inlineStr">
        <is>
          <t>🔥 Hot Momentum</t>
        </is>
      </c>
      <c r="U162" s="102" t="inlineStr">
        <is>
          <t>MOMENTUM_ONLY</t>
        </is>
      </c>
    </row>
    <row r="163" ht="16" customHeight="1">
      <c r="A163" s="26" t="n">
        <v>159</v>
      </c>
      <c r="B163" s="27" t="inlineStr">
        <is>
          <t>quant Equity Savings Fund - Growth Option - Regular Plan</t>
        </is>
      </c>
      <c r="C163" s="27" t="inlineStr">
        <is>
          <t>quant Mutual Fund</t>
        </is>
      </c>
      <c r="D163" s="27" t="inlineStr">
        <is>
          <t>Equity Savings</t>
        </is>
      </c>
      <c r="E163" s="27" t="inlineStr">
        <is>
          <t>Equity Savings</t>
        </is>
      </c>
      <c r="F163" s="29" t="n">
        <v>1.25</v>
      </c>
      <c r="G163" s="29" t="n">
        <v>3.26</v>
      </c>
      <c r="H163" s="29" t="n">
        <v>5.11</v>
      </c>
      <c r="I163" s="29" t="n">
        <v>0</v>
      </c>
      <c r="J163" s="29" t="n">
        <v>0</v>
      </c>
      <c r="K163" s="29" t="n">
        <v>0</v>
      </c>
      <c r="L163" s="17" t="n">
        <v>80</v>
      </c>
      <c r="M163" s="18" t="n">
        <v>0</v>
      </c>
      <c r="N163" s="24" t="n">
        <v>44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101" t="inlineStr">
        <is>
          <t>⭐ Strong</t>
        </is>
      </c>
      <c r="S163" s="101" t="inlineStr">
        <is>
          <t>⏳ New Fund</t>
        </is>
      </c>
      <c r="T163" s="101" t="inlineStr">
        <is>
          <t>🔥 Hot Momentum</t>
        </is>
      </c>
      <c r="U163" s="102" t="inlineStr">
        <is>
          <t>MOMENTUM_ONLY</t>
        </is>
      </c>
    </row>
    <row r="164" ht="16" customHeight="1">
      <c r="A164" s="26" t="n">
        <v>160</v>
      </c>
      <c r="B164" s="27" t="inlineStr">
        <is>
          <t>360 ONE Balanced Hybrid Fund - Regular Plan - Growth</t>
        </is>
      </c>
      <c r="C164" s="27" t="inlineStr">
        <is>
          <t>360 ONE Mutual Fund</t>
        </is>
      </c>
      <c r="D164" s="27" t="inlineStr">
        <is>
          <t>Balanced Hybrid Fund</t>
        </is>
      </c>
      <c r="E164" s="27" t="inlineStr">
        <is>
          <t>Balanced Hybrid Fund</t>
        </is>
      </c>
      <c r="F164" s="28" t="n">
        <v>-0.18</v>
      </c>
      <c r="G164" s="29" t="n">
        <v>3.67</v>
      </c>
      <c r="H164" s="29" t="n">
        <v>5.25</v>
      </c>
      <c r="I164" s="29" t="n">
        <v>2.52</v>
      </c>
      <c r="J164" s="29" t="n">
        <v>3.846039885977359</v>
      </c>
      <c r="K164" s="29" t="n">
        <v>0</v>
      </c>
      <c r="L164" s="17" t="n">
        <v>80</v>
      </c>
      <c r="M164" s="18" t="n">
        <v>0</v>
      </c>
      <c r="N164" s="24" t="n">
        <v>44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101" t="inlineStr">
        <is>
          <t>⭐ Strong</t>
        </is>
      </c>
      <c r="S164" s="101" t="inlineStr">
        <is>
          <t>⏳ New Fund</t>
        </is>
      </c>
      <c r="T164" s="101" t="inlineStr">
        <is>
          <t>🔥 Hot Momentum</t>
        </is>
      </c>
      <c r="U164" s="102" t="inlineStr">
        <is>
          <t>MOMENTUM_ONLY</t>
        </is>
      </c>
    </row>
    <row r="165" ht="16" customHeight="1">
      <c r="A165" s="26" t="n">
        <v>161</v>
      </c>
      <c r="B165" s="27" t="inlineStr">
        <is>
          <t>HSBC Multi Asset Allocation Fund - Regular - Growth</t>
        </is>
      </c>
      <c r="C165" s="27" t="inlineStr">
        <is>
          <t>HSBC Mutual Fund</t>
        </is>
      </c>
      <c r="D165" s="27" t="inlineStr">
        <is>
          <t>Multi Asset Allocation</t>
        </is>
      </c>
      <c r="E165" s="27" t="inlineStr">
        <is>
          <t>Multi Asset Allocation</t>
        </is>
      </c>
      <c r="F165" s="28" t="n">
        <v>-1.88</v>
      </c>
      <c r="G165" s="29" t="n">
        <v>1.57</v>
      </c>
      <c r="H165" s="29" t="n">
        <v>3.07</v>
      </c>
      <c r="I165" s="29" t="n">
        <v>13.8</v>
      </c>
      <c r="J165" s="29" t="n">
        <v>9.224539367305184</v>
      </c>
      <c r="K165" s="29" t="n">
        <v>0</v>
      </c>
      <c r="L165" s="94" t="n">
        <v>73</v>
      </c>
      <c r="M165" s="18" t="n">
        <v>0</v>
      </c>
      <c r="N165" s="24" t="n">
        <v>40.1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101" t="inlineStr">
        <is>
          <t>📈 Good</t>
        </is>
      </c>
      <c r="S165" s="101" t="inlineStr">
        <is>
          <t>⏳ New Fund</t>
        </is>
      </c>
      <c r="T165" s="101" t="inlineStr">
        <is>
          <t>📈 Momentum Only</t>
        </is>
      </c>
      <c r="U165" s="102" t="inlineStr">
        <is>
          <t>MOMENTUM_ONLY</t>
        </is>
      </c>
    </row>
    <row r="166" ht="16" customHeight="1">
      <c r="A166" s="26" t="n">
        <v>162</v>
      </c>
      <c r="B166" s="27" t="inlineStr">
        <is>
          <t>Bandhan Multi Asset Allocation Fund - Regular Plan - Growth</t>
        </is>
      </c>
      <c r="C166" s="27" t="inlineStr">
        <is>
          <t>Bandhan Mutual Fund</t>
        </is>
      </c>
      <c r="D166" s="27" t="inlineStr">
        <is>
          <t>Multi Asset Allocation</t>
        </is>
      </c>
      <c r="E166" s="27" t="inlineStr">
        <is>
          <t>Multi Asset Allocation</t>
        </is>
      </c>
      <c r="F166" s="28" t="n">
        <v>-0.96</v>
      </c>
      <c r="G166" s="29" t="n">
        <v>1.48</v>
      </c>
      <c r="H166" s="29" t="n">
        <v>1.79</v>
      </c>
      <c r="I166" s="29" t="n">
        <v>12.36</v>
      </c>
      <c r="J166" s="29" t="n">
        <v>11.07655018049489</v>
      </c>
      <c r="K166" s="29" t="n">
        <v>0</v>
      </c>
      <c r="L166" s="94" t="n">
        <v>72.3</v>
      </c>
      <c r="M166" s="18" t="n">
        <v>0</v>
      </c>
      <c r="N166" s="24" t="n">
        <v>39.8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101" t="inlineStr">
        <is>
          <t>📈 Good</t>
        </is>
      </c>
      <c r="S166" s="101" t="inlineStr">
        <is>
          <t>⏳ New Fund</t>
        </is>
      </c>
      <c r="T166" s="101" t="inlineStr">
        <is>
          <t>📈 Momentum Only</t>
        </is>
      </c>
      <c r="U166" s="102" t="inlineStr">
        <is>
          <t>MOMENTUM_ONLY</t>
        </is>
      </c>
    </row>
    <row r="167" ht="16" customHeight="1">
      <c r="A167" s="26" t="n">
        <v>163</v>
      </c>
      <c r="B167" s="27" t="inlineStr">
        <is>
          <t>Bank of India Multi Asset Allocation Fund-Regular Plan-Growth</t>
        </is>
      </c>
      <c r="C167" s="27" t="inlineStr">
        <is>
          <t>Bank of India Mutual Fund</t>
        </is>
      </c>
      <c r="D167" s="27" t="inlineStr">
        <is>
          <t>Multi Asset Allocation</t>
        </is>
      </c>
      <c r="E167" s="27" t="inlineStr">
        <is>
          <t>Multi Asset Allocation</t>
        </is>
      </c>
      <c r="F167" s="28" t="n">
        <v>-0.7</v>
      </c>
      <c r="G167" s="29" t="n">
        <v>0.95</v>
      </c>
      <c r="H167" s="29" t="n">
        <v>3.23</v>
      </c>
      <c r="I167" s="29" t="n">
        <v>9.33</v>
      </c>
      <c r="J167" s="29" t="n">
        <v>7.293988648013272</v>
      </c>
      <c r="K167" s="29" t="n">
        <v>0</v>
      </c>
      <c r="L167" s="94" t="n">
        <v>69.5</v>
      </c>
      <c r="M167" s="18" t="n">
        <v>0</v>
      </c>
      <c r="N167" s="24" t="n">
        <v>38.2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101" t="inlineStr">
        <is>
          <t>📈 Good</t>
        </is>
      </c>
      <c r="S167" s="101" t="inlineStr">
        <is>
          <t>⏳ New Fund</t>
        </is>
      </c>
      <c r="T167" s="101" t="inlineStr">
        <is>
          <t>📈 Momentum Only</t>
        </is>
      </c>
      <c r="U167" s="102" t="inlineStr">
        <is>
          <t>MOMENTUM_ONLY</t>
        </is>
      </c>
    </row>
    <row r="168" ht="16" customHeight="1">
      <c r="A168" s="26" t="n">
        <v>164</v>
      </c>
      <c r="B168" s="27" t="inlineStr">
        <is>
          <t>Bajaj Finserv Balanced Advantage Fund-Regular Plan-Growth</t>
        </is>
      </c>
      <c r="C168" s="27" t="inlineStr">
        <is>
          <t>Bajaj Finserv Mutual Fund</t>
        </is>
      </c>
      <c r="D168" s="27" t="inlineStr">
        <is>
          <t>Dynamic Asset Allocation Or Balanced Advantage</t>
        </is>
      </c>
      <c r="E168" s="27" t="inlineStr">
        <is>
          <t>Dynamic Asset Allocation Or Balanced Advantage</t>
        </is>
      </c>
      <c r="F168" s="29" t="n">
        <v>0.23</v>
      </c>
      <c r="G168" s="29" t="n">
        <v>1.89</v>
      </c>
      <c r="H168" s="29" t="n">
        <v>1.36</v>
      </c>
      <c r="I168" s="29" t="n">
        <v>1.35</v>
      </c>
      <c r="J168" s="29" t="n">
        <v>1.646446076584485</v>
      </c>
      <c r="K168" s="29" t="n">
        <v>0</v>
      </c>
      <c r="L168" s="94" t="n">
        <v>67.40000000000001</v>
      </c>
      <c r="M168" s="18" t="n">
        <v>0</v>
      </c>
      <c r="N168" s="24" t="n">
        <v>37.1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101" t="inlineStr">
        <is>
          <t>📈 Good</t>
        </is>
      </c>
      <c r="S168" s="101" t="inlineStr">
        <is>
          <t>⏳ New Fund</t>
        </is>
      </c>
      <c r="T168" s="101" t="inlineStr">
        <is>
          <t>📈 Momentum Only</t>
        </is>
      </c>
      <c r="U168" s="102" t="inlineStr">
        <is>
          <t>MOMENTUM_ONLY</t>
        </is>
      </c>
    </row>
    <row r="169" ht="16" customHeight="1">
      <c r="A169" s="26" t="n">
        <v>165</v>
      </c>
      <c r="B169" s="27" t="inlineStr">
        <is>
          <t>Invesco India Multi Asset Allocation Fund - Regular Plan - Growth</t>
        </is>
      </c>
      <c r="C169" s="27" t="inlineStr">
        <is>
          <t>Invesco Mutual Fund</t>
        </is>
      </c>
      <c r="D169" s="27" t="inlineStr">
        <is>
          <t>Multi Asset Allocation</t>
        </is>
      </c>
      <c r="E169" s="27" t="inlineStr">
        <is>
          <t>Multi Asset Allocation</t>
        </is>
      </c>
      <c r="F169" s="28" t="n">
        <v>-0.16</v>
      </c>
      <c r="G169" s="29" t="n">
        <v>0.82</v>
      </c>
      <c r="H169" s="28" t="n">
        <v>-0.24</v>
      </c>
      <c r="I169" s="29" t="n">
        <v>13.25</v>
      </c>
      <c r="J169" s="29" t="n">
        <v>0</v>
      </c>
      <c r="K169" s="29" t="n">
        <v>0</v>
      </c>
      <c r="L169" s="94" t="n">
        <v>66.59999999999999</v>
      </c>
      <c r="M169" s="18" t="n">
        <v>0</v>
      </c>
      <c r="N169" s="24" t="n">
        <v>36.6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101" t="inlineStr">
        <is>
          <t>📈 Good</t>
        </is>
      </c>
      <c r="S169" s="101" t="inlineStr">
        <is>
          <t>⏳ New Fund</t>
        </is>
      </c>
      <c r="T169" s="101" t="inlineStr">
        <is>
          <t>📈 Momentum Only</t>
        </is>
      </c>
      <c r="U169" s="102" t="inlineStr">
        <is>
          <t>MOMENTUM_ONLY</t>
        </is>
      </c>
    </row>
    <row r="170" ht="16" customHeight="1">
      <c r="A170" s="26" t="n">
        <v>166</v>
      </c>
      <c r="B170" s="27" t="inlineStr">
        <is>
          <t>Parag Parikh Arbitrage Fund - Regular Plan Growth</t>
        </is>
      </c>
      <c r="C170" s="27" t="inlineStr">
        <is>
          <t>PPFAS Mutual Fund</t>
        </is>
      </c>
      <c r="D170" s="27" t="inlineStr">
        <is>
          <t>Arbitrage Fund</t>
        </is>
      </c>
      <c r="E170" s="27" t="inlineStr">
        <is>
          <t>Arbitrage Fund</t>
        </is>
      </c>
      <c r="F170" s="29" t="n">
        <v>0.49</v>
      </c>
      <c r="G170" s="29" t="n">
        <v>1.41</v>
      </c>
      <c r="H170" s="29" t="n">
        <v>2.96</v>
      </c>
      <c r="I170" s="29" t="n">
        <v>5.95</v>
      </c>
      <c r="J170" s="29" t="n">
        <v>6.320270880016099</v>
      </c>
      <c r="K170" s="29" t="n">
        <v>0</v>
      </c>
      <c r="L170" s="94" t="n">
        <v>64.90000000000001</v>
      </c>
      <c r="M170" s="18" t="n">
        <v>0</v>
      </c>
      <c r="N170" s="24" t="n">
        <v>35.7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101" t="inlineStr">
        <is>
          <t>📈 Good</t>
        </is>
      </c>
      <c r="S170" s="101" t="inlineStr">
        <is>
          <t>⏳ New Fund</t>
        </is>
      </c>
      <c r="T170" s="101" t="inlineStr">
        <is>
          <t>📈 Momentum Only</t>
        </is>
      </c>
      <c r="U170" s="102" t="inlineStr">
        <is>
          <t>MOMENTUM_ONLY</t>
        </is>
      </c>
    </row>
    <row r="171" ht="16" customHeight="1">
      <c r="A171" s="26" t="n">
        <v>167</v>
      </c>
      <c r="B171" s="27" t="inlineStr">
        <is>
          <t>Franklin India Arbitrage Fund - Growth</t>
        </is>
      </c>
      <c r="C171" s="27" t="inlineStr">
        <is>
          <t>Franklin Templeton Mutual Fund</t>
        </is>
      </c>
      <c r="D171" s="27" t="inlineStr">
        <is>
          <t>Arbitrage Fund</t>
        </is>
      </c>
      <c r="E171" s="27" t="inlineStr">
        <is>
          <t>Arbitrage Fund</t>
        </is>
      </c>
      <c r="F171" s="29" t="n">
        <v>0.53</v>
      </c>
      <c r="G171" s="29" t="n">
        <v>1.41</v>
      </c>
      <c r="H171" s="29" t="n">
        <v>2.72</v>
      </c>
      <c r="I171" s="29" t="n">
        <v>6.12</v>
      </c>
      <c r="J171" s="29" t="n">
        <v>0</v>
      </c>
      <c r="K171" s="29" t="n">
        <v>0</v>
      </c>
      <c r="L171" s="94" t="n">
        <v>64.7</v>
      </c>
      <c r="M171" s="18" t="n">
        <v>0</v>
      </c>
      <c r="N171" s="24" t="n">
        <v>35.6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101" t="inlineStr">
        <is>
          <t>📈 Good</t>
        </is>
      </c>
      <c r="S171" s="101" t="inlineStr">
        <is>
          <t>⏳ New Fund</t>
        </is>
      </c>
      <c r="T171" s="101" t="inlineStr">
        <is>
          <t>📈 Momentum Only</t>
        </is>
      </c>
      <c r="U171" s="102" t="inlineStr">
        <is>
          <t>MOMENTUM_ONLY</t>
        </is>
      </c>
    </row>
    <row r="172" ht="16" customHeight="1">
      <c r="A172" s="26" t="n">
        <v>168</v>
      </c>
      <c r="B172" s="27" t="inlineStr">
        <is>
          <t>Canara Robeco Multi Asset Allocation Fund - Regular Plan - Growth</t>
        </is>
      </c>
      <c r="C172" s="27" t="inlineStr">
        <is>
          <t>Canara Robeco Mutual Fund</t>
        </is>
      </c>
      <c r="D172" s="27" t="inlineStr">
        <is>
          <t>Multi Asset Allocation</t>
        </is>
      </c>
      <c r="E172" s="27" t="inlineStr">
        <is>
          <t>Multi Asset Allocation</t>
        </is>
      </c>
      <c r="F172" s="28" t="n">
        <v>-0.09</v>
      </c>
      <c r="G172" s="29" t="n">
        <v>0.74</v>
      </c>
      <c r="H172" s="29" t="n">
        <v>0.09</v>
      </c>
      <c r="I172" s="29" t="n">
        <v>7.77</v>
      </c>
      <c r="J172" s="29" t="n">
        <v>0</v>
      </c>
      <c r="K172" s="29" t="n">
        <v>0</v>
      </c>
      <c r="L172" s="94" t="n">
        <v>58.6</v>
      </c>
      <c r="M172" s="18" t="n">
        <v>0</v>
      </c>
      <c r="N172" s="24" t="n">
        <v>32.2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101" t="inlineStr">
        <is>
          <t>➡️ Neutral</t>
        </is>
      </c>
      <c r="S172" s="101" t="inlineStr">
        <is>
          <t>⏳ New Fund</t>
        </is>
      </c>
      <c r="T172" s="101" t="inlineStr">
        <is>
          <t>⏳ New Fund</t>
        </is>
      </c>
      <c r="U172" s="102" t="inlineStr">
        <is>
          <t>MOMENTUM_ONLY</t>
        </is>
      </c>
    </row>
    <row r="173" ht="16" customHeight="1">
      <c r="A173" s="26" t="n">
        <v>169</v>
      </c>
      <c r="B173" s="27" t="inlineStr">
        <is>
          <t>360 ONE Multi Asset Allocation Fund - Regular Plan - Growth</t>
        </is>
      </c>
      <c r="C173" s="27" t="inlineStr">
        <is>
          <t>360 ONE Mutual Fund</t>
        </is>
      </c>
      <c r="D173" s="27" t="inlineStr">
        <is>
          <t>Multi Asset Allocation</t>
        </is>
      </c>
      <c r="E173" s="27" t="inlineStr">
        <is>
          <t>Multi Asset Allocation</t>
        </is>
      </c>
      <c r="F173" s="28" t="n">
        <v>-0.06</v>
      </c>
      <c r="G173" s="29" t="n">
        <v>1.16</v>
      </c>
      <c r="H173" s="29" t="n">
        <v>1.04</v>
      </c>
      <c r="I173" s="29" t="n">
        <v>0</v>
      </c>
      <c r="J173" s="29" t="n">
        <v>0</v>
      </c>
      <c r="K173" s="29" t="n">
        <v>0</v>
      </c>
      <c r="L173" s="94" t="n">
        <v>58</v>
      </c>
      <c r="M173" s="18" t="n">
        <v>0</v>
      </c>
      <c r="N173" s="24" t="n">
        <v>31.9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101" t="inlineStr">
        <is>
          <t>➡️ Neutral</t>
        </is>
      </c>
      <c r="S173" s="101" t="inlineStr">
        <is>
          <t>⏳ New Fund</t>
        </is>
      </c>
      <c r="T173" s="101" t="inlineStr">
        <is>
          <t>⏳ New Fund</t>
        </is>
      </c>
      <c r="U173" s="102" t="inlineStr">
        <is>
          <t>MOMENTUM_ONLY</t>
        </is>
      </c>
    </row>
    <row r="174" ht="16" customHeight="1">
      <c r="A174" s="26" t="n">
        <v>170</v>
      </c>
      <c r="B174" s="27" t="inlineStr">
        <is>
          <t>Mirae Asset Multi Asset Allocation Fund - Regular Plan - Growth</t>
        </is>
      </c>
      <c r="C174" s="27" t="inlineStr">
        <is>
          <t>Mirae Asset Mutual Fund</t>
        </is>
      </c>
      <c r="D174" s="27" t="inlineStr">
        <is>
          <t>Multi Asset Allocation</t>
        </is>
      </c>
      <c r="E174" s="27" t="inlineStr">
        <is>
          <t>Multi Asset Allocation</t>
        </is>
      </c>
      <c r="F174" s="28" t="n">
        <v>-0.6</v>
      </c>
      <c r="G174" s="28" t="n">
        <v>-0.13</v>
      </c>
      <c r="H174" s="29" t="n">
        <v>0.57</v>
      </c>
      <c r="I174" s="29" t="n">
        <v>9.1</v>
      </c>
      <c r="J174" s="29" t="n">
        <v>9.558203709261303</v>
      </c>
      <c r="K174" s="29" t="n">
        <v>0</v>
      </c>
      <c r="L174" s="94" t="n">
        <v>52.5</v>
      </c>
      <c r="M174" s="18" t="n">
        <v>0</v>
      </c>
      <c r="N174" s="24" t="n">
        <v>28.9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101" t="inlineStr">
        <is>
          <t>➡️ Neutral</t>
        </is>
      </c>
      <c r="S174" s="101" t="inlineStr">
        <is>
          <t>⏳ New Fund</t>
        </is>
      </c>
      <c r="T174" s="101" t="inlineStr">
        <is>
          <t>⏳ New Fund</t>
        </is>
      </c>
      <c r="U174" s="102" t="inlineStr">
        <is>
          <t>MOMENTUM_ONLY</t>
        </is>
      </c>
    </row>
    <row r="175" ht="16" customHeight="1">
      <c r="A175" s="26" t="n">
        <v>171</v>
      </c>
      <c r="B175" s="27" t="inlineStr">
        <is>
          <t>LIC MF Equity Savings Fund-Regular Plan-Growth</t>
        </is>
      </c>
      <c r="C175" s="27" t="inlineStr">
        <is>
          <t>LIC Mutual Fund</t>
        </is>
      </c>
      <c r="D175" s="27" t="inlineStr">
        <is>
          <t>Equity Savings</t>
        </is>
      </c>
      <c r="E175" s="27" t="inlineStr">
        <is>
          <t>Equity Savings</t>
        </is>
      </c>
      <c r="F175" s="28" t="n">
        <v>-0.15</v>
      </c>
      <c r="G175" s="29" t="n">
        <v>0.53</v>
      </c>
      <c r="H175" s="29" t="n">
        <v>3.11</v>
      </c>
      <c r="I175" s="29" t="n">
        <v>1.09</v>
      </c>
      <c r="J175" s="29" t="n">
        <v>4.575331699210961</v>
      </c>
      <c r="K175" s="29" t="n">
        <v>0</v>
      </c>
      <c r="L175" s="95" t="n">
        <v>49.2</v>
      </c>
      <c r="M175" s="18" t="n">
        <v>0</v>
      </c>
      <c r="N175" s="24" t="n">
        <v>27.1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101" t="inlineStr">
        <is>
          <t>➡️ Neutral</t>
        </is>
      </c>
      <c r="S175" s="101" t="inlineStr">
        <is>
          <t>⏳ New Fund</t>
        </is>
      </c>
      <c r="T175" s="101" t="inlineStr">
        <is>
          <t>⏳ New Fund</t>
        </is>
      </c>
      <c r="U175" s="102" t="inlineStr">
        <is>
          <t>MOMENTUM_ONLY</t>
        </is>
      </c>
    </row>
    <row r="176" ht="16" customHeight="1">
      <c r="A176" s="26" t="n">
        <v>172</v>
      </c>
      <c r="B176" s="27" t="inlineStr">
        <is>
          <t>Motilal Oswal Arbitrage Fund-Regular Plan-Growth</t>
        </is>
      </c>
      <c r="C176" s="27" t="inlineStr">
        <is>
          <t>Motilal Oswal Mutual Fund</t>
        </is>
      </c>
      <c r="D176" s="27" t="inlineStr">
        <is>
          <t>Arbitrage Fund</t>
        </is>
      </c>
      <c r="E176" s="27" t="inlineStr">
        <is>
          <t>Arbitrage Fund</t>
        </is>
      </c>
      <c r="F176" s="29" t="n">
        <v>0.49</v>
      </c>
      <c r="G176" s="29" t="n">
        <v>1.33</v>
      </c>
      <c r="H176" s="29" t="n">
        <v>2.84</v>
      </c>
      <c r="I176" s="29" t="n">
        <v>6.03</v>
      </c>
      <c r="J176" s="29" t="n">
        <v>0</v>
      </c>
      <c r="K176" s="29" t="n">
        <v>0</v>
      </c>
      <c r="L176" s="95" t="n">
        <v>48.9</v>
      </c>
      <c r="M176" s="18" t="n">
        <v>0</v>
      </c>
      <c r="N176" s="24" t="n">
        <v>26.9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101" t="inlineStr">
        <is>
          <t>➡️ Neutral</t>
        </is>
      </c>
      <c r="S176" s="101" t="inlineStr">
        <is>
          <t>⏳ New Fund</t>
        </is>
      </c>
      <c r="T176" s="101" t="inlineStr">
        <is>
          <t>⏳ New Fund</t>
        </is>
      </c>
      <c r="U176" s="102" t="inlineStr">
        <is>
          <t>MOMENTUM_ONLY</t>
        </is>
      </c>
    </row>
    <row r="177" ht="16" customHeight="1">
      <c r="A177" s="26" t="n">
        <v>173</v>
      </c>
      <c r="B177" s="27" t="inlineStr">
        <is>
          <t>Bajaj Finserv Arbitrage Fund- Regular Plan-Growth</t>
        </is>
      </c>
      <c r="C177" s="27" t="inlineStr">
        <is>
          <t>Bajaj Finserv Mutual Fund</t>
        </is>
      </c>
      <c r="D177" s="27" t="inlineStr">
        <is>
          <t>Arbitrage Fund</t>
        </is>
      </c>
      <c r="E177" s="27" t="inlineStr">
        <is>
          <t>Arbitrage Fund</t>
        </is>
      </c>
      <c r="F177" s="29" t="n">
        <v>0.51</v>
      </c>
      <c r="G177" s="29" t="n">
        <v>1.35</v>
      </c>
      <c r="H177" s="29" t="n">
        <v>2.86</v>
      </c>
      <c r="I177" s="29" t="n">
        <v>5.8</v>
      </c>
      <c r="J177" s="29" t="n">
        <v>6.028298109514152</v>
      </c>
      <c r="K177" s="29" t="n">
        <v>0</v>
      </c>
      <c r="L177" s="95" t="n">
        <v>43.2</v>
      </c>
      <c r="M177" s="18" t="n">
        <v>0</v>
      </c>
      <c r="N177" s="24" t="n">
        <v>23.8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101" t="inlineStr">
        <is>
          <t>➡️ Neutral</t>
        </is>
      </c>
      <c r="S177" s="101" t="inlineStr">
        <is>
          <t>⏳ New Fund</t>
        </is>
      </c>
      <c r="T177" s="101" t="inlineStr">
        <is>
          <t>⏳ New Fund</t>
        </is>
      </c>
      <c r="U177" s="102" t="inlineStr">
        <is>
          <t>MOMENTUM_ONLY</t>
        </is>
      </c>
    </row>
    <row r="178" ht="16" customHeight="1">
      <c r="A178" s="26" t="n">
        <v>174</v>
      </c>
      <c r="B178" s="27" t="inlineStr">
        <is>
          <t>Union Multi Asset Allocation Fund- Regular Plan - Growth Option</t>
        </is>
      </c>
      <c r="C178" s="27" t="inlineStr">
        <is>
          <t>Union Mutual Fund</t>
        </is>
      </c>
      <c r="D178" s="27" t="inlineStr">
        <is>
          <t>Multi Asset Allocation</t>
        </is>
      </c>
      <c r="E178" s="27" t="inlineStr">
        <is>
          <t>Multi Asset Allocation</t>
        </is>
      </c>
      <c r="F178" s="28" t="n">
        <v>-1.32</v>
      </c>
      <c r="G178" s="28" t="n">
        <v>-0.41</v>
      </c>
      <c r="H178" s="28" t="n">
        <v>-0.58</v>
      </c>
      <c r="I178" s="29" t="n">
        <v>11.84</v>
      </c>
      <c r="J178" s="29" t="n">
        <v>0</v>
      </c>
      <c r="K178" s="29" t="n">
        <v>0</v>
      </c>
      <c r="L178" s="95" t="n">
        <v>41.9</v>
      </c>
      <c r="M178" s="18" t="n">
        <v>0</v>
      </c>
      <c r="N178" s="24" t="n">
        <v>23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101" t="inlineStr">
        <is>
          <t>➡️ Neutral</t>
        </is>
      </c>
      <c r="S178" s="101" t="inlineStr">
        <is>
          <t>⏳ New Fund</t>
        </is>
      </c>
      <c r="T178" s="101" t="inlineStr">
        <is>
          <t>⏳ New Fund</t>
        </is>
      </c>
      <c r="U178" s="102" t="inlineStr">
        <is>
          <t>MOMENTUM_ONLY</t>
        </is>
      </c>
    </row>
    <row r="179" ht="16" customHeight="1">
      <c r="A179" s="26" t="n">
        <v>175</v>
      </c>
      <c r="B179" s="27" t="inlineStr">
        <is>
          <t>Bajaj Finserv Multi Asset Allocation Fund - Regular Growth</t>
        </is>
      </c>
      <c r="C179" s="27" t="inlineStr">
        <is>
          <t>Bajaj Finserv Mutual Fund</t>
        </is>
      </c>
      <c r="D179" s="27" t="inlineStr">
        <is>
          <t>Multi Asset Allocation</t>
        </is>
      </c>
      <c r="E179" s="27" t="inlineStr">
        <is>
          <t>Multi Asset Allocation</t>
        </is>
      </c>
      <c r="F179" s="29" t="n">
        <v>0.03</v>
      </c>
      <c r="G179" s="28" t="n">
        <v>-0.08</v>
      </c>
      <c r="H179" s="28" t="n">
        <v>-2.86</v>
      </c>
      <c r="I179" s="29" t="n">
        <v>8.77</v>
      </c>
      <c r="J179" s="29" t="n">
        <v>6.428379673844509</v>
      </c>
      <c r="K179" s="29" t="n">
        <v>0</v>
      </c>
      <c r="L179" s="95" t="n">
        <v>40.8</v>
      </c>
      <c r="M179" s="18" t="n">
        <v>0</v>
      </c>
      <c r="N179" s="24" t="n">
        <v>22.4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101" t="inlineStr">
        <is>
          <t>➡️ Neutral</t>
        </is>
      </c>
      <c r="S179" s="101" t="inlineStr">
        <is>
          <t>⏳ New Fund</t>
        </is>
      </c>
      <c r="T179" s="101" t="inlineStr">
        <is>
          <t>⏳ New Fund</t>
        </is>
      </c>
      <c r="U179" s="102" t="inlineStr">
        <is>
          <t>MOMENTUM_ONLY</t>
        </is>
      </c>
    </row>
    <row r="180" ht="16" customHeight="1">
      <c r="A180" s="26" t="n">
        <v>176</v>
      </c>
      <c r="B180" s="27" t="inlineStr">
        <is>
          <t>THE WEALTH COMPANY ARBITRAGE FUND REGULAR GROWTH</t>
        </is>
      </c>
      <c r="C180" s="27" t="inlineStr">
        <is>
          <t>The Wealth Company Mutual Fund</t>
        </is>
      </c>
      <c r="D180" s="27" t="inlineStr">
        <is>
          <t>Arbitrage Fund</t>
        </is>
      </c>
      <c r="E180" s="27" t="inlineStr">
        <is>
          <t>Arbitrage Fund</t>
        </is>
      </c>
      <c r="F180" s="29" t="n">
        <v>0.53</v>
      </c>
      <c r="G180" s="29" t="n">
        <v>1.37</v>
      </c>
      <c r="H180" s="29" t="n">
        <v>2.83</v>
      </c>
      <c r="I180" s="29" t="n">
        <v>0</v>
      </c>
      <c r="J180" s="29" t="n">
        <v>0</v>
      </c>
      <c r="K180" s="29" t="n">
        <v>0</v>
      </c>
      <c r="L180" s="95" t="n">
        <v>40.7</v>
      </c>
      <c r="M180" s="18" t="n">
        <v>0</v>
      </c>
      <c r="N180" s="24" t="n">
        <v>22.4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101" t="inlineStr">
        <is>
          <t>➡️ Neutral</t>
        </is>
      </c>
      <c r="S180" s="101" t="inlineStr">
        <is>
          <t>⏳ New Fund</t>
        </is>
      </c>
      <c r="T180" s="101" t="inlineStr">
        <is>
          <t>⏳ New Fund</t>
        </is>
      </c>
      <c r="U180" s="102" t="inlineStr">
        <is>
          <t>MOMENTUM_ONLY</t>
        </is>
      </c>
    </row>
    <row r="181" ht="16" customHeight="1">
      <c r="A181" s="26" t="n">
        <v>177</v>
      </c>
      <c r="B181" s="27" t="inlineStr">
        <is>
          <t>Kotak Multi Asset Allocation Fund - Regular Plan - Growth Option</t>
        </is>
      </c>
      <c r="C181" s="27" t="inlineStr">
        <is>
          <t>Kotak Mahindra Mutual Fund</t>
        </is>
      </c>
      <c r="D181" s="27" t="inlineStr">
        <is>
          <t>Multi Asset Allocation</t>
        </is>
      </c>
      <c r="E181" s="27" t="inlineStr">
        <is>
          <t>Multi Asset Allocation</t>
        </is>
      </c>
      <c r="F181" s="28" t="n">
        <v>-1.3</v>
      </c>
      <c r="G181" s="28" t="n">
        <v>-0.37</v>
      </c>
      <c r="H181" s="28" t="n">
        <v>-2.07</v>
      </c>
      <c r="I181" s="29" t="n">
        <v>17.25</v>
      </c>
      <c r="J181" s="29" t="n">
        <v>10.53958566956907</v>
      </c>
      <c r="K181" s="29" t="n">
        <v>0</v>
      </c>
      <c r="L181" s="95" t="n">
        <v>40.3</v>
      </c>
      <c r="M181" s="18" t="n">
        <v>0</v>
      </c>
      <c r="N181" s="24" t="n">
        <v>22.2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101" t="inlineStr">
        <is>
          <t>➡️ Neutral</t>
        </is>
      </c>
      <c r="S181" s="101" t="inlineStr">
        <is>
          <t>⏳ New Fund</t>
        </is>
      </c>
      <c r="T181" s="101" t="inlineStr">
        <is>
          <t>⏳ New Fund</t>
        </is>
      </c>
      <c r="U181" s="102" t="inlineStr">
        <is>
          <t>MOMENTUM_ONLY</t>
        </is>
      </c>
    </row>
    <row r="182" ht="16" customHeight="1">
      <c r="A182" s="26" t="n">
        <v>178</v>
      </c>
      <c r="B182" s="27" t="inlineStr">
        <is>
          <t>The Wealth Company Multi Asset Allocation Fund - Regular Growth</t>
        </is>
      </c>
      <c r="C182" s="27" t="inlineStr">
        <is>
          <t>The Wealth Company Mutual Fund</t>
        </is>
      </c>
      <c r="D182" s="27" t="inlineStr">
        <is>
          <t>Multi Asset Allocation</t>
        </is>
      </c>
      <c r="E182" s="27" t="inlineStr">
        <is>
          <t>Multi Asset Allocation</t>
        </is>
      </c>
      <c r="F182" s="28" t="n">
        <v>-2.06</v>
      </c>
      <c r="G182" s="29" t="n">
        <v>0.32</v>
      </c>
      <c r="H182" s="29" t="n">
        <v>1.92</v>
      </c>
      <c r="I182" s="29" t="n">
        <v>0</v>
      </c>
      <c r="J182" s="29" t="n">
        <v>0</v>
      </c>
      <c r="K182" s="29" t="n">
        <v>0</v>
      </c>
      <c r="L182" s="95" t="n">
        <v>39.8</v>
      </c>
      <c r="M182" s="18" t="n">
        <v>0</v>
      </c>
      <c r="N182" s="24" t="n">
        <v>21.9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101" t="inlineStr">
        <is>
          <t>📉 Weak</t>
        </is>
      </c>
      <c r="S182" s="101" t="inlineStr">
        <is>
          <t>⏳ New Fund</t>
        </is>
      </c>
      <c r="T182" s="101" t="inlineStr">
        <is>
          <t>⏳ New Fund</t>
        </is>
      </c>
      <c r="U182" s="102" t="inlineStr">
        <is>
          <t>MOMENTUM_ONLY</t>
        </is>
      </c>
    </row>
    <row r="183" ht="16" customHeight="1">
      <c r="A183" s="26" t="n">
        <v>179</v>
      </c>
      <c r="B183" s="27" t="inlineStr">
        <is>
          <t>PGIM India Multi Asset Allocation Fund - Regular Plan - Growth Option</t>
        </is>
      </c>
      <c r="C183" s="27" t="inlineStr">
        <is>
          <t>PGIM India Mutual Fund</t>
        </is>
      </c>
      <c r="D183" s="27" t="inlineStr">
        <is>
          <t>Multi Asset Allocation</t>
        </is>
      </c>
      <c r="E183" s="27" t="inlineStr">
        <is>
          <t>Multi Asset Allocation</t>
        </is>
      </c>
      <c r="F183" s="28" t="n">
        <v>-0.19</v>
      </c>
      <c r="G183" s="29" t="n">
        <v>0.39</v>
      </c>
      <c r="H183" s="28" t="n">
        <v>-1.14</v>
      </c>
      <c r="I183" s="29" t="n">
        <v>0</v>
      </c>
      <c r="J183" s="29" t="n">
        <v>0</v>
      </c>
      <c r="K183" s="29" t="n">
        <v>0</v>
      </c>
      <c r="L183" s="95" t="n">
        <v>37.7</v>
      </c>
      <c r="M183" s="18" t="n">
        <v>0</v>
      </c>
      <c r="N183" s="24" t="n">
        <v>20.7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101" t="inlineStr">
        <is>
          <t>📉 Weak</t>
        </is>
      </c>
      <c r="S183" s="101" t="inlineStr">
        <is>
          <t>⏳ New Fund</t>
        </is>
      </c>
      <c r="T183" s="101" t="inlineStr">
        <is>
          <t>⏳ New Fund</t>
        </is>
      </c>
      <c r="U183" s="102" t="inlineStr">
        <is>
          <t>MOMENTUM_ONLY</t>
        </is>
      </c>
    </row>
    <row r="184" ht="16" customHeight="1">
      <c r="A184" s="26" t="n">
        <v>180</v>
      </c>
      <c r="B184" s="27" t="inlineStr">
        <is>
          <t>UTI Balanced Advantage Fund - Regular Plan - Growth Option</t>
        </is>
      </c>
      <c r="C184" s="27" t="inlineStr">
        <is>
          <t>UTI Mutual Fund</t>
        </is>
      </c>
      <c r="D184" s="27" t="inlineStr">
        <is>
          <t>Dynamic Asset Allocation Or Balanced Advantage</t>
        </is>
      </c>
      <c r="E184" s="27" t="inlineStr">
        <is>
          <t>Dynamic Asset Allocation Or Balanced Advantage</t>
        </is>
      </c>
      <c r="F184" s="28" t="n">
        <v>-0.04</v>
      </c>
      <c r="G184" s="29" t="n">
        <v>0.17</v>
      </c>
      <c r="H184" s="28" t="n">
        <v>-2.42</v>
      </c>
      <c r="I184" s="28" t="n">
        <v>-2.1</v>
      </c>
      <c r="J184" s="29" t="n">
        <v>2.327904307671624</v>
      </c>
      <c r="K184" s="29" t="n">
        <v>0</v>
      </c>
      <c r="L184" s="95" t="n">
        <v>35.5</v>
      </c>
      <c r="M184" s="18" t="n">
        <v>0</v>
      </c>
      <c r="N184" s="24" t="n">
        <v>19.5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101" t="inlineStr">
        <is>
          <t>📉 Weak</t>
        </is>
      </c>
      <c r="S184" s="101" t="inlineStr">
        <is>
          <t>⏳ New Fund</t>
        </is>
      </c>
      <c r="T184" s="101" t="inlineStr">
        <is>
          <t>⏳ New Fund</t>
        </is>
      </c>
      <c r="U184" s="102" t="inlineStr">
        <is>
          <t>MOMENTUM_ONLY</t>
        </is>
      </c>
    </row>
    <row r="185" ht="16" customHeight="1">
      <c r="A185" s="26" t="n">
        <v>181</v>
      </c>
      <c r="B185" s="27" t="inlineStr">
        <is>
          <t>Shriram Multi Asset Allocation Fund - Regular Growth</t>
        </is>
      </c>
      <c r="C185" s="27" t="inlineStr">
        <is>
          <t>Shriram Mutual Fund</t>
        </is>
      </c>
      <c r="D185" s="27" t="inlineStr">
        <is>
          <t>Multi Asset Allocation</t>
        </is>
      </c>
      <c r="E185" s="27" t="inlineStr">
        <is>
          <t>Multi Asset Allocation</t>
        </is>
      </c>
      <c r="F185" s="28" t="n">
        <v>-0.85</v>
      </c>
      <c r="G185" s="29" t="n">
        <v>0.08</v>
      </c>
      <c r="H185" s="28" t="n">
        <v>-1.65</v>
      </c>
      <c r="I185" s="29" t="n">
        <v>6.54</v>
      </c>
      <c r="J185" s="29" t="n">
        <v>0.4241006930109315</v>
      </c>
      <c r="K185" s="29" t="n">
        <v>0</v>
      </c>
      <c r="L185" s="95" t="n">
        <v>35.3</v>
      </c>
      <c r="M185" s="18" t="n">
        <v>0</v>
      </c>
      <c r="N185" s="24" t="n">
        <v>19.4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101" t="inlineStr">
        <is>
          <t>📉 Weak</t>
        </is>
      </c>
      <c r="S185" s="101" t="inlineStr">
        <is>
          <t>⏳ New Fund</t>
        </is>
      </c>
      <c r="T185" s="101" t="inlineStr">
        <is>
          <t>⏳ New Fund</t>
        </is>
      </c>
      <c r="U185" s="102" t="inlineStr">
        <is>
          <t>MOMENTUM_ONLY</t>
        </is>
      </c>
    </row>
    <row r="186" ht="16" customHeight="1">
      <c r="A186" s="26" t="n">
        <v>182</v>
      </c>
      <c r="B186" s="27" t="inlineStr">
        <is>
          <t>Old Bridge Arbitrage Fund Regular Growth</t>
        </is>
      </c>
      <c r="C186" s="27" t="inlineStr">
        <is>
          <t>Old Bridge Mutual Fund</t>
        </is>
      </c>
      <c r="D186" s="27" t="inlineStr">
        <is>
          <t>Arbitrage Fund</t>
        </is>
      </c>
      <c r="E186" s="27" t="inlineStr">
        <is>
          <t>Arbitrage Fund</t>
        </is>
      </c>
      <c r="F186" s="29" t="n">
        <v>0.52</v>
      </c>
      <c r="G186" s="29" t="n">
        <v>1.32</v>
      </c>
      <c r="H186" s="29" t="n">
        <v>2.68</v>
      </c>
      <c r="I186" s="29" t="n">
        <v>0</v>
      </c>
      <c r="J186" s="29" t="n">
        <v>0</v>
      </c>
      <c r="K186" s="29" t="n">
        <v>0</v>
      </c>
      <c r="L186" s="95" t="n">
        <v>29.1</v>
      </c>
      <c r="M186" s="18" t="n">
        <v>0</v>
      </c>
      <c r="N186" s="24" t="n">
        <v>16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101" t="inlineStr">
        <is>
          <t>📉 Weak</t>
        </is>
      </c>
      <c r="S186" s="101" t="inlineStr">
        <is>
          <t>⏳ New Fund</t>
        </is>
      </c>
      <c r="T186" s="101" t="inlineStr">
        <is>
          <t>⏳ New Fund</t>
        </is>
      </c>
      <c r="U186" s="102" t="inlineStr">
        <is>
          <t>MOMENTUM_ONLY</t>
        </is>
      </c>
    </row>
    <row r="187" ht="16" customHeight="1">
      <c r="A187" s="26" t="n">
        <v>183</v>
      </c>
      <c r="B187" s="27" t="inlineStr">
        <is>
          <t>Canara Robeco Balanced Advantage Fund - Regular Plan - Growth Option</t>
        </is>
      </c>
      <c r="C187" s="27" t="inlineStr">
        <is>
          <t>Canara Robeco Mutual Fund</t>
        </is>
      </c>
      <c r="D187" s="27" t="inlineStr">
        <is>
          <t>Dynamic Asset Allocation Or Balanced Advantage</t>
        </is>
      </c>
      <c r="E187" s="27" t="inlineStr">
        <is>
          <t>Dynamic Asset Allocation Or Balanced Advantage</t>
        </is>
      </c>
      <c r="F187" s="28" t="n">
        <v>-0.49</v>
      </c>
      <c r="G187" s="28" t="n">
        <v>-0.2</v>
      </c>
      <c r="H187" s="28" t="n">
        <v>-0.1</v>
      </c>
      <c r="I187" s="28" t="n">
        <v>-2.03</v>
      </c>
      <c r="J187" s="29" t="n">
        <v>0</v>
      </c>
      <c r="K187" s="29" t="n">
        <v>0</v>
      </c>
      <c r="L187" s="95" t="n">
        <v>28</v>
      </c>
      <c r="M187" s="18" t="n">
        <v>0</v>
      </c>
      <c r="N187" s="24" t="n">
        <v>15.4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101" t="inlineStr">
        <is>
          <t>📉 Weak</t>
        </is>
      </c>
      <c r="S187" s="101" t="inlineStr">
        <is>
          <t>⏳ New Fund</t>
        </is>
      </c>
      <c r="T187" s="101" t="inlineStr">
        <is>
          <t>⏳ New Fund</t>
        </is>
      </c>
      <c r="U187" s="102" t="inlineStr">
        <is>
          <t>MOMENTUM_ONLY</t>
        </is>
      </c>
    </row>
    <row r="188" ht="16" customHeight="1">
      <c r="A188" s="26" t="n">
        <v>184</v>
      </c>
      <c r="B188" s="27" t="inlineStr">
        <is>
          <t>WhiteOak Capital Balanced Hybrid Fund Regular Plan Growth</t>
        </is>
      </c>
      <c r="C188" s="27" t="inlineStr">
        <is>
          <t>WhiteOak Capital Mutual Fund</t>
        </is>
      </c>
      <c r="D188" s="27" t="inlineStr">
        <is>
          <t>Balanced Hybrid Fund</t>
        </is>
      </c>
      <c r="E188" s="27" t="inlineStr">
        <is>
          <t>Balanced Hybrid Fund</t>
        </is>
      </c>
      <c r="F188" s="29" t="n">
        <v>0.43</v>
      </c>
      <c r="G188" s="29" t="n">
        <v>2.27</v>
      </c>
      <c r="H188" s="29" t="n">
        <v>1.96</v>
      </c>
      <c r="I188" s="29" t="n">
        <v>1.86</v>
      </c>
      <c r="J188" s="29" t="n">
        <v>4.575331699210961</v>
      </c>
      <c r="K188" s="29" t="n">
        <v>0</v>
      </c>
      <c r="L188" s="95" t="n">
        <v>27.5</v>
      </c>
      <c r="M188" s="18" t="n">
        <v>0</v>
      </c>
      <c r="N188" s="24" t="n">
        <v>15.1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101" t="inlineStr">
        <is>
          <t>📉 Weak</t>
        </is>
      </c>
      <c r="S188" s="101" t="inlineStr">
        <is>
          <t>⏳ New Fund</t>
        </is>
      </c>
      <c r="T188" s="101" t="inlineStr">
        <is>
          <t>⏳ New Fund</t>
        </is>
      </c>
      <c r="U188" s="102" t="inlineStr">
        <is>
          <t>MOMENTUM_ONLY</t>
        </is>
      </c>
    </row>
    <row r="189" ht="16" customHeight="1">
      <c r="A189" s="26" t="n">
        <v>185</v>
      </c>
      <c r="B189" s="27" t="inlineStr">
        <is>
          <t>BAJAJ FINSERV EQUITY SAVINGS FUND - REGULAR - GROWTH</t>
        </is>
      </c>
      <c r="C189" s="27" t="inlineStr">
        <is>
          <t>Bajaj Finserv Mutual Fund</t>
        </is>
      </c>
      <c r="D189" s="27" t="inlineStr">
        <is>
          <t>Equity Savings</t>
        </is>
      </c>
      <c r="E189" s="27" t="inlineStr">
        <is>
          <t>Equity Savings</t>
        </is>
      </c>
      <c r="F189" s="28" t="n">
        <v>-0.39</v>
      </c>
      <c r="G189" s="29" t="n">
        <v>0.27</v>
      </c>
      <c r="H189" s="29" t="n">
        <v>2.02</v>
      </c>
      <c r="I189" s="29" t="n">
        <v>0</v>
      </c>
      <c r="J189" s="29" t="n">
        <v>0</v>
      </c>
      <c r="K189" s="29" t="n">
        <v>0</v>
      </c>
      <c r="L189" s="95" t="n">
        <v>25.2</v>
      </c>
      <c r="M189" s="18" t="n">
        <v>0</v>
      </c>
      <c r="N189" s="24" t="n">
        <v>13.9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101" t="inlineStr">
        <is>
          <t>📉 Weak</t>
        </is>
      </c>
      <c r="S189" s="101" t="inlineStr">
        <is>
          <t>⏳ New Fund</t>
        </is>
      </c>
      <c r="T189" s="101" t="inlineStr">
        <is>
          <t>⏳ New Fund</t>
        </is>
      </c>
      <c r="U189" s="102" t="inlineStr">
        <is>
          <t>MOMENTUM_ONLY</t>
        </is>
      </c>
    </row>
    <row r="190" ht="16" customHeight="1">
      <c r="A190" s="26" t="n">
        <v>186</v>
      </c>
      <c r="B190" s="27" t="inlineStr">
        <is>
          <t>LIC MF Multi Asset Allocation Fund-Regular Plan-Growth</t>
        </is>
      </c>
      <c r="C190" s="27" t="inlineStr">
        <is>
          <t>LIC Mutual Fund</t>
        </is>
      </c>
      <c r="D190" s="27" t="inlineStr">
        <is>
          <t>Multi Asset Allocation</t>
        </is>
      </c>
      <c r="E190" s="27" t="inlineStr">
        <is>
          <t>Multi Asset Allocation</t>
        </is>
      </c>
      <c r="F190" s="28" t="n">
        <v>-1.79</v>
      </c>
      <c r="G190" s="28" t="n">
        <v>-0.62</v>
      </c>
      <c r="H190" s="28" t="n">
        <v>-1.36</v>
      </c>
      <c r="I190" s="29" t="n">
        <v>4.72</v>
      </c>
      <c r="J190" s="29" t="n">
        <v>0</v>
      </c>
      <c r="K190" s="29" t="n">
        <v>0</v>
      </c>
      <c r="L190" s="95" t="n">
        <v>21.9</v>
      </c>
      <c r="M190" s="18" t="n">
        <v>0</v>
      </c>
      <c r="N190" s="24" t="n">
        <v>12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101" t="inlineStr">
        <is>
          <t>📉 Weak</t>
        </is>
      </c>
      <c r="S190" s="101" t="inlineStr">
        <is>
          <t>⏳ New Fund</t>
        </is>
      </c>
      <c r="T190" s="101" t="inlineStr">
        <is>
          <t>⏳ New Fund</t>
        </is>
      </c>
      <c r="U190" s="102" t="inlineStr">
        <is>
          <t>MOMENTUM_ONLY</t>
        </is>
      </c>
    </row>
    <row r="191" ht="16" customHeight="1">
      <c r="A191" s="26" t="n">
        <v>187</v>
      </c>
      <c r="B191" s="27" t="inlineStr">
        <is>
          <t>Franklin India Multi Asset Allocation Fund- Growth</t>
        </is>
      </c>
      <c r="C191" s="27" t="inlineStr">
        <is>
          <t>Franklin Templeton Mutual Fund</t>
        </is>
      </c>
      <c r="D191" s="27" t="inlineStr">
        <is>
          <t>Multi Asset Allocation</t>
        </is>
      </c>
      <c r="E191" s="27" t="inlineStr">
        <is>
          <t>Multi Asset Allocation</t>
        </is>
      </c>
      <c r="F191" s="28" t="n">
        <v>-1.27</v>
      </c>
      <c r="G191" s="28" t="n">
        <v>-0.95</v>
      </c>
      <c r="H191" s="28" t="n">
        <v>-1.11</v>
      </c>
      <c r="I191" s="29" t="n">
        <v>0</v>
      </c>
      <c r="J191" s="29" t="n">
        <v>0</v>
      </c>
      <c r="K191" s="29" t="n">
        <v>0</v>
      </c>
      <c r="L191" s="95" t="n">
        <v>20.6</v>
      </c>
      <c r="M191" s="18" t="n">
        <v>0</v>
      </c>
      <c r="N191" s="24" t="n">
        <v>11.3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101" t="inlineStr">
        <is>
          <t>📉 Weak</t>
        </is>
      </c>
      <c r="S191" s="101" t="inlineStr">
        <is>
          <t>⏳ New Fund</t>
        </is>
      </c>
      <c r="T191" s="101" t="inlineStr">
        <is>
          <t>⏳ New Fund</t>
        </is>
      </c>
      <c r="U191" s="102" t="inlineStr">
        <is>
          <t>MOMENTUM_ONLY</t>
        </is>
      </c>
    </row>
    <row r="192" ht="16" customHeight="1">
      <c r="A192" s="26" t="n">
        <v>188</v>
      </c>
      <c r="B192" s="27" t="inlineStr">
        <is>
          <t>Samco Dynamic Asset Allocation Fund - Regular Plan - Growth Option</t>
        </is>
      </c>
      <c r="C192" s="27" t="inlineStr">
        <is>
          <t>Samco Mutual Fund</t>
        </is>
      </c>
      <c r="D192" s="27" t="inlineStr">
        <is>
          <t>Dynamic Asset Allocation Or Balanced Advantage</t>
        </is>
      </c>
      <c r="E192" s="27" t="inlineStr">
        <is>
          <t>Dynamic Asset Allocation Or Balanced Advantage</t>
        </is>
      </c>
      <c r="F192" s="28" t="n">
        <v>-3.16</v>
      </c>
      <c r="G192" s="29" t="n">
        <v>0.1</v>
      </c>
      <c r="H192" s="29" t="n">
        <v>0.2</v>
      </c>
      <c r="I192" s="28" t="n">
        <v>-5.68</v>
      </c>
      <c r="J192" s="28" t="n">
        <v>-4.344367651455039</v>
      </c>
      <c r="K192" s="29" t="n">
        <v>0</v>
      </c>
      <c r="L192" s="95" t="n">
        <v>19.7</v>
      </c>
      <c r="M192" s="18" t="n">
        <v>0</v>
      </c>
      <c r="N192" s="24" t="n">
        <v>10.9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101" t="inlineStr">
        <is>
          <t>📉 Weak</t>
        </is>
      </c>
      <c r="S192" s="101" t="inlineStr">
        <is>
          <t>⏳ New Fund</t>
        </is>
      </c>
      <c r="T192" s="101" t="inlineStr">
        <is>
          <t>⏳ New Fund</t>
        </is>
      </c>
      <c r="U192" s="102" t="inlineStr">
        <is>
          <t>MOMENTUM_ONLY</t>
        </is>
      </c>
    </row>
    <row r="193" ht="16" customHeight="1">
      <c r="A193" s="26" t="n">
        <v>189</v>
      </c>
      <c r="B193" s="27" t="inlineStr">
        <is>
          <t>Quantum Multi Asset Allocation Fund - Regular Plan Growth Option</t>
        </is>
      </c>
      <c r="C193" s="27" t="inlineStr">
        <is>
          <t>Quantum Mutual Fund</t>
        </is>
      </c>
      <c r="D193" s="27" t="inlineStr">
        <is>
          <t>Multi Asset Allocation</t>
        </is>
      </c>
      <c r="E193" s="27" t="inlineStr">
        <is>
          <t>Multi Asset Allocation</t>
        </is>
      </c>
      <c r="F193" s="28" t="n">
        <v>-0.25</v>
      </c>
      <c r="G193" s="28" t="n">
        <v>-0.76</v>
      </c>
      <c r="H193" s="28" t="n">
        <v>-4.08</v>
      </c>
      <c r="I193" s="29" t="n">
        <v>2</v>
      </c>
      <c r="J193" s="29" t="n">
        <v>4.699570199690895</v>
      </c>
      <c r="K193" s="29" t="n">
        <v>0</v>
      </c>
      <c r="L193" s="95" t="n">
        <v>18.9</v>
      </c>
      <c r="M193" s="18" t="n">
        <v>0</v>
      </c>
      <c r="N193" s="24" t="n">
        <v>10.4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101" t="inlineStr">
        <is>
          <t>📉 Weak</t>
        </is>
      </c>
      <c r="S193" s="101" t="inlineStr">
        <is>
          <t>⏳ New Fund</t>
        </is>
      </c>
      <c r="T193" s="101" t="inlineStr">
        <is>
          <t>⏳ New Fund</t>
        </is>
      </c>
      <c r="U193" s="102" t="inlineStr">
        <is>
          <t>MOMENTUM_ONLY</t>
        </is>
      </c>
    </row>
    <row r="194" ht="16" customHeight="1">
      <c r="A194" s="26" t="n">
        <v>190</v>
      </c>
      <c r="B194" s="27" t="inlineStr">
        <is>
          <t>Samco Multi Asset Allocation Fund - Regular Plan - Growth</t>
        </is>
      </c>
      <c r="C194" s="27" t="inlineStr">
        <is>
          <t>Samco Mutual Fund</t>
        </is>
      </c>
      <c r="D194" s="27" t="inlineStr">
        <is>
          <t>Multi Asset Allocation</t>
        </is>
      </c>
      <c r="E194" s="27" t="inlineStr">
        <is>
          <t>Multi Asset Allocation</t>
        </is>
      </c>
      <c r="F194" s="28" t="n">
        <v>-2.19</v>
      </c>
      <c r="G194" s="29" t="n">
        <v>0.08</v>
      </c>
      <c r="H194" s="28" t="n">
        <v>-2.03</v>
      </c>
      <c r="I194" s="29" t="n">
        <v>0.75</v>
      </c>
      <c r="J194" s="29" t="n">
        <v>0</v>
      </c>
      <c r="K194" s="29" t="n">
        <v>0</v>
      </c>
      <c r="L194" s="95" t="n">
        <v>18.6</v>
      </c>
      <c r="M194" s="18" t="n">
        <v>0</v>
      </c>
      <c r="N194" s="24" t="n">
        <v>10.2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101" t="inlineStr">
        <is>
          <t>📉 Weak</t>
        </is>
      </c>
      <c r="S194" s="101" t="inlineStr">
        <is>
          <t>⏳ New Fund</t>
        </is>
      </c>
      <c r="T194" s="101" t="inlineStr">
        <is>
          <t>⏳ New Fund</t>
        </is>
      </c>
      <c r="U194" s="102" t="inlineStr">
        <is>
          <t>MOMENTUM_ONLY</t>
        </is>
      </c>
    </row>
    <row r="195" ht="16" customHeight="1">
      <c r="A195" s="26" t="n">
        <v>191</v>
      </c>
      <c r="B195" s="27" t="inlineStr">
        <is>
          <t>TRUSTMF ARBITRAGE FUND -REGULAR PLAN-GROWTH</t>
        </is>
      </c>
      <c r="C195" s="27" t="inlineStr">
        <is>
          <t>Trust Mutual Fund</t>
        </is>
      </c>
      <c r="D195" s="27" t="inlineStr">
        <is>
          <t>Arbitrage Fund</t>
        </is>
      </c>
      <c r="E195" s="27" t="inlineStr">
        <is>
          <t>Arbitrage Fund</t>
        </is>
      </c>
      <c r="F195" s="29" t="n">
        <v>0.48</v>
      </c>
      <c r="G195" s="29" t="n">
        <v>1.3</v>
      </c>
      <c r="H195" s="29" t="n">
        <v>2.65</v>
      </c>
      <c r="I195" s="29" t="n">
        <v>0</v>
      </c>
      <c r="J195" s="29" t="n">
        <v>0</v>
      </c>
      <c r="K195" s="29" t="n">
        <v>0</v>
      </c>
      <c r="L195" s="95" t="n">
        <v>18.4</v>
      </c>
      <c r="M195" s="18" t="n">
        <v>0</v>
      </c>
      <c r="N195" s="24" t="n">
        <v>10.1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101" t="inlineStr">
        <is>
          <t>📉 Weak</t>
        </is>
      </c>
      <c r="S195" s="101" t="inlineStr">
        <is>
          <t>⏳ New Fund</t>
        </is>
      </c>
      <c r="T195" s="101" t="inlineStr">
        <is>
          <t>⏳ New Fund</t>
        </is>
      </c>
      <c r="U195" s="102" t="inlineStr">
        <is>
          <t>MOMENTUM_ONLY</t>
        </is>
      </c>
    </row>
    <row r="196" ht="16" customHeight="1">
      <c r="A196" s="26" t="n">
        <v>192</v>
      </c>
      <c r="B196" s="27" t="inlineStr">
        <is>
          <t>Sundaram Multi Asset Allocation Fund Regular Plan Growth</t>
        </is>
      </c>
      <c r="C196" s="27" t="inlineStr">
        <is>
          <t>Sundaram Mutual Fund</t>
        </is>
      </c>
      <c r="D196" s="27" t="inlineStr">
        <is>
          <t>Multi Asset Allocation</t>
        </is>
      </c>
      <c r="E196" s="27" t="inlineStr">
        <is>
          <t>Multi Asset Allocation</t>
        </is>
      </c>
      <c r="F196" s="28" t="n">
        <v>-1.53</v>
      </c>
      <c r="G196" s="28" t="n">
        <v>-1.41</v>
      </c>
      <c r="H196" s="28" t="n">
        <v>-3.33</v>
      </c>
      <c r="I196" s="29" t="n">
        <v>5.44</v>
      </c>
      <c r="J196" s="29" t="n">
        <v>7.028033710799342</v>
      </c>
      <c r="K196" s="29" t="n">
        <v>0</v>
      </c>
      <c r="L196" s="95" t="n">
        <v>14.4</v>
      </c>
      <c r="M196" s="18" t="n">
        <v>0</v>
      </c>
      <c r="N196" s="24" t="n">
        <v>7.9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101" t="inlineStr">
        <is>
          <t>📉 Weak</t>
        </is>
      </c>
      <c r="S196" s="101" t="inlineStr">
        <is>
          <t>⏳ New Fund</t>
        </is>
      </c>
      <c r="T196" s="101" t="inlineStr">
        <is>
          <t>⏳ New Fund</t>
        </is>
      </c>
      <c r="U196" s="102" t="inlineStr">
        <is>
          <t>MOMENTUM_ONLY</t>
        </is>
      </c>
    </row>
    <row r="197" ht="16" customHeight="1">
      <c r="A197" s="26" t="n">
        <v>193</v>
      </c>
      <c r="B197" s="27" t="inlineStr">
        <is>
          <t>Groww Multi Asset Allocation Fund Regular Growth</t>
        </is>
      </c>
      <c r="C197" s="27" t="inlineStr">
        <is>
          <t>Groww Mutual Fund</t>
        </is>
      </c>
      <c r="D197" s="27" t="inlineStr">
        <is>
          <t>Multi Asset Allocation</t>
        </is>
      </c>
      <c r="E197" s="27" t="inlineStr">
        <is>
          <t>Multi Asset Allocation</t>
        </is>
      </c>
      <c r="F197" s="28" t="n">
        <v>-1.1</v>
      </c>
      <c r="G197" s="28" t="n">
        <v>-0.87</v>
      </c>
      <c r="H197" s="28" t="n">
        <v>-3.25</v>
      </c>
      <c r="I197" s="29" t="n">
        <v>0</v>
      </c>
      <c r="J197" s="29" t="n">
        <v>0</v>
      </c>
      <c r="K197" s="29" t="n">
        <v>0</v>
      </c>
      <c r="L197" s="95" t="n">
        <v>12.7</v>
      </c>
      <c r="M197" s="18" t="n">
        <v>0</v>
      </c>
      <c r="N197" s="24" t="n">
        <v>7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101" t="inlineStr">
        <is>
          <t>📉 Weak</t>
        </is>
      </c>
      <c r="S197" s="101" t="inlineStr">
        <is>
          <t>⏳ New Fund</t>
        </is>
      </c>
      <c r="T197" s="101" t="inlineStr">
        <is>
          <t>⏳ New Fund</t>
        </is>
      </c>
      <c r="U197" s="102" t="inlineStr">
        <is>
          <t>MOMENTUM_ONLY</t>
        </is>
      </c>
    </row>
    <row r="198" ht="16" customHeight="1">
      <c r="A198" s="26" t="n">
        <v>194</v>
      </c>
      <c r="B198" s="27" t="inlineStr">
        <is>
          <t>Samco Arbitrage Fund - Regular Plan - Growth</t>
        </is>
      </c>
      <c r="C198" s="27" t="inlineStr">
        <is>
          <t>Samco Mutual Fund</t>
        </is>
      </c>
      <c r="D198" s="27" t="inlineStr">
        <is>
          <t>Arbitrage Fund</t>
        </is>
      </c>
      <c r="E198" s="27" t="inlineStr">
        <is>
          <t>Arbitrage Fund</t>
        </is>
      </c>
      <c r="F198" s="29" t="n">
        <v>0.28</v>
      </c>
      <c r="G198" s="29" t="n">
        <v>0.85</v>
      </c>
      <c r="H198" s="29" t="n">
        <v>1.81</v>
      </c>
      <c r="I198" s="29" t="n">
        <v>3.79</v>
      </c>
      <c r="J198" s="29" t="n">
        <v>0</v>
      </c>
      <c r="K198" s="29" t="n">
        <v>0</v>
      </c>
      <c r="L198" s="95" t="n">
        <v>9.1</v>
      </c>
      <c r="M198" s="18" t="n">
        <v>0</v>
      </c>
      <c r="N198" s="24" t="n">
        <v>5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101" t="inlineStr">
        <is>
          <t>📉 Weak</t>
        </is>
      </c>
      <c r="S198" s="101" t="inlineStr">
        <is>
          <t>⏳ New Fund</t>
        </is>
      </c>
      <c r="T198" s="101" t="inlineStr">
        <is>
          <t>⏳ New Fund</t>
        </is>
      </c>
      <c r="U198" s="102" t="inlineStr">
        <is>
          <t>MOMENTUM_ONLY</t>
        </is>
      </c>
    </row>
    <row r="199" ht="16" customHeight="1">
      <c r="A199" s="96" t="n">
        <v>195</v>
      </c>
      <c r="B199" s="97" t="inlineStr">
        <is>
          <t>ICICI Prudential Balanced Hybrid Fund - Growth</t>
        </is>
      </c>
      <c r="C199" s="97" t="inlineStr">
        <is>
          <t>ICICI Prudential Mutual Fund</t>
        </is>
      </c>
      <c r="D199" s="97" t="inlineStr">
        <is>
          <t>Balanced Hybrid Fund</t>
        </is>
      </c>
      <c r="E199" s="97" t="inlineStr">
        <is>
          <t>Balanced Hybrid Fund</t>
        </is>
      </c>
      <c r="F199" s="98" t="n">
        <v>0</v>
      </c>
      <c r="G199" s="98" t="n">
        <v>0</v>
      </c>
      <c r="H199" s="98" t="n">
        <v>0</v>
      </c>
      <c r="I199" s="98" t="n">
        <v>0</v>
      </c>
      <c r="J199" s="98" t="n">
        <v>0</v>
      </c>
      <c r="K199" s="98" t="n">
        <v>0</v>
      </c>
      <c r="L199" s="95" t="n">
        <v>0</v>
      </c>
      <c r="M199" s="18" t="n">
        <v>0</v>
      </c>
      <c r="N199" s="24" t="n">
        <v>0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99" t="inlineStr">
        <is>
          <t>❌ N/A</t>
        </is>
      </c>
      <c r="S199" s="99" t="inlineStr">
        <is>
          <t>❌ N/A</t>
        </is>
      </c>
      <c r="T199" s="99" t="inlineStr">
        <is>
          <t>❌ Missing Data</t>
        </is>
      </c>
      <c r="U199" s="100" t="inlineStr">
        <is>
          <t>MISSING</t>
        </is>
      </c>
    </row>
    <row r="200" ht="16" customHeight="1">
      <c r="A200" s="96" t="n">
        <v>196</v>
      </c>
      <c r="B200" s="97" t="inlineStr">
        <is>
          <t>JM Multi Asset Allocation Fund (Regular) - Growth Option</t>
        </is>
      </c>
      <c r="C200" s="97" t="inlineStr">
        <is>
          <t>JM Financial Mutual Fund</t>
        </is>
      </c>
      <c r="D200" s="97" t="inlineStr">
        <is>
          <t>Multi Asset Allocation</t>
        </is>
      </c>
      <c r="E200" s="97" t="inlineStr">
        <is>
          <t>Multi Asset Allocation</t>
        </is>
      </c>
      <c r="F200" s="98" t="n">
        <v>0</v>
      </c>
      <c r="G200" s="98" t="n">
        <v>0</v>
      </c>
      <c r="H200" s="98" t="n">
        <v>0</v>
      </c>
      <c r="I200" s="98" t="n">
        <v>0</v>
      </c>
      <c r="J200" s="98" t="n">
        <v>0</v>
      </c>
      <c r="K200" s="98" t="n">
        <v>0</v>
      </c>
      <c r="L200" s="95" t="n">
        <v>0</v>
      </c>
      <c r="M200" s="18" t="n">
        <v>0</v>
      </c>
      <c r="N200" s="24" t="n">
        <v>0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99" t="inlineStr">
        <is>
          <t>❌ N/A</t>
        </is>
      </c>
      <c r="S200" s="99" t="inlineStr">
        <is>
          <t>❌ N/A</t>
        </is>
      </c>
      <c r="T200" s="99" t="inlineStr">
        <is>
          <t>❌ Missing Data</t>
        </is>
      </c>
      <c r="U200" s="100" t="inlineStr">
        <is>
          <t>MISSING</t>
        </is>
      </c>
    </row>
    <row r="201" ht="16" customHeight="1">
      <c r="A201" s="96" t="n">
        <v>197</v>
      </c>
      <c r="B201" s="97" t="inlineStr">
        <is>
          <t>Groww Arbitrage Fund Regular Growth</t>
        </is>
      </c>
      <c r="C201" s="97" t="inlineStr">
        <is>
          <t>Groww Mutual Fund</t>
        </is>
      </c>
      <c r="D201" s="97" t="inlineStr">
        <is>
          <t>Arbitrage Fund</t>
        </is>
      </c>
      <c r="E201" s="97" t="inlineStr">
        <is>
          <t>Arbitrage Fund</t>
        </is>
      </c>
      <c r="F201" s="98" t="n">
        <v>0.49</v>
      </c>
      <c r="G201" s="98" t="n">
        <v>0</v>
      </c>
      <c r="H201" s="98" t="n">
        <v>0</v>
      </c>
      <c r="I201" s="98" t="n">
        <v>0</v>
      </c>
      <c r="J201" s="98" t="n">
        <v>0</v>
      </c>
      <c r="K201" s="98" t="n">
        <v>0</v>
      </c>
      <c r="L201" s="95" t="n">
        <v>0</v>
      </c>
      <c r="M201" s="18" t="n">
        <v>0</v>
      </c>
      <c r="N201" s="24" t="n">
        <v>0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99" t="inlineStr">
        <is>
          <t>❌ N/A</t>
        </is>
      </c>
      <c r="S201" s="99" t="inlineStr">
        <is>
          <t>❌ N/A</t>
        </is>
      </c>
      <c r="T201" s="99" t="inlineStr">
        <is>
          <t>❌ Missing Data</t>
        </is>
      </c>
      <c r="U201" s="100" t="inlineStr">
        <is>
          <t>MISSING</t>
        </is>
      </c>
    </row>
    <row r="202" ht="16" customHeight="1">
      <c r="A202" s="96" t="n">
        <v>198</v>
      </c>
      <c r="B202" s="97" t="inlineStr">
        <is>
          <t>Capitalmind Arbitrage Fund-regular-Growth</t>
        </is>
      </c>
      <c r="C202" s="97" t="inlineStr">
        <is>
          <t>Capitalmind Mutual Fund</t>
        </is>
      </c>
      <c r="D202" s="97" t="inlineStr">
        <is>
          <t>Arbitrage Fund</t>
        </is>
      </c>
      <c r="E202" s="97" t="inlineStr">
        <is>
          <t>Arbitrage Fund</t>
        </is>
      </c>
      <c r="F202" s="98" t="n">
        <v>0.3</v>
      </c>
      <c r="G202" s="98" t="n">
        <v>1.2</v>
      </c>
      <c r="H202" s="98" t="n">
        <v>0</v>
      </c>
      <c r="I202" s="98" t="n">
        <v>0</v>
      </c>
      <c r="J202" s="98" t="n">
        <v>0</v>
      </c>
      <c r="K202" s="98" t="n">
        <v>0</v>
      </c>
      <c r="L202" s="95" t="n">
        <v>0</v>
      </c>
      <c r="M202" s="18" t="n">
        <v>0</v>
      </c>
      <c r="N202" s="24" t="n">
        <v>0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99" t="inlineStr">
        <is>
          <t>❌ N/A</t>
        </is>
      </c>
      <c r="S202" s="99" t="inlineStr">
        <is>
          <t>❌ N/A</t>
        </is>
      </c>
      <c r="T202" s="99" t="inlineStr">
        <is>
          <t>❌ Missing Data</t>
        </is>
      </c>
      <c r="U202" s="100" t="inlineStr">
        <is>
          <t>MISSING</t>
        </is>
      </c>
    </row>
    <row r="203" ht="16" customHeight="1">
      <c r="A203" s="96" t="n">
        <v>199</v>
      </c>
      <c r="B203" s="97" t="inlineStr">
        <is>
          <t>The Wealth Company Balanced Advantage Fund - Regular Growth</t>
        </is>
      </c>
      <c r="C203" s="97" t="inlineStr">
        <is>
          <t>The Wealth Company Mutual Fund</t>
        </is>
      </c>
      <c r="D203" s="97" t="inlineStr">
        <is>
          <t>Dynamic Asset Allocation Or Balanced Advantage</t>
        </is>
      </c>
      <c r="E203" s="97" t="inlineStr">
        <is>
          <t>Dynamic Asset Allocation Or Balanced Advantage</t>
        </is>
      </c>
      <c r="F203" s="103" t="n">
        <v>-1.32</v>
      </c>
      <c r="G203" s="103" t="n">
        <v>-0.8</v>
      </c>
      <c r="H203" s="98" t="n">
        <v>0</v>
      </c>
      <c r="I203" s="98" t="n">
        <v>0</v>
      </c>
      <c r="J203" s="98" t="n">
        <v>0</v>
      </c>
      <c r="K203" s="98" t="n">
        <v>0</v>
      </c>
      <c r="L203" s="95" t="n">
        <v>0</v>
      </c>
      <c r="M203" s="18" t="n">
        <v>0</v>
      </c>
      <c r="N203" s="24" t="n">
        <v>0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99" t="inlineStr">
        <is>
          <t>❌ N/A</t>
        </is>
      </c>
      <c r="S203" s="99" t="inlineStr">
        <is>
          <t>❌ N/A</t>
        </is>
      </c>
      <c r="T203" s="99" t="inlineStr">
        <is>
          <t>❌ Missing Data</t>
        </is>
      </c>
      <c r="U203" s="100" t="inlineStr">
        <is>
          <t>MISSING</t>
        </is>
      </c>
    </row>
    <row r="204" ht="16" customHeight="1">
      <c r="A204" s="96" t="n">
        <v>200</v>
      </c>
      <c r="B204" s="97" t="inlineStr">
        <is>
          <t>Capitalmind Multi Asset Allocation Fund-Regular-Growth</t>
        </is>
      </c>
      <c r="C204" s="97" t="inlineStr">
        <is>
          <t>Capitalmind Mutual Fund</t>
        </is>
      </c>
      <c r="D204" s="97" t="inlineStr">
        <is>
          <t>Multi Asset Allocation</t>
        </is>
      </c>
      <c r="E204" s="97" t="inlineStr">
        <is>
          <t>Multi Asset Allocation</t>
        </is>
      </c>
      <c r="F204" s="103" t="n">
        <v>-1.48</v>
      </c>
      <c r="G204" s="103" t="n">
        <v>-3.24</v>
      </c>
      <c r="H204" s="98" t="n">
        <v>0</v>
      </c>
      <c r="I204" s="98" t="n">
        <v>0</v>
      </c>
      <c r="J204" s="98" t="n">
        <v>0</v>
      </c>
      <c r="K204" s="98" t="n">
        <v>0</v>
      </c>
      <c r="L204" s="95" t="n">
        <v>0</v>
      </c>
      <c r="M204" s="18" t="n">
        <v>0</v>
      </c>
      <c r="N204" s="24" t="n">
        <v>0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99" t="inlineStr">
        <is>
          <t>❌ N/A</t>
        </is>
      </c>
      <c r="S204" s="99" t="inlineStr">
        <is>
          <t>❌ N/A</t>
        </is>
      </c>
      <c r="T204" s="99" t="inlineStr">
        <is>
          <t>❌ Missing Data</t>
        </is>
      </c>
      <c r="U204" s="100" t="inlineStr">
        <is>
          <t>MISSING</t>
        </is>
      </c>
    </row>
    <row r="205" ht="16" customHeight="1">
      <c r="A205" s="96" t="n">
        <v>201</v>
      </c>
      <c r="B205" s="97" t="inlineStr">
        <is>
          <t>Nippon India Equity Savings Fund - Segregated Portfolio 2 - Growth Plan - Growth Option</t>
        </is>
      </c>
      <c r="C205" s="97" t="inlineStr">
        <is>
          <t>Nippon India Mutual Fund</t>
        </is>
      </c>
      <c r="D205" s="97" t="inlineStr">
        <is>
          <t>Equity Savings</t>
        </is>
      </c>
      <c r="E205" s="97" t="inlineStr">
        <is>
          <t>Equity Savings</t>
        </is>
      </c>
      <c r="F205" s="98" t="n">
        <v>0</v>
      </c>
      <c r="G205" s="98" t="n">
        <v>0</v>
      </c>
      <c r="H205" s="98" t="n">
        <v>0</v>
      </c>
      <c r="I205" s="98" t="n">
        <v>0</v>
      </c>
      <c r="J205" s="98" t="n">
        <v>0</v>
      </c>
      <c r="K205" s="98" t="n">
        <v>0</v>
      </c>
      <c r="L205" s="95" t="n">
        <v>0</v>
      </c>
      <c r="M205" s="18" t="n">
        <v>0</v>
      </c>
      <c r="N205" s="24" t="n">
        <v>0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99" t="inlineStr">
        <is>
          <t>❌ N/A</t>
        </is>
      </c>
      <c r="S205" s="99" t="inlineStr">
        <is>
          <t>❌ N/A</t>
        </is>
      </c>
      <c r="T205" s="99" t="inlineStr">
        <is>
          <t>❌ Missing Data</t>
        </is>
      </c>
      <c r="U205" s="100" t="inlineStr">
        <is>
          <t>MISSING</t>
        </is>
      </c>
    </row>
    <row r="206" ht="16" customHeight="1">
      <c r="A206" s="96" t="n">
        <v>202</v>
      </c>
      <c r="B206" s="97" t="inlineStr">
        <is>
          <t>Nippon India Equity Savings Fund - Segregated Portfolio 2 - Growth Plan - Bonus Option</t>
        </is>
      </c>
      <c r="C206" s="97" t="inlineStr">
        <is>
          <t>Nippon India Mutual Fund</t>
        </is>
      </c>
      <c r="D206" s="97" t="inlineStr">
        <is>
          <t>Equity Savings</t>
        </is>
      </c>
      <c r="E206" s="97" t="inlineStr">
        <is>
          <t>Equity Savings</t>
        </is>
      </c>
      <c r="F206" s="98" t="n">
        <v>0</v>
      </c>
      <c r="G206" s="98" t="n">
        <v>0</v>
      </c>
      <c r="H206" s="98" t="n">
        <v>0</v>
      </c>
      <c r="I206" s="98" t="n">
        <v>0</v>
      </c>
      <c r="J206" s="98" t="n">
        <v>0</v>
      </c>
      <c r="K206" s="98" t="n">
        <v>0</v>
      </c>
      <c r="L206" s="95" t="n">
        <v>0</v>
      </c>
      <c r="M206" s="18" t="n">
        <v>0</v>
      </c>
      <c r="N206" s="24" t="n">
        <v>0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99" t="inlineStr">
        <is>
          <t>❌ N/A</t>
        </is>
      </c>
      <c r="S206" s="99" t="inlineStr">
        <is>
          <t>❌ N/A</t>
        </is>
      </c>
      <c r="T206" s="99" t="inlineStr">
        <is>
          <t>❌ Missing Data</t>
        </is>
      </c>
      <c r="U206" s="100" t="inlineStr">
        <is>
          <t>MISSING</t>
        </is>
      </c>
    </row>
    <row r="207" ht="16" customHeight="1">
      <c r="A207" s="96" t="n">
        <v>203</v>
      </c>
      <c r="B207" s="97" t="inlineStr">
        <is>
          <t>Nippon India Aggressive Hybrid Fund - Segregated Portfolio 2 - Growth Plan</t>
        </is>
      </c>
      <c r="C207" s="97" t="inlineStr">
        <is>
          <t>Nippon India Mutual Fund</t>
        </is>
      </c>
      <c r="D207" s="97" t="inlineStr">
        <is>
          <t>Aggressive Hybrid Fund</t>
        </is>
      </c>
      <c r="E207" s="97" t="inlineStr">
        <is>
          <t>Aggressive Hybrid Fund</t>
        </is>
      </c>
      <c r="F207" s="98" t="n">
        <v>0</v>
      </c>
      <c r="G207" s="98" t="n">
        <v>0</v>
      </c>
      <c r="H207" s="98" t="n">
        <v>0</v>
      </c>
      <c r="I207" s="98" t="n">
        <v>0</v>
      </c>
      <c r="J207" s="98" t="n">
        <v>0</v>
      </c>
      <c r="K207" s="98" t="n">
        <v>0</v>
      </c>
      <c r="L207" s="95" t="n">
        <v>0</v>
      </c>
      <c r="M207" s="18" t="n">
        <v>0</v>
      </c>
      <c r="N207" s="24" t="n">
        <v>0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99" t="inlineStr">
        <is>
          <t>❌ N/A</t>
        </is>
      </c>
      <c r="S207" s="99" t="inlineStr">
        <is>
          <t>❌ N/A</t>
        </is>
      </c>
      <c r="T207" s="99" t="inlineStr">
        <is>
          <t>❌ Missing Data</t>
        </is>
      </c>
      <c r="U207" s="100" t="inlineStr">
        <is>
          <t>MISSING</t>
        </is>
      </c>
    </row>
    <row r="208" ht="16" customHeight="1">
      <c r="A208" s="96" t="n">
        <v>204</v>
      </c>
      <c r="B208" s="97" t="inlineStr">
        <is>
          <t>Nippon India Conservative Hybrid  Fund - Segregated Portfolio 2 - Growth Plan</t>
        </is>
      </c>
      <c r="C208" s="97" t="inlineStr">
        <is>
          <t>Nippon India Mutual Fund</t>
        </is>
      </c>
      <c r="D208" s="97" t="inlineStr">
        <is>
          <t>Conservative Hybrid Fund</t>
        </is>
      </c>
      <c r="E208" s="97" t="inlineStr">
        <is>
          <t>Conservative Hybrid Fund</t>
        </is>
      </c>
      <c r="F208" s="98" t="n">
        <v>0</v>
      </c>
      <c r="G208" s="98" t="n">
        <v>0</v>
      </c>
      <c r="H208" s="98" t="n">
        <v>0</v>
      </c>
      <c r="I208" s="98" t="n">
        <v>0</v>
      </c>
      <c r="J208" s="98" t="n">
        <v>0</v>
      </c>
      <c r="K208" s="98" t="n">
        <v>0</v>
      </c>
      <c r="L208" s="95" t="n">
        <v>0</v>
      </c>
      <c r="M208" s="18" t="n">
        <v>0</v>
      </c>
      <c r="N208" s="24" t="n">
        <v>0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99" t="inlineStr">
        <is>
          <t>❌ N/A</t>
        </is>
      </c>
      <c r="S208" s="99" t="inlineStr">
        <is>
          <t>❌ N/A</t>
        </is>
      </c>
      <c r="T208" s="99" t="inlineStr">
        <is>
          <t>❌ Missing Data</t>
        </is>
      </c>
      <c r="U208" s="100" t="inlineStr">
        <is>
          <t>MISSING</t>
        </is>
      </c>
    </row>
    <row r="209" ht="16" customHeight="1">
      <c r="A209" s="96" t="n">
        <v>205</v>
      </c>
      <c r="B209" s="97" t="inlineStr">
        <is>
          <t>Helios Arbitrage Fund - Regular Growth</t>
        </is>
      </c>
      <c r="C209" s="97" t="inlineStr">
        <is>
          <t>Helios Mutual Fund</t>
        </is>
      </c>
      <c r="D209" s="97" t="inlineStr">
        <is>
          <t>Arbitrage Fund</t>
        </is>
      </c>
      <c r="E209" s="97" t="inlineStr">
        <is>
          <t>Arbitrage Fund</t>
        </is>
      </c>
      <c r="F209" s="98" t="n">
        <v>0.39</v>
      </c>
      <c r="G209" s="98" t="n">
        <v>1.19</v>
      </c>
      <c r="H209" s="98" t="n">
        <v>0</v>
      </c>
      <c r="I209" s="98" t="n">
        <v>0</v>
      </c>
      <c r="J209" s="98" t="n">
        <v>0</v>
      </c>
      <c r="K209" s="98" t="n">
        <v>0</v>
      </c>
      <c r="L209" s="95" t="n">
        <v>0</v>
      </c>
      <c r="M209" s="18" t="n">
        <v>0</v>
      </c>
      <c r="N209" s="24" t="n">
        <v>0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99" t="inlineStr">
        <is>
          <t>❌ N/A</t>
        </is>
      </c>
      <c r="S209" s="99" t="inlineStr">
        <is>
          <t>❌ N/A</t>
        </is>
      </c>
      <c r="T209" s="99" t="inlineStr">
        <is>
          <t>❌ Missing Data</t>
        </is>
      </c>
      <c r="U209" s="100" t="inlineStr">
        <is>
          <t>MISSING</t>
        </is>
      </c>
    </row>
  </sheetData>
  <autoFilter ref="A4:U20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2026-07-24T21:36:05Z</dcterms:created>
  <dcterms:modified xsi:type="dcterms:W3CDTF">2026-07-24T21:36:07Z</dcterms:modified>
</cp:coreProperties>
</file>